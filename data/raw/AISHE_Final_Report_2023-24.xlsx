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Final AISHE 2022-23 &amp; 2023-24\"/>
    </mc:Choice>
  </mc:AlternateContent>
  <xr:revisionPtr revIDLastSave="0" documentId="13_ncr:1_{B5C997F0-0877-4161-8D40-BFC9EA5FB770}" xr6:coauthVersionLast="47" xr6:coauthVersionMax="47" xr10:uidLastSave="{00000000-0000-0000-0000-000000000000}"/>
  <bookViews>
    <workbookView xWindow="-110" yWindow="-110" windowWidth="19420" windowHeight="11500" tabRatio="942" firstSheet="52" activeTab="59" xr2:uid="{00000000-000D-0000-FFFF-FFFF00000000}"/>
  </bookViews>
  <sheets>
    <sheet name="1.UniNo" sheetId="2" r:id="rId1"/>
    <sheet name="1a.InsResponse" sheetId="3" r:id="rId2"/>
    <sheet name="2University-Specialisation" sheetId="4" r:id="rId3"/>
    <sheet name="3Collegerange" sheetId="39" r:id="rId4"/>
    <sheet name="4CollegeIndicator" sheetId="5" r:id="rId5"/>
    <sheet name="5ManagementCollegeNo" sheetId="6" r:id="rId6"/>
    <sheet name="6TotalEnr" sheetId="7" r:id="rId7"/>
    <sheet name="6aTotalRegularEnr" sheetId="8" r:id="rId8"/>
    <sheet name="6bTotalDistanceEnr" sheetId="9" r:id="rId9"/>
    <sheet name="6cTotalPrivateEnr" sheetId="10" r:id="rId10"/>
    <sheet name="6dTotalOnline" sheetId="11" r:id="rId11"/>
    <sheet name="7UnivActwithConsUnit" sheetId="12" r:id="rId12"/>
    <sheet name="8CollegeAct" sheetId="13" r:id="rId13"/>
    <sheet name="9AllSAAct" sheetId="14" r:id="rId14"/>
    <sheet name="9aSAILevel" sheetId="15" r:id="rId15"/>
    <sheet name="10InstituionEst" sheetId="16" r:id="rId16"/>
    <sheet name="11Programme" sheetId="17" r:id="rId17"/>
    <sheet name="11a programme regular" sheetId="18" r:id="rId18"/>
    <sheet name="11b ProgrammeDistance " sheetId="19" r:id="rId19"/>
    <sheet name="12UGDisc " sheetId="20" r:id="rId20"/>
    <sheet name="13PGDisc" sheetId="21" r:id="rId21"/>
    <sheet name="14-15TotalEnrCategory (2)" sheetId="22" r:id="rId22"/>
    <sheet name="16FS-countrylevel" sheetId="23" r:id="rId23"/>
    <sheet name="17FS-statelevel" sheetId="24" r:id="rId24"/>
    <sheet name="18FS-prog" sheetId="25" r:id="rId25"/>
    <sheet name="19GER(2011)" sheetId="26" r:id="rId26"/>
    <sheet name="20GPI2011" sheetId="27" r:id="rId27"/>
    <sheet name="21TeacherCategory" sheetId="28" r:id="rId28"/>
    <sheet name="22TeacherPost" sheetId="29" r:id="rId29"/>
    <sheet name="22aTeacherPostUC" sheetId="30" r:id="rId30"/>
    <sheet name="22bTeacherPostU" sheetId="31" r:id="rId31"/>
    <sheet name="23StaffPost" sheetId="32" r:id="rId32"/>
    <sheet name="24StaffCategory" sheetId="33" r:id="rId33"/>
    <sheet name="25PTR" sheetId="34" r:id="rId34"/>
    <sheet name="26UnivEnrolinclConstituentU" sheetId="35" r:id="rId35"/>
    <sheet name="27 28 TypeEnrolmentCategory-Est" sheetId="36" r:id="rId36"/>
    <sheet name="29TypeTeacherPostEstimated" sheetId="37" r:id="rId37"/>
    <sheet name="30TypeTeacherCategoryEstimated" sheetId="38" r:id="rId38"/>
    <sheet name="31Hostelstate " sheetId="40" r:id="rId39"/>
    <sheet name="32TypeHostel" sheetId="41" r:id="rId40"/>
    <sheet name="33 Out Turn" sheetId="42" r:id="rId41"/>
    <sheet name="33 (a) Category Out Turn" sheetId="43" r:id="rId42"/>
    <sheet name="34 Out Turn Prog" sheetId="44" r:id="rId43"/>
    <sheet name="Table 35 (34a E)" sheetId="45" r:id="rId44"/>
    <sheet name="36 UG Discipline_35 E" sheetId="46" r:id="rId45"/>
    <sheet name="37 PGDisc_36E " sheetId="47" r:id="rId46"/>
    <sheet name="38Pop2020(2011)" sheetId="48" r:id="rId47"/>
    <sheet name="39TypeStateUnivwithConsUnit" sheetId="49" r:id="rId48"/>
    <sheet name="40NoUni" sheetId="50" r:id="rId49"/>
    <sheet name="41NoUniType" sheetId="51" r:id="rId50"/>
    <sheet name="42CollegeIndicator" sheetId="52" r:id="rId51"/>
    <sheet name="43ENRLT 6" sheetId="53" r:id="rId52"/>
    <sheet name="44ENRLR 6a" sheetId="54" r:id="rId53"/>
    <sheet name="45EnrlCategory 14" sheetId="55" r:id="rId54"/>
    <sheet name="46EnrlMinority 15" sheetId="56" r:id="rId55"/>
    <sheet name="47GER  19" sheetId="57" r:id="rId56"/>
    <sheet name="48GPI 20 Updated" sheetId="58" r:id="rId57"/>
    <sheet name="49PTR 25" sheetId="59" r:id="rId58"/>
    <sheet name="50LevelEnrlUniType" sheetId="60" r:id="rId59"/>
    <sheet name="51PostTeacher" sheetId="61" r:id="rId60"/>
  </sheets>
  <externalReferences>
    <externalReference r:id="rId61"/>
  </externalReferences>
  <definedNames>
    <definedName name="_xlnm._FilterDatabase" localSheetId="0" hidden="1">'1.UniNo'!$A$3:$N$41</definedName>
    <definedName name="_xlnm._FilterDatabase" localSheetId="15" hidden="1">'10InstituionEst'!$A$4:$N$41</definedName>
    <definedName name="_xlnm._FilterDatabase" localSheetId="17" hidden="1">'11a programme regular'!$A$4:$N$4</definedName>
    <definedName name="_xlnm._FilterDatabase" localSheetId="18" hidden="1">'11b ProgrammeDistance '!$A$4:$Z$4</definedName>
    <definedName name="_xlnm._FilterDatabase" localSheetId="16" hidden="1">'11Programme'!$C$270:$N$271</definedName>
    <definedName name="_xlnm._FilterDatabase" localSheetId="19" hidden="1">'12UGDisc '!$A$3:$F$3</definedName>
    <definedName name="_xlnm._FilterDatabase" localSheetId="20" hidden="1">'13PGDisc'!$A$4:$L$4</definedName>
    <definedName name="_xlnm._FilterDatabase" localSheetId="21" hidden="1">'14-15TotalEnrCategory (2)'!$A$4:$Z$41</definedName>
    <definedName name="_xlnm._FilterDatabase" localSheetId="23" hidden="1">'17FS-statelevel'!$A$4:$AC$4</definedName>
    <definedName name="_xlnm._FilterDatabase" localSheetId="24" hidden="1">'18FS-prog'!$A$3:$F$3</definedName>
    <definedName name="_xlnm._FilterDatabase" localSheetId="25" hidden="1">'19GER(2011)'!$A$3:$K$41</definedName>
    <definedName name="_xlnm._FilterDatabase" localSheetId="1" hidden="1">'1a.InsResponse'!$A$4:$N$42</definedName>
    <definedName name="_xlnm._FilterDatabase" localSheetId="32" hidden="1">'24StaffCategory'!$A$3:$BB$3</definedName>
    <definedName name="_xlnm._FilterDatabase" localSheetId="33" hidden="1">'25PTR'!$A$4:$WTR$41</definedName>
    <definedName name="_xlnm._FilterDatabase" localSheetId="38" hidden="1">'31Hostelstate '!$A$3:$N$3</definedName>
    <definedName name="_xlnm._FilterDatabase" localSheetId="41" hidden="1">'33 (a) Category Out Turn'!$A$4:$N$41</definedName>
    <definedName name="_xlnm._FilterDatabase" localSheetId="40" hidden="1">'33 Out Turn'!$A$4:$AC$4</definedName>
    <definedName name="_xlnm._FilterDatabase" localSheetId="42" hidden="1">'34 Out Turn Prog'!$A$3:$E$257</definedName>
    <definedName name="_xlnm._FilterDatabase" localSheetId="44" hidden="1">'36 UG Discipline_35 E'!$A$3:$F$118</definedName>
    <definedName name="_xlnm._FilterDatabase" localSheetId="45" hidden="1">'37 PGDisc_36E '!$A$4:$L$280</definedName>
    <definedName name="_xlnm._FilterDatabase" localSheetId="47" hidden="1">'39TypeStateUnivwithConsUnit'!$A$4:$AO$4</definedName>
    <definedName name="_xlnm._FilterDatabase" localSheetId="49" hidden="1">'41NoUniType'!$A$3:$I$207</definedName>
    <definedName name="_xlnm._FilterDatabase" localSheetId="51" hidden="1">'43ENRLT 6'!$A$4:$AC$226</definedName>
    <definedName name="_xlnm._FilterDatabase" localSheetId="52" hidden="1">'44ENRLR 6a'!$A$4:$AC$226</definedName>
    <definedName name="_xlnm._FilterDatabase" localSheetId="53" hidden="1">'45EnrlCategory 14'!$A$4:$N$226</definedName>
    <definedName name="_xlnm._FilterDatabase" localSheetId="54" hidden="1">'46EnrlMinority 15'!$A$4:$N$226</definedName>
    <definedName name="_xlnm._FilterDatabase" localSheetId="55" hidden="1">'47GER  19'!$B$4:$K$226</definedName>
    <definedName name="_xlnm._FilterDatabase" localSheetId="57" hidden="1">'49PTR 25'!$A$4:$H$227</definedName>
    <definedName name="_xlnm._FilterDatabase" localSheetId="4" hidden="1">'4CollegeIndicator'!$A$4:$F$41</definedName>
    <definedName name="_xlnm._FilterDatabase" localSheetId="58" hidden="1">'50LevelEnrlUniType'!$A$4:$AC$71</definedName>
    <definedName name="_xlnm._FilterDatabase" localSheetId="59" hidden="1">'51PostTeacher'!$A$4:$W$226</definedName>
    <definedName name="_xlnm._FilterDatabase" localSheetId="5" hidden="1">'5ManagementCollegeNo'!$A$3:$T$40</definedName>
    <definedName name="_xlnm._FilterDatabase" localSheetId="7" hidden="1">'6aTotalRegularEnr'!$A$4:$AC$41</definedName>
    <definedName name="_xlnm._FilterDatabase" localSheetId="8" hidden="1">'6bTotalDistanceEnr'!$A$4:$W$41</definedName>
    <definedName name="_xlnm._FilterDatabase" localSheetId="9" hidden="1">'6cTotalPrivateEnr'!$A$4:$T$4</definedName>
    <definedName name="_xlnm._FilterDatabase" localSheetId="10" hidden="1">'6dTotalOnline'!$A$4:$W$4</definedName>
    <definedName name="_xlnm._FilterDatabase" localSheetId="6" hidden="1">'6TotalEnr'!$A$4:$AC$41</definedName>
    <definedName name="_xlnm._FilterDatabase" localSheetId="12" hidden="1">'8CollegeAct'!$A$3:$AF$41</definedName>
    <definedName name="_xlnm._FilterDatabase" localSheetId="43" hidden="1">'Table 35 (34a E)'!$A$4:$N$258</definedName>
    <definedName name="College" localSheetId="15">#REF!</definedName>
    <definedName name="College" localSheetId="18">#REF!</definedName>
    <definedName name="College" localSheetId="16">#REF!</definedName>
    <definedName name="College" localSheetId="19">#REF!</definedName>
    <definedName name="College" localSheetId="20">#REF!</definedName>
    <definedName name="College" localSheetId="21">#REF!</definedName>
    <definedName name="College" localSheetId="22">#REF!</definedName>
    <definedName name="College" localSheetId="23">#REF!</definedName>
    <definedName name="College" localSheetId="24">#REF!</definedName>
    <definedName name="College" localSheetId="25">#REF!</definedName>
    <definedName name="College" localSheetId="1">#REF!</definedName>
    <definedName name="College" localSheetId="26">#REF!</definedName>
    <definedName name="College" localSheetId="27">#REF!</definedName>
    <definedName name="College" localSheetId="29">#REF!</definedName>
    <definedName name="College" localSheetId="30">#REF!</definedName>
    <definedName name="College" localSheetId="28">#REF!</definedName>
    <definedName name="College" localSheetId="31">#REF!</definedName>
    <definedName name="College" localSheetId="32">#REF!</definedName>
    <definedName name="College" localSheetId="33">#REF!</definedName>
    <definedName name="College" localSheetId="34">#REF!</definedName>
    <definedName name="College" localSheetId="35">#REF!</definedName>
    <definedName name="College" localSheetId="36">#REF!</definedName>
    <definedName name="College" localSheetId="2">#REF!</definedName>
    <definedName name="College" localSheetId="37">#REF!</definedName>
    <definedName name="College" localSheetId="38">#REF!</definedName>
    <definedName name="College" localSheetId="39">#REF!</definedName>
    <definedName name="College" localSheetId="41">#REF!</definedName>
    <definedName name="College" localSheetId="40">#REF!</definedName>
    <definedName name="College" localSheetId="42">#REF!</definedName>
    <definedName name="College" localSheetId="44">#REF!</definedName>
    <definedName name="College" localSheetId="45">#REF!</definedName>
    <definedName name="College" localSheetId="46">#REF!</definedName>
    <definedName name="College" localSheetId="47">#REF!</definedName>
    <definedName name="College" localSheetId="3">#REF!</definedName>
    <definedName name="College" localSheetId="48">#REF!</definedName>
    <definedName name="College" localSheetId="49">#REF!</definedName>
    <definedName name="College" localSheetId="50">#REF!</definedName>
    <definedName name="College" localSheetId="51">#REF!</definedName>
    <definedName name="College" localSheetId="52">#REF!</definedName>
    <definedName name="College" localSheetId="53">#REF!</definedName>
    <definedName name="College" localSheetId="54">#REF!</definedName>
    <definedName name="College" localSheetId="55">#REF!</definedName>
    <definedName name="College" localSheetId="56">#REF!</definedName>
    <definedName name="College" localSheetId="57">#REF!</definedName>
    <definedName name="College" localSheetId="4">#REF!</definedName>
    <definedName name="College" localSheetId="58">#REF!</definedName>
    <definedName name="College" localSheetId="59">#REF!</definedName>
    <definedName name="College" localSheetId="5">#REF!</definedName>
    <definedName name="College" localSheetId="7">#REF!</definedName>
    <definedName name="College" localSheetId="8">#REF!</definedName>
    <definedName name="College" localSheetId="9">#REF!</definedName>
    <definedName name="College" localSheetId="10">#REF!</definedName>
    <definedName name="College" localSheetId="6">#REF!</definedName>
    <definedName name="College" localSheetId="11">#REF!</definedName>
    <definedName name="College" localSheetId="12">#REF!</definedName>
    <definedName name="College" localSheetId="13">#REF!</definedName>
    <definedName name="College" localSheetId="14">#REF!</definedName>
    <definedName name="College" localSheetId="43">#REF!</definedName>
    <definedName name="College">#REF!</definedName>
    <definedName name="d" localSheetId="15">#REF!</definedName>
    <definedName name="d" localSheetId="18">#REF!</definedName>
    <definedName name="d" localSheetId="16">#REF!</definedName>
    <definedName name="d" localSheetId="19">#REF!</definedName>
    <definedName name="d" localSheetId="20">#REF!</definedName>
    <definedName name="d" localSheetId="21">#REF!</definedName>
    <definedName name="d" localSheetId="22">#REF!</definedName>
    <definedName name="d" localSheetId="23">#REF!</definedName>
    <definedName name="d" localSheetId="24">#REF!</definedName>
    <definedName name="d" localSheetId="25">#REF!</definedName>
    <definedName name="d" localSheetId="1">#REF!</definedName>
    <definedName name="d" localSheetId="26">#REF!</definedName>
    <definedName name="d" localSheetId="27">#REF!</definedName>
    <definedName name="d" localSheetId="29">#REF!</definedName>
    <definedName name="d" localSheetId="30">#REF!</definedName>
    <definedName name="d" localSheetId="28">#REF!</definedName>
    <definedName name="d" localSheetId="31">#REF!</definedName>
    <definedName name="d" localSheetId="32">#REF!</definedName>
    <definedName name="d" localSheetId="33">#REF!</definedName>
    <definedName name="d" localSheetId="34">#REF!</definedName>
    <definedName name="d" localSheetId="35">#REF!</definedName>
    <definedName name="d" localSheetId="36">#REF!</definedName>
    <definedName name="d" localSheetId="2">#REF!</definedName>
    <definedName name="d" localSheetId="37">#REF!</definedName>
    <definedName name="d" localSheetId="38">#REF!</definedName>
    <definedName name="d" localSheetId="39">#REF!</definedName>
    <definedName name="d" localSheetId="41">#REF!</definedName>
    <definedName name="d" localSheetId="40">#REF!</definedName>
    <definedName name="d" localSheetId="42">#REF!</definedName>
    <definedName name="d" localSheetId="44">#REF!</definedName>
    <definedName name="d" localSheetId="45">#REF!</definedName>
    <definedName name="d" localSheetId="46">#REF!</definedName>
    <definedName name="d" localSheetId="47">#REF!</definedName>
    <definedName name="d" localSheetId="3">#REF!</definedName>
    <definedName name="d" localSheetId="48">#REF!</definedName>
    <definedName name="d" localSheetId="49">#REF!</definedName>
    <definedName name="d" localSheetId="50">#REF!</definedName>
    <definedName name="d" localSheetId="51">#REF!</definedName>
    <definedName name="d" localSheetId="52">#REF!</definedName>
    <definedName name="d" localSheetId="53">#REF!</definedName>
    <definedName name="d" localSheetId="54">#REF!</definedName>
    <definedName name="d" localSheetId="55">#REF!</definedName>
    <definedName name="d" localSheetId="56">#REF!</definedName>
    <definedName name="d" localSheetId="57">#REF!</definedName>
    <definedName name="d" localSheetId="4">#REF!</definedName>
    <definedName name="d" localSheetId="58">#REF!</definedName>
    <definedName name="d" localSheetId="59">#REF!</definedName>
    <definedName name="d" localSheetId="5">#REF!</definedName>
    <definedName name="d" localSheetId="7">#REF!</definedName>
    <definedName name="d" localSheetId="8">#REF!</definedName>
    <definedName name="d" localSheetId="9">#REF!</definedName>
    <definedName name="d" localSheetId="10">#REF!</definedName>
    <definedName name="d" localSheetId="6">#REF!</definedName>
    <definedName name="d" localSheetId="11">#REF!</definedName>
    <definedName name="d" localSheetId="12">#REF!</definedName>
    <definedName name="d" localSheetId="13">#REF!</definedName>
    <definedName name="d" localSheetId="14">#REF!</definedName>
    <definedName name="d" localSheetId="43">#REF!</definedName>
    <definedName name="d">#REF!</definedName>
    <definedName name="fg" localSheetId="15">#REF!</definedName>
    <definedName name="fg" localSheetId="18">#REF!</definedName>
    <definedName name="fg" localSheetId="16">#REF!</definedName>
    <definedName name="fg" localSheetId="19">#REF!</definedName>
    <definedName name="fg" localSheetId="20">#REF!</definedName>
    <definedName name="fg" localSheetId="21">#REF!</definedName>
    <definedName name="fg" localSheetId="22">#REF!</definedName>
    <definedName name="fg" localSheetId="23">#REF!</definedName>
    <definedName name="fg" localSheetId="24">#REF!</definedName>
    <definedName name="fg" localSheetId="25">#REF!</definedName>
    <definedName name="fg" localSheetId="1">#REF!</definedName>
    <definedName name="fg" localSheetId="26">#REF!</definedName>
    <definedName name="fg" localSheetId="27">#REF!</definedName>
    <definedName name="fg" localSheetId="29">#REF!</definedName>
    <definedName name="fg" localSheetId="30">#REF!</definedName>
    <definedName name="fg" localSheetId="28">#REF!</definedName>
    <definedName name="fg" localSheetId="31">#REF!</definedName>
    <definedName name="fg" localSheetId="32">#REF!</definedName>
    <definedName name="fg" localSheetId="33">#REF!</definedName>
    <definedName name="fg" localSheetId="34">#REF!</definedName>
    <definedName name="fg" localSheetId="35">#REF!</definedName>
    <definedName name="fg" localSheetId="36">#REF!</definedName>
    <definedName name="fg" localSheetId="2">#REF!</definedName>
    <definedName name="fg" localSheetId="37">#REF!</definedName>
    <definedName name="fg" localSheetId="38">#REF!</definedName>
    <definedName name="fg" localSheetId="39">#REF!</definedName>
    <definedName name="fg" localSheetId="41">#REF!</definedName>
    <definedName name="fg" localSheetId="40">#REF!</definedName>
    <definedName name="fg" localSheetId="42">#REF!</definedName>
    <definedName name="fg" localSheetId="44">#REF!</definedName>
    <definedName name="fg" localSheetId="45">#REF!</definedName>
    <definedName name="fg" localSheetId="46">#REF!</definedName>
    <definedName name="fg" localSheetId="47">#REF!</definedName>
    <definedName name="fg" localSheetId="3">#REF!</definedName>
    <definedName name="fg" localSheetId="48">#REF!</definedName>
    <definedName name="fg" localSheetId="4">#REF!</definedName>
    <definedName name="fg" localSheetId="5">#REF!</definedName>
    <definedName name="fg" localSheetId="7">#REF!</definedName>
    <definedName name="fg" localSheetId="8">#REF!</definedName>
    <definedName name="fg" localSheetId="9">#REF!</definedName>
    <definedName name="fg" localSheetId="10">#REF!</definedName>
    <definedName name="fg" localSheetId="6">#REF!</definedName>
    <definedName name="fg" localSheetId="11">#REF!</definedName>
    <definedName name="fg" localSheetId="12">#REF!</definedName>
    <definedName name="fg" localSheetId="13">#REF!</definedName>
    <definedName name="fg" localSheetId="14">#REF!</definedName>
    <definedName name="fg" localSheetId="43">#REF!</definedName>
    <definedName name="fg">#REF!</definedName>
    <definedName name="JR_PAGE_ANCHOR_0_1" localSheetId="15">#REF!</definedName>
    <definedName name="JR_PAGE_ANCHOR_0_1" localSheetId="18">#REF!</definedName>
    <definedName name="JR_PAGE_ANCHOR_0_1" localSheetId="16">#REF!</definedName>
    <definedName name="JR_PAGE_ANCHOR_0_1" localSheetId="19">#REF!</definedName>
    <definedName name="JR_PAGE_ANCHOR_0_1" localSheetId="20">#REF!</definedName>
    <definedName name="JR_PAGE_ANCHOR_0_1" localSheetId="21">#REF!</definedName>
    <definedName name="JR_PAGE_ANCHOR_0_1" localSheetId="22">#REF!</definedName>
    <definedName name="JR_PAGE_ANCHOR_0_1" localSheetId="23">#REF!</definedName>
    <definedName name="JR_PAGE_ANCHOR_0_1" localSheetId="24">#REF!</definedName>
    <definedName name="JR_PAGE_ANCHOR_0_1" localSheetId="25">#REF!</definedName>
    <definedName name="JR_PAGE_ANCHOR_0_1" localSheetId="1">#REF!</definedName>
    <definedName name="JR_PAGE_ANCHOR_0_1" localSheetId="26">#REF!</definedName>
    <definedName name="JR_PAGE_ANCHOR_0_1" localSheetId="27">#REF!</definedName>
    <definedName name="JR_PAGE_ANCHOR_0_1" localSheetId="29">#REF!</definedName>
    <definedName name="JR_PAGE_ANCHOR_0_1" localSheetId="30">#REF!</definedName>
    <definedName name="JR_PAGE_ANCHOR_0_1" localSheetId="28">#REF!</definedName>
    <definedName name="JR_PAGE_ANCHOR_0_1" localSheetId="31">#REF!</definedName>
    <definedName name="JR_PAGE_ANCHOR_0_1" localSheetId="32">#REF!</definedName>
    <definedName name="JR_PAGE_ANCHOR_0_1" localSheetId="33">#REF!</definedName>
    <definedName name="JR_PAGE_ANCHOR_0_1" localSheetId="34">#REF!</definedName>
    <definedName name="JR_PAGE_ANCHOR_0_1" localSheetId="35">#REF!</definedName>
    <definedName name="JR_PAGE_ANCHOR_0_1" localSheetId="36">#REF!</definedName>
    <definedName name="JR_PAGE_ANCHOR_0_1" localSheetId="2">#REF!</definedName>
    <definedName name="JR_PAGE_ANCHOR_0_1" localSheetId="37">#REF!</definedName>
    <definedName name="JR_PAGE_ANCHOR_0_1" localSheetId="38">#REF!</definedName>
    <definedName name="JR_PAGE_ANCHOR_0_1" localSheetId="39">#REF!</definedName>
    <definedName name="JR_PAGE_ANCHOR_0_1" localSheetId="41">#REF!</definedName>
    <definedName name="JR_PAGE_ANCHOR_0_1" localSheetId="40">#REF!</definedName>
    <definedName name="JR_PAGE_ANCHOR_0_1" localSheetId="42">#REF!</definedName>
    <definedName name="JR_PAGE_ANCHOR_0_1" localSheetId="44">#REF!</definedName>
    <definedName name="JR_PAGE_ANCHOR_0_1" localSheetId="45">#REF!</definedName>
    <definedName name="JR_PAGE_ANCHOR_0_1" localSheetId="46">#REF!</definedName>
    <definedName name="JR_PAGE_ANCHOR_0_1" localSheetId="47">#REF!</definedName>
    <definedName name="JR_PAGE_ANCHOR_0_1" localSheetId="3">#REF!</definedName>
    <definedName name="JR_PAGE_ANCHOR_0_1" localSheetId="48">#REF!</definedName>
    <definedName name="JR_PAGE_ANCHOR_0_1" localSheetId="49">#REF!</definedName>
    <definedName name="JR_PAGE_ANCHOR_0_1" localSheetId="50">#REF!</definedName>
    <definedName name="JR_PAGE_ANCHOR_0_1" localSheetId="51">#REF!</definedName>
    <definedName name="JR_PAGE_ANCHOR_0_1" localSheetId="52">#REF!</definedName>
    <definedName name="JR_PAGE_ANCHOR_0_1" localSheetId="53">#REF!</definedName>
    <definedName name="JR_PAGE_ANCHOR_0_1" localSheetId="54">#REF!</definedName>
    <definedName name="JR_PAGE_ANCHOR_0_1" localSheetId="55">#REF!</definedName>
    <definedName name="JR_PAGE_ANCHOR_0_1" localSheetId="56">#REF!</definedName>
    <definedName name="JR_PAGE_ANCHOR_0_1" localSheetId="57">#REF!</definedName>
    <definedName name="JR_PAGE_ANCHOR_0_1" localSheetId="4">#REF!</definedName>
    <definedName name="JR_PAGE_ANCHOR_0_1" localSheetId="58">#REF!</definedName>
    <definedName name="JR_PAGE_ANCHOR_0_1" localSheetId="59">#REF!</definedName>
    <definedName name="JR_PAGE_ANCHOR_0_1" localSheetId="5">#REF!</definedName>
    <definedName name="JR_PAGE_ANCHOR_0_1" localSheetId="7">#REF!</definedName>
    <definedName name="JR_PAGE_ANCHOR_0_1" localSheetId="8">#REF!</definedName>
    <definedName name="JR_PAGE_ANCHOR_0_1" localSheetId="9">#REF!</definedName>
    <definedName name="JR_PAGE_ANCHOR_0_1" localSheetId="10">#REF!</definedName>
    <definedName name="JR_PAGE_ANCHOR_0_1" localSheetId="6">#REF!</definedName>
    <definedName name="JR_PAGE_ANCHOR_0_1" localSheetId="11">#REF!</definedName>
    <definedName name="JR_PAGE_ANCHOR_0_1" localSheetId="12">#REF!</definedName>
    <definedName name="JR_PAGE_ANCHOR_0_1" localSheetId="13">#REF!</definedName>
    <definedName name="JR_PAGE_ANCHOR_0_1" localSheetId="14">#REF!</definedName>
    <definedName name="JR_PAGE_ANCHOR_0_1" localSheetId="43">#REF!</definedName>
    <definedName name="JR_PAGE_ANCHOR_0_1">#REF!</definedName>
    <definedName name="_xlnm.Print_Area" localSheetId="0">'1.UniNo'!$A$1:$M$41</definedName>
    <definedName name="_xlnm.Print_Area" localSheetId="15">'10InstituionEst'!$A$1:$N$41</definedName>
    <definedName name="_xlnm.Print_Area" localSheetId="18">'11b ProgrammeDistance '!$A$1:$N$81</definedName>
    <definedName name="_xlnm.Print_Area" localSheetId="16">'11Programme'!$A$1:$N$268</definedName>
    <definedName name="_xlnm.Print_Area" localSheetId="19">'12UGDisc '!$A$1:$F$131</definedName>
    <definedName name="_xlnm.Print_Area" localSheetId="20">'13PGDisc'!$A$1:$L$298</definedName>
    <definedName name="_xlnm.Print_Area" localSheetId="21">'14-15TotalEnrCategory (2)'!$A$1:$Z$42</definedName>
    <definedName name="_xlnm.Print_Area" localSheetId="22">'16FS-countrylevel'!$A$1:$AC$178</definedName>
    <definedName name="_xlnm.Print_Area" localSheetId="23">'17FS-statelevel'!$A$1:$AC$35</definedName>
    <definedName name="_xlnm.Print_Area" localSheetId="24">'18FS-prog'!$A$1:$E$167</definedName>
    <definedName name="_xlnm.Print_Area" localSheetId="25">'19GER(2011)'!$A$1:$K$41</definedName>
    <definedName name="_xlnm.Print_Area" localSheetId="1">'1a.InsResponse'!$A$1:$N$42</definedName>
    <definedName name="_xlnm.Print_Area" localSheetId="26">'20GPI2011'!$A$1:$E$40</definedName>
    <definedName name="_xlnm.Print_Area" localSheetId="27">'21TeacherCategory'!$A$1:$W$41</definedName>
    <definedName name="_xlnm.Print_Area" localSheetId="29">'22aTeacherPostUC'!$A$1:$W$41</definedName>
    <definedName name="_xlnm.Print_Area" localSheetId="30">'22bTeacherPostU'!$A$1:$W$39</definedName>
    <definedName name="_xlnm.Print_Area" localSheetId="28">'22TeacherPost'!$A$1:$W$41</definedName>
    <definedName name="_xlnm.Print_Area" localSheetId="31">'23StaffPost'!$A$1:$Q$41</definedName>
    <definedName name="_xlnm.Print_Area" localSheetId="32">'24StaffCategory'!$A$1:$Z$41</definedName>
    <definedName name="_xlnm.Print_Area" localSheetId="33">'25PTR'!$A$1:$H$41</definedName>
    <definedName name="_xlnm.Print_Area" localSheetId="34">'26UnivEnrolinclConstituentU'!$A$1:$AC$20</definedName>
    <definedName name="_xlnm.Print_Area" localSheetId="35">'27 28 TypeEnrolmentCategory-Est'!$A$1:$Z$41</definedName>
    <definedName name="_xlnm.Print_Area" localSheetId="36">'29TypeTeacherPostEstimated'!$A$1:$W$19</definedName>
    <definedName name="_xlnm.Print_Area" localSheetId="2">'2University-Specialisation'!$A$1:$T$37</definedName>
    <definedName name="_xlnm.Print_Area" localSheetId="37">'30TypeTeacherCategoryEstimated'!$A$1:$W$19</definedName>
    <definedName name="_xlnm.Print_Area" localSheetId="38">'31Hostelstate '!$A$1:$N$41</definedName>
    <definedName name="_xlnm.Print_Area" localSheetId="40">'33 Out Turn'!$A$1:$AC$41</definedName>
    <definedName name="_xlnm.Print_Area" localSheetId="45">'37 PGDisc_36E '!$A$1:$L$280</definedName>
    <definedName name="_xlnm.Print_Area" localSheetId="46">'38Pop2020(2011)'!$A$1:$K$41</definedName>
    <definedName name="_xlnm.Print_Area" localSheetId="47">'39TypeStateUnivwithConsUnit'!$A$1:$AI$40</definedName>
    <definedName name="_xlnm.Print_Area" localSheetId="3">'3Collegerange'!$A$1:$G$41</definedName>
    <definedName name="_xlnm.Print_Area" localSheetId="48">'40NoUni'!$A$1:$G$37</definedName>
    <definedName name="_xlnm.Print_Area" localSheetId="49">'41NoUniType'!$A$1:$I$207</definedName>
    <definedName name="_xlnm.Print_Area" localSheetId="50">'42CollegeIndicator'!$A$1:$Q$41</definedName>
    <definedName name="_xlnm.Print_Area" localSheetId="51">'43ENRLT 6'!$A$1:$AC$226</definedName>
    <definedName name="_xlnm.Print_Area" localSheetId="52">'44ENRLR 6a'!$A$1:$AC$226</definedName>
    <definedName name="_xlnm.Print_Area" localSheetId="53">'45EnrlCategory 14'!$A$1:$N$226</definedName>
    <definedName name="_xlnm.Print_Area" localSheetId="54">'46EnrlMinority 15'!$A$1:$N$226</definedName>
    <definedName name="_xlnm.Print_Area" localSheetId="55">'47GER  19'!$A$1:$K$226</definedName>
    <definedName name="_xlnm.Print_Area" localSheetId="56">'48GPI 20 Updated'!$A$1:$Q$41</definedName>
    <definedName name="_xlnm.Print_Area" localSheetId="57">'49PTR 25'!$A$1:$H$227</definedName>
    <definedName name="_xlnm.Print_Area" localSheetId="4">'4CollegeIndicator'!$A$1:$F$42</definedName>
    <definedName name="_xlnm.Print_Area" localSheetId="58">'50LevelEnrlUniType'!$A$1:$AC$71</definedName>
    <definedName name="_xlnm.Print_Area" localSheetId="59">'51PostTeacher'!$A$1:$W$226</definedName>
    <definedName name="_xlnm.Print_Area" localSheetId="5">'5ManagementCollegeNo'!$A$1:$T$42</definedName>
    <definedName name="_xlnm.Print_Area" localSheetId="7">'6aTotalRegularEnr'!$A$1:$AC$41</definedName>
    <definedName name="_xlnm.Print_Area" localSheetId="8">'6bTotalDistanceEnr'!$A$1:$W$41</definedName>
    <definedName name="_xlnm.Print_Area" localSheetId="9">'6cTotalPrivateEnr'!$A$1:$T$41</definedName>
    <definedName name="_xlnm.Print_Area" localSheetId="10">'6dTotalOnline'!$A$1:$W$41</definedName>
    <definedName name="_xlnm.Print_Area" localSheetId="6">'6TotalEnr'!$A$1:$AC$41</definedName>
    <definedName name="_xlnm.Print_Area" localSheetId="11">'7UnivActwithConsUnit'!$A$1:$AE$43</definedName>
    <definedName name="_xlnm.Print_Area" localSheetId="12">'8CollegeAct'!$A$1:$AF$41</definedName>
    <definedName name="_xlnm.Print_Area" localSheetId="13">'9AllSAAct'!$A$1:$AX$41</definedName>
    <definedName name="_xlnm.Print_Area" localSheetId="14">'9aSAILevel'!$A$1:$AC$41</definedName>
    <definedName name="_xlnm.Print_Area" localSheetId="43">'Table 35 (34a E)'!$A$1:$N$258</definedName>
    <definedName name="_xlnm.Print_Titles" localSheetId="15">'10InstituionEst'!$A:$B</definedName>
    <definedName name="_xlnm.Print_Titles" localSheetId="17">'11a programme regular'!$1:$4</definedName>
    <definedName name="_xlnm.Print_Titles" localSheetId="18">'11b ProgrammeDistance '!$A:$B,'11b ProgrammeDistance '!$1:$4</definedName>
    <definedName name="_xlnm.Print_Titles" localSheetId="16">'11Programme'!$A:$B,'11Programme'!$1:$4</definedName>
    <definedName name="_xlnm.Print_Titles" localSheetId="19">'12UGDisc '!$1:$3</definedName>
    <definedName name="_xlnm.Print_Titles" localSheetId="20">'13PGDisc'!$1:$4</definedName>
    <definedName name="_xlnm.Print_Titles" localSheetId="21">'14-15TotalEnrCategory (2)'!$A:$B</definedName>
    <definedName name="_xlnm.Print_Titles" localSheetId="22">'16FS-countrylevel'!$A:$B,'16FS-countrylevel'!$1:$4</definedName>
    <definedName name="_xlnm.Print_Titles" localSheetId="23">'17FS-statelevel'!$A:$B,'17FS-statelevel'!$1:$3</definedName>
    <definedName name="_xlnm.Print_Titles" localSheetId="24">'18FS-prog'!$1:$2</definedName>
    <definedName name="_xlnm.Print_Titles" localSheetId="26">'20GPI2011'!$A:$B</definedName>
    <definedName name="_xlnm.Print_Titles" localSheetId="27">'21TeacherCategory'!$A:$B,'21TeacherCategory'!$1:$3</definedName>
    <definedName name="_xlnm.Print_Titles" localSheetId="29">'22aTeacherPostUC'!$A:$B</definedName>
    <definedName name="_xlnm.Print_Titles" localSheetId="30">'22bTeacherPostU'!$A:$B</definedName>
    <definedName name="_xlnm.Print_Titles" localSheetId="28">'22TeacherPost'!$A:$B</definedName>
    <definedName name="_xlnm.Print_Titles" localSheetId="31">'23StaffPost'!$A:$B</definedName>
    <definedName name="_xlnm.Print_Titles" localSheetId="32">'24StaffCategory'!$A:$B,'24StaffCategory'!$1:$3</definedName>
    <definedName name="_xlnm.Print_Titles" localSheetId="33">'25PTR'!$A:$B</definedName>
    <definedName name="_xlnm.Print_Titles" localSheetId="34">'26UnivEnrolinclConstituentU'!$A:$B,'26UnivEnrolinclConstituentU'!$1:$4</definedName>
    <definedName name="_xlnm.Print_Titles" localSheetId="35">'27 28 TypeEnrolmentCategory-Est'!$A:$B</definedName>
    <definedName name="_xlnm.Print_Titles" localSheetId="36">'29TypeTeacherPostEstimated'!$A:$B</definedName>
    <definedName name="_xlnm.Print_Titles" localSheetId="2">'2University-Specialisation'!$A:$B</definedName>
    <definedName name="_xlnm.Print_Titles" localSheetId="37">'30TypeTeacherCategoryEstimated'!$A:$B</definedName>
    <definedName name="_xlnm.Print_Titles" localSheetId="38">'31Hostelstate '!$1:$4</definedName>
    <definedName name="_xlnm.Print_Titles" localSheetId="41">'33 (a) Category Out Turn'!$A:$B,'33 (a) Category Out Turn'!$1:$3</definedName>
    <definedName name="_xlnm.Print_Titles" localSheetId="40">'33 Out Turn'!$A:$B,'33 Out Turn'!$2:$3</definedName>
    <definedName name="_xlnm.Print_Titles" localSheetId="42">'34 Out Turn Prog'!$1:$2</definedName>
    <definedName name="_xlnm.Print_Titles" localSheetId="44">'36 UG Discipline_35 E'!$1:$3</definedName>
    <definedName name="_xlnm.Print_Titles" localSheetId="45">'37 PGDisc_36E '!$1:$4</definedName>
    <definedName name="_xlnm.Print_Titles" localSheetId="47">'39TypeStateUnivwithConsUnit'!$A:$B,'39TypeStateUnivwithConsUnit'!$1:$3</definedName>
    <definedName name="_xlnm.Print_Titles" localSheetId="49">'41NoUniType'!$1:$2</definedName>
    <definedName name="_xlnm.Print_Titles" localSheetId="50">'42CollegeIndicator'!$A:$B,'42CollegeIndicator'!$1:$4</definedName>
    <definedName name="_xlnm.Print_Titles" localSheetId="51">'43ENRLT 6'!$A:$B,'43ENRLT 6'!$1:$4</definedName>
    <definedName name="_xlnm.Print_Titles" localSheetId="52">'44ENRLR 6a'!$A:$B,'44ENRLR 6a'!$1:$4</definedName>
    <definedName name="_xlnm.Print_Titles" localSheetId="53">'45EnrlCategory 14'!$A:$B,'45EnrlCategory 14'!$1:$4</definedName>
    <definedName name="_xlnm.Print_Titles" localSheetId="54">'46EnrlMinority 15'!$B:$B,'46EnrlMinority 15'!$1:$4</definedName>
    <definedName name="_xlnm.Print_Titles" localSheetId="55">'47GER  19'!$1:$4</definedName>
    <definedName name="_xlnm.Print_Titles" localSheetId="56">'48GPI 20 Updated'!$A:$B,'48GPI 20 Updated'!$1:$1</definedName>
    <definedName name="_xlnm.Print_Titles" localSheetId="57">'49PTR 25'!$1:$4</definedName>
    <definedName name="_xlnm.Print_Titles" localSheetId="58">'50LevelEnrlUniType'!$A:$B,'50LevelEnrlUniType'!$1:$4</definedName>
    <definedName name="_xlnm.Print_Titles" localSheetId="59">'51PostTeacher'!$B:$B,'51PostTeacher'!$1:$4</definedName>
    <definedName name="_xlnm.Print_Titles" localSheetId="5">'5ManagementCollegeNo'!$A:$B</definedName>
    <definedName name="_xlnm.Print_Titles" localSheetId="7">'6aTotalRegularEnr'!$A:$B</definedName>
    <definedName name="_xlnm.Print_Titles" localSheetId="8">'6bTotalDistanceEnr'!$A:$B</definedName>
    <definedName name="_xlnm.Print_Titles" localSheetId="9">'6cTotalPrivateEnr'!$A:$B</definedName>
    <definedName name="_xlnm.Print_Titles" localSheetId="10">'6dTotalOnline'!$A:$B</definedName>
    <definedName name="_xlnm.Print_Titles" localSheetId="6">'6TotalEnr'!$A:$B</definedName>
    <definedName name="_xlnm.Print_Titles" localSheetId="11">'7UnivActwithConsUnit'!$A:$B</definedName>
    <definedName name="_xlnm.Print_Titles" localSheetId="12">'8CollegeAct'!$A:$B</definedName>
    <definedName name="_xlnm.Print_Titles" localSheetId="13">'9AllSAAct'!$A:$B</definedName>
    <definedName name="_xlnm.Print_Titles" localSheetId="14">'9aSAILevel'!$A:$B</definedName>
    <definedName name="_xlnm.Print_Titles" localSheetId="43">'Table 35 (34a E)'!$A:$B,'Table 35 (34a E)'!$1:$3</definedName>
    <definedName name="qwerty" localSheetId="15">#REF!</definedName>
    <definedName name="qwerty" localSheetId="18">#REF!</definedName>
    <definedName name="qwerty" localSheetId="16">#REF!</definedName>
    <definedName name="qwerty" localSheetId="19">#REF!</definedName>
    <definedName name="qwerty" localSheetId="20">#REF!</definedName>
    <definedName name="qwerty" localSheetId="21">#REF!</definedName>
    <definedName name="qwerty" localSheetId="22">#REF!</definedName>
    <definedName name="qwerty" localSheetId="23">#REF!</definedName>
    <definedName name="qwerty" localSheetId="24">#REF!</definedName>
    <definedName name="qwerty" localSheetId="25">#REF!</definedName>
    <definedName name="qwerty" localSheetId="1">#REF!</definedName>
    <definedName name="qwerty" localSheetId="26">#REF!</definedName>
    <definedName name="qwerty" localSheetId="27">#REF!</definedName>
    <definedName name="qwerty" localSheetId="29">#REF!</definedName>
    <definedName name="qwerty" localSheetId="30">#REF!</definedName>
    <definedName name="qwerty" localSheetId="28">#REF!</definedName>
    <definedName name="qwerty" localSheetId="31">#REF!</definedName>
    <definedName name="qwerty" localSheetId="32">#REF!</definedName>
    <definedName name="qwerty" localSheetId="33">#REF!</definedName>
    <definedName name="qwerty" localSheetId="34">#REF!</definedName>
    <definedName name="qwerty" localSheetId="35">#REF!</definedName>
    <definedName name="qwerty" localSheetId="36">#REF!</definedName>
    <definedName name="qwerty" localSheetId="2">#REF!</definedName>
    <definedName name="qwerty" localSheetId="37">#REF!</definedName>
    <definedName name="qwerty" localSheetId="38">#REF!</definedName>
    <definedName name="qwerty" localSheetId="39">#REF!</definedName>
    <definedName name="qwerty" localSheetId="41">#REF!</definedName>
    <definedName name="qwerty" localSheetId="40">#REF!</definedName>
    <definedName name="qwerty" localSheetId="42">#REF!</definedName>
    <definedName name="qwerty" localSheetId="44">#REF!</definedName>
    <definedName name="qwerty" localSheetId="45">#REF!</definedName>
    <definedName name="qwerty" localSheetId="46">#REF!</definedName>
    <definedName name="qwerty" localSheetId="47">#REF!</definedName>
    <definedName name="qwerty" localSheetId="3">#REF!</definedName>
    <definedName name="qwerty" localSheetId="48">#REF!</definedName>
    <definedName name="qwerty" localSheetId="4">#REF!</definedName>
    <definedName name="qwerty" localSheetId="5">#REF!</definedName>
    <definedName name="qwerty" localSheetId="7">#REF!</definedName>
    <definedName name="qwerty" localSheetId="8">#REF!</definedName>
    <definedName name="qwerty" localSheetId="9">#REF!</definedName>
    <definedName name="qwerty" localSheetId="10">#REF!</definedName>
    <definedName name="qwerty" localSheetId="6">#REF!</definedName>
    <definedName name="qwerty" localSheetId="11">#REF!</definedName>
    <definedName name="qwerty" localSheetId="12">#REF!</definedName>
    <definedName name="qwerty" localSheetId="13">#REF!</definedName>
    <definedName name="qwerty" localSheetId="14">#REF!</definedName>
    <definedName name="qwerty" localSheetId="43">#REF!</definedName>
    <definedName name="qwer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2" l="1"/>
  <c r="O21" i="2"/>
  <c r="P21" i="2"/>
  <c r="N22" i="2"/>
  <c r="O22" i="2"/>
  <c r="P22" i="2"/>
  <c r="N23" i="2"/>
  <c r="O23" i="2"/>
  <c r="P23" i="2"/>
  <c r="N24" i="2"/>
  <c r="O24" i="2"/>
  <c r="P24" i="2"/>
  <c r="N25" i="2"/>
  <c r="O25" i="2"/>
  <c r="P25" i="2"/>
  <c r="N26" i="2"/>
  <c r="O26" i="2"/>
  <c r="P26" i="2"/>
  <c r="N27" i="2"/>
  <c r="O27" i="2"/>
  <c r="P27" i="2"/>
  <c r="N28" i="2"/>
  <c r="P28" i="2" s="1"/>
  <c r="O28" i="2"/>
  <c r="N29" i="2"/>
  <c r="O29" i="2"/>
  <c r="P29" i="2"/>
  <c r="N30" i="2"/>
  <c r="O30" i="2"/>
  <c r="P30" i="2"/>
  <c r="N31" i="2"/>
  <c r="O31" i="2"/>
  <c r="P31" i="2"/>
  <c r="N32" i="2"/>
  <c r="O32" i="2"/>
  <c r="P32" i="2"/>
  <c r="N33" i="2"/>
  <c r="O33" i="2"/>
  <c r="P33" i="2"/>
  <c r="N34" i="2"/>
  <c r="O34" i="2"/>
  <c r="P34" i="2"/>
  <c r="N35" i="2"/>
  <c r="P35" i="2" s="1"/>
  <c r="O35" i="2"/>
  <c r="N36" i="2"/>
  <c r="O36" i="2"/>
  <c r="P36" i="2"/>
  <c r="N37" i="2"/>
  <c r="O37" i="2"/>
  <c r="P37" i="2"/>
  <c r="N38" i="2"/>
  <c r="O38" i="2"/>
  <c r="P38" i="2"/>
  <c r="N39" i="2"/>
  <c r="O39" i="2"/>
  <c r="P39" i="2"/>
  <c r="N40" i="2"/>
  <c r="O40" i="2"/>
  <c r="P40" i="2"/>
  <c r="N5" i="2"/>
  <c r="O5" i="2"/>
  <c r="P5" i="2"/>
  <c r="N6" i="2"/>
  <c r="O6" i="2"/>
  <c r="P6" i="2"/>
  <c r="N7" i="2"/>
  <c r="O7" i="2"/>
  <c r="P7" i="2"/>
  <c r="N8" i="2"/>
  <c r="O8" i="2"/>
  <c r="P8" i="2"/>
  <c r="N9" i="2"/>
  <c r="O9" i="2"/>
  <c r="P9" i="2"/>
  <c r="N10" i="2"/>
  <c r="O10" i="2"/>
  <c r="P10" i="2"/>
  <c r="N11" i="2"/>
  <c r="O11" i="2"/>
  <c r="P11" i="2"/>
  <c r="N12" i="2"/>
  <c r="O12" i="2"/>
  <c r="P12" i="2"/>
  <c r="N13" i="2"/>
  <c r="O13" i="2"/>
  <c r="P13" i="2"/>
  <c r="N14" i="2"/>
  <c r="P14" i="2" s="1"/>
  <c r="O14" i="2"/>
  <c r="N15" i="2"/>
  <c r="O15" i="2"/>
  <c r="P15" i="2"/>
  <c r="N16" i="2"/>
  <c r="O16" i="2"/>
  <c r="P16" i="2"/>
  <c r="N17" i="2"/>
  <c r="O17" i="2"/>
  <c r="P17" i="2"/>
  <c r="N18" i="2"/>
  <c r="O18" i="2"/>
  <c r="P18" i="2"/>
  <c r="N19" i="2"/>
  <c r="O19" i="2"/>
  <c r="P19" i="2"/>
  <c r="N20" i="2"/>
  <c r="O20" i="2"/>
  <c r="P20" i="2"/>
  <c r="P4" i="2"/>
  <c r="O4" i="2"/>
  <c r="N4" i="2"/>
  <c r="L17" i="35"/>
  <c r="U17" i="35" s="1"/>
  <c r="L1" i="35"/>
  <c r="U1" i="35" s="1"/>
  <c r="O1" i="33"/>
  <c r="I1" i="32"/>
  <c r="L1" i="31"/>
  <c r="I1" i="30"/>
  <c r="O1" i="30" s="1"/>
  <c r="I1" i="29"/>
  <c r="O1" i="29" s="1"/>
  <c r="U71" i="60"/>
  <c r="L71" i="60"/>
  <c r="N43" i="12"/>
  <c r="W43" i="12" s="1"/>
  <c r="I1" i="61" l="1"/>
  <c r="R1" i="61" s="1"/>
  <c r="U1" i="60"/>
  <c r="L1" i="60"/>
  <c r="M1" i="58"/>
  <c r="H1" i="58"/>
  <c r="I1" i="55"/>
  <c r="L1" i="54"/>
  <c r="U1" i="54" s="1"/>
  <c r="L1" i="53"/>
  <c r="U1" i="53" s="1"/>
  <c r="H1" i="52"/>
  <c r="M1" i="52" s="1"/>
  <c r="L1" i="49"/>
  <c r="U1" i="49"/>
  <c r="AD1" i="49"/>
  <c r="D5" i="47"/>
  <c r="J5" i="47"/>
  <c r="D6" i="47"/>
  <c r="J6" i="47"/>
  <c r="D7" i="47"/>
  <c r="J7" i="47"/>
  <c r="D8" i="47"/>
  <c r="J8" i="47"/>
  <c r="D9" i="47"/>
  <c r="J9" i="47"/>
  <c r="J10" i="47"/>
  <c r="J11" i="47"/>
  <c r="D12" i="47"/>
  <c r="G12" i="47"/>
  <c r="J12" i="47"/>
  <c r="J13" i="47"/>
  <c r="D14" i="47"/>
  <c r="G14" i="47"/>
  <c r="J14" i="47"/>
  <c r="J15" i="47"/>
  <c r="J16" i="47"/>
  <c r="J17" i="47"/>
  <c r="J18" i="47"/>
  <c r="J19" i="47"/>
  <c r="D20" i="47"/>
  <c r="G20" i="47"/>
  <c r="J20" i="47"/>
  <c r="J21" i="47"/>
  <c r="J22" i="47"/>
  <c r="D23" i="47"/>
  <c r="G23" i="47"/>
  <c r="J23" i="47"/>
  <c r="J24" i="47"/>
  <c r="J25" i="47"/>
  <c r="D26" i="47"/>
  <c r="J26" i="47"/>
  <c r="D27" i="47"/>
  <c r="J27" i="47"/>
  <c r="D28" i="47"/>
  <c r="G28" i="47"/>
  <c r="J28" i="47"/>
  <c r="D29" i="47"/>
  <c r="G29" i="47"/>
  <c r="J29" i="47"/>
  <c r="J30" i="47"/>
  <c r="J31" i="47"/>
  <c r="J32" i="47"/>
  <c r="D33" i="47"/>
  <c r="J33" i="47"/>
  <c r="D34" i="47"/>
  <c r="J34" i="47"/>
  <c r="D35" i="47"/>
  <c r="J35" i="47"/>
  <c r="J36" i="47"/>
  <c r="D37" i="47"/>
  <c r="J37" i="47"/>
  <c r="J38" i="47"/>
  <c r="J39" i="47"/>
  <c r="D40" i="47"/>
  <c r="G40" i="47"/>
  <c r="J40" i="47"/>
  <c r="D41" i="47"/>
  <c r="G41" i="47"/>
  <c r="J41" i="47"/>
  <c r="D42" i="47"/>
  <c r="J42" i="47"/>
  <c r="D43" i="47"/>
  <c r="J43" i="47"/>
  <c r="D44" i="47"/>
  <c r="J44" i="47"/>
  <c r="J45" i="47"/>
  <c r="J46" i="47"/>
  <c r="D47" i="47"/>
  <c r="J47" i="47"/>
  <c r="D48" i="47"/>
  <c r="J48" i="47"/>
  <c r="D49" i="47"/>
  <c r="J49" i="47"/>
  <c r="D50" i="47"/>
  <c r="J50" i="47"/>
  <c r="D51" i="47"/>
  <c r="J51" i="47"/>
  <c r="D53" i="47"/>
  <c r="J53" i="47"/>
  <c r="J54" i="47"/>
  <c r="D55" i="47"/>
  <c r="J55" i="47"/>
  <c r="D56" i="47"/>
  <c r="J56" i="47"/>
  <c r="J57" i="47"/>
  <c r="D58" i="47"/>
  <c r="J58" i="47"/>
  <c r="D59" i="47"/>
  <c r="J59" i="47"/>
  <c r="D60" i="47"/>
  <c r="J60" i="47"/>
  <c r="D61" i="47"/>
  <c r="J61" i="47"/>
  <c r="D62" i="47"/>
  <c r="J62" i="47"/>
  <c r="D63" i="47"/>
  <c r="J63" i="47"/>
  <c r="D64" i="47"/>
  <c r="J64" i="47"/>
  <c r="D65" i="47"/>
  <c r="D66" i="47"/>
  <c r="D68" i="47"/>
  <c r="D69" i="47"/>
  <c r="D70" i="47"/>
  <c r="J70" i="47"/>
  <c r="D71" i="47"/>
  <c r="J71" i="47"/>
  <c r="D72" i="47"/>
  <c r="G72" i="47"/>
  <c r="J72" i="47"/>
  <c r="D73" i="47"/>
  <c r="J73" i="47"/>
  <c r="D74" i="47"/>
  <c r="J74" i="47"/>
  <c r="D75" i="47"/>
  <c r="J75" i="47"/>
  <c r="D76" i="47"/>
  <c r="G76" i="47"/>
  <c r="J76" i="47"/>
  <c r="D77" i="47"/>
  <c r="J77" i="47"/>
  <c r="D78" i="47"/>
  <c r="J78" i="47"/>
  <c r="J79" i="47"/>
  <c r="J80" i="47"/>
  <c r="J81" i="47"/>
  <c r="D82" i="47"/>
  <c r="G82" i="47"/>
  <c r="J82" i="47"/>
  <c r="D83" i="47"/>
  <c r="J83" i="47"/>
  <c r="J84" i="47"/>
  <c r="D85" i="47"/>
  <c r="J85" i="47"/>
  <c r="D86" i="47"/>
  <c r="J86" i="47"/>
  <c r="D87" i="47"/>
  <c r="G87" i="47"/>
  <c r="J87" i="47"/>
  <c r="J88" i="47"/>
  <c r="J89" i="47"/>
  <c r="D90" i="47"/>
  <c r="J90" i="47"/>
  <c r="D91" i="47"/>
  <c r="J91" i="47"/>
  <c r="J92" i="47"/>
  <c r="D93" i="47"/>
  <c r="J93" i="47"/>
  <c r="D94" i="47"/>
  <c r="J94" i="47"/>
  <c r="D95" i="47"/>
  <c r="J95" i="47"/>
  <c r="D96" i="47"/>
  <c r="J96" i="47"/>
  <c r="J97" i="47"/>
  <c r="J98" i="47"/>
  <c r="J99" i="47"/>
  <c r="D100" i="47"/>
  <c r="G100" i="47"/>
  <c r="J100" i="47"/>
  <c r="D101" i="47"/>
  <c r="G101" i="47"/>
  <c r="J101" i="47"/>
  <c r="D102" i="47"/>
  <c r="J102" i="47"/>
  <c r="D103" i="47"/>
  <c r="J103" i="47"/>
  <c r="D104" i="47"/>
  <c r="G104" i="47"/>
  <c r="J104" i="47"/>
  <c r="D105" i="47"/>
  <c r="J105" i="47"/>
  <c r="D106" i="47"/>
  <c r="J106" i="47"/>
  <c r="D107" i="47"/>
  <c r="G107" i="47"/>
  <c r="J107" i="47"/>
  <c r="D108" i="47"/>
  <c r="G108" i="47"/>
  <c r="J108" i="47"/>
  <c r="D109" i="47"/>
  <c r="G109" i="47"/>
  <c r="J109" i="47"/>
  <c r="D110" i="47"/>
  <c r="J110" i="47"/>
  <c r="J111" i="47"/>
  <c r="D112" i="47"/>
  <c r="G112" i="47"/>
  <c r="J112" i="47"/>
  <c r="J115" i="47"/>
  <c r="D116" i="47"/>
  <c r="J116" i="47"/>
  <c r="J117" i="47"/>
  <c r="D118" i="47"/>
  <c r="G118" i="47"/>
  <c r="J118" i="47"/>
  <c r="D119" i="47"/>
  <c r="J119" i="47"/>
  <c r="J120" i="47"/>
  <c r="D121" i="47"/>
  <c r="G121" i="47"/>
  <c r="J121" i="47"/>
  <c r="D122" i="47"/>
  <c r="G122" i="47"/>
  <c r="J122" i="47"/>
  <c r="D123" i="47"/>
  <c r="G123" i="47"/>
  <c r="J123" i="47"/>
  <c r="J124" i="47"/>
  <c r="J125" i="47"/>
  <c r="J126" i="47"/>
  <c r="J127" i="47"/>
  <c r="D128" i="47"/>
  <c r="J128" i="47"/>
  <c r="D129" i="47"/>
  <c r="J129" i="47"/>
  <c r="D130" i="47"/>
  <c r="G130" i="47"/>
  <c r="J130" i="47"/>
  <c r="D131" i="47"/>
  <c r="G131" i="47"/>
  <c r="J131" i="47"/>
  <c r="D132" i="47"/>
  <c r="G132" i="47"/>
  <c r="J132" i="47"/>
  <c r="D133" i="47"/>
  <c r="G133" i="47"/>
  <c r="J133" i="47"/>
  <c r="D134" i="47"/>
  <c r="J134" i="47"/>
  <c r="D135" i="47"/>
  <c r="J135" i="47"/>
  <c r="D136" i="47"/>
  <c r="J136" i="47"/>
  <c r="J137" i="47"/>
  <c r="J138" i="47"/>
  <c r="D139" i="47"/>
  <c r="J139" i="47"/>
  <c r="J140" i="47"/>
  <c r="J141" i="47"/>
  <c r="D142" i="47"/>
  <c r="J142" i="47"/>
  <c r="D143" i="47"/>
  <c r="J143" i="47"/>
  <c r="J144" i="47"/>
  <c r="J145" i="47"/>
  <c r="J146" i="47"/>
  <c r="D147" i="47"/>
  <c r="G147" i="47"/>
  <c r="J147" i="47"/>
  <c r="D148" i="47"/>
  <c r="J148" i="47"/>
  <c r="J149" i="47"/>
  <c r="J150" i="47"/>
  <c r="J151" i="47"/>
  <c r="D152" i="47"/>
  <c r="J152" i="47"/>
  <c r="D153" i="47"/>
  <c r="J153" i="47"/>
  <c r="D154" i="47"/>
  <c r="G154" i="47"/>
  <c r="J154" i="47"/>
  <c r="D155" i="47"/>
  <c r="J155" i="47"/>
  <c r="D156" i="47"/>
  <c r="J156" i="47"/>
  <c r="D157" i="47"/>
  <c r="J157" i="47"/>
  <c r="D158" i="47"/>
  <c r="J158" i="47"/>
  <c r="D159" i="47"/>
  <c r="J159" i="47"/>
  <c r="D160" i="47"/>
  <c r="J160" i="47"/>
  <c r="J162" i="47"/>
  <c r="D163" i="47"/>
  <c r="J163" i="47"/>
  <c r="D164" i="47"/>
  <c r="J164" i="47"/>
  <c r="D165" i="47"/>
  <c r="J165" i="47"/>
  <c r="D166" i="47"/>
  <c r="J166" i="47"/>
  <c r="D167" i="47"/>
  <c r="J167" i="47"/>
  <c r="D168" i="47"/>
  <c r="J168" i="47"/>
  <c r="D169" i="47"/>
  <c r="J169" i="47"/>
  <c r="D170" i="47"/>
  <c r="J170" i="47"/>
  <c r="D171" i="47"/>
  <c r="G171" i="47"/>
  <c r="J171" i="47"/>
  <c r="D172" i="47"/>
  <c r="J172" i="47"/>
  <c r="J173" i="47"/>
  <c r="D174" i="47"/>
  <c r="J174" i="47"/>
  <c r="D175" i="47"/>
  <c r="J175" i="47"/>
  <c r="D176" i="47"/>
  <c r="J176" i="47"/>
  <c r="J177" i="47"/>
  <c r="D178" i="47"/>
  <c r="J178" i="47"/>
  <c r="J179" i="47"/>
  <c r="D180" i="47"/>
  <c r="J180" i="47"/>
  <c r="J181" i="47"/>
  <c r="D182" i="47"/>
  <c r="J182" i="47"/>
  <c r="D183" i="47"/>
  <c r="J183" i="47"/>
  <c r="D184" i="47"/>
  <c r="J184" i="47"/>
  <c r="J185" i="47"/>
  <c r="D186" i="47"/>
  <c r="J186" i="47"/>
  <c r="J187" i="47"/>
  <c r="D188" i="47"/>
  <c r="J188" i="47"/>
  <c r="J189" i="47"/>
  <c r="D190" i="47"/>
  <c r="J190" i="47"/>
  <c r="D191" i="47"/>
  <c r="J191" i="47"/>
  <c r="J192" i="47"/>
  <c r="D193" i="47"/>
  <c r="J193" i="47"/>
  <c r="D194" i="47"/>
  <c r="J194" i="47"/>
  <c r="D195" i="47"/>
  <c r="J195" i="47"/>
  <c r="D196" i="47"/>
  <c r="J196" i="47"/>
  <c r="D197" i="47"/>
  <c r="J197" i="47"/>
  <c r="J198" i="47"/>
  <c r="D199" i="47"/>
  <c r="G199" i="47"/>
  <c r="J199" i="47"/>
  <c r="D200" i="47"/>
  <c r="J200" i="47"/>
  <c r="D201" i="47"/>
  <c r="J201" i="47"/>
  <c r="D202" i="47"/>
  <c r="J202" i="47"/>
  <c r="J203" i="47"/>
  <c r="D204" i="47"/>
  <c r="J204" i="47"/>
  <c r="D205" i="47"/>
  <c r="G205" i="47"/>
  <c r="J205" i="47"/>
  <c r="J206" i="47"/>
  <c r="J207" i="47"/>
  <c r="D208" i="47"/>
  <c r="J208" i="47"/>
  <c r="J209" i="47"/>
  <c r="D210" i="47"/>
  <c r="J210" i="47"/>
  <c r="D211" i="47"/>
  <c r="J211" i="47"/>
  <c r="D212" i="47"/>
  <c r="J212" i="47"/>
  <c r="J213" i="47"/>
  <c r="J214" i="47"/>
  <c r="J215" i="47"/>
  <c r="J216" i="47"/>
  <c r="D217" i="47"/>
  <c r="G217" i="47"/>
  <c r="J217" i="47"/>
  <c r="D218" i="47"/>
  <c r="J218" i="47"/>
  <c r="D219" i="47"/>
  <c r="G219" i="47"/>
  <c r="J219" i="47"/>
  <c r="J220" i="47"/>
  <c r="J221" i="47"/>
  <c r="J222" i="47"/>
  <c r="J223" i="47"/>
  <c r="D224" i="47"/>
  <c r="J224" i="47"/>
  <c r="J225" i="47"/>
  <c r="D226" i="47"/>
  <c r="J226" i="47"/>
  <c r="D227" i="47"/>
  <c r="J227" i="47"/>
  <c r="D228" i="47"/>
  <c r="J228" i="47"/>
  <c r="D229" i="47"/>
  <c r="J229" i="47"/>
  <c r="D230" i="47"/>
  <c r="J230" i="47"/>
  <c r="J233" i="47"/>
  <c r="D234" i="47"/>
  <c r="J234" i="47"/>
  <c r="D235" i="47"/>
  <c r="J235" i="47"/>
  <c r="D236" i="47"/>
  <c r="J236" i="47"/>
  <c r="D237" i="47"/>
  <c r="G237" i="47"/>
  <c r="J237" i="47"/>
  <c r="D238" i="47"/>
  <c r="G238" i="47"/>
  <c r="J238" i="47"/>
  <c r="J239" i="47"/>
  <c r="J240" i="47"/>
  <c r="J241" i="47"/>
  <c r="D242" i="47"/>
  <c r="J242" i="47"/>
  <c r="D243" i="47"/>
  <c r="G243" i="47"/>
  <c r="J243" i="47"/>
  <c r="D244" i="47"/>
  <c r="J244" i="47"/>
  <c r="D245" i="47"/>
  <c r="G245" i="47"/>
  <c r="J245" i="47"/>
  <c r="D246" i="47"/>
  <c r="J246" i="47"/>
  <c r="D247" i="47"/>
  <c r="J247" i="47"/>
  <c r="D248" i="47"/>
  <c r="G248" i="47"/>
  <c r="J248" i="47"/>
  <c r="D249" i="47"/>
  <c r="G249" i="47"/>
  <c r="J249" i="47"/>
  <c r="D250" i="47"/>
  <c r="G250" i="47"/>
  <c r="J250" i="47"/>
  <c r="D251" i="47"/>
  <c r="G251" i="47"/>
  <c r="J251" i="47"/>
  <c r="D252" i="47"/>
  <c r="J252" i="47"/>
  <c r="D253" i="47"/>
  <c r="J253" i="47"/>
  <c r="D254" i="47"/>
  <c r="G254" i="47"/>
  <c r="J254" i="47"/>
  <c r="D255" i="47"/>
  <c r="G255" i="47"/>
  <c r="J255" i="47"/>
  <c r="D256" i="47"/>
  <c r="J256" i="47"/>
  <c r="D257" i="47"/>
  <c r="G257" i="47"/>
  <c r="J257" i="47"/>
  <c r="D258" i="47"/>
  <c r="G258" i="47"/>
  <c r="J258" i="47"/>
  <c r="D259" i="47"/>
  <c r="G259" i="47"/>
  <c r="J259" i="47"/>
  <c r="D260" i="47"/>
  <c r="D261" i="47"/>
  <c r="J261" i="47"/>
  <c r="J262" i="47"/>
  <c r="D263" i="47"/>
  <c r="G263" i="47"/>
  <c r="J263" i="47"/>
  <c r="D264" i="47"/>
  <c r="G264" i="47"/>
  <c r="J264" i="47"/>
  <c r="D265" i="47"/>
  <c r="G265" i="47"/>
  <c r="J265" i="47"/>
  <c r="D266" i="47"/>
  <c r="J266" i="47"/>
  <c r="D267" i="47"/>
  <c r="G267" i="47"/>
  <c r="J267" i="47"/>
  <c r="D268" i="47"/>
  <c r="J268" i="47"/>
  <c r="D270" i="47"/>
  <c r="G270" i="47"/>
  <c r="J270" i="47"/>
  <c r="D271" i="47"/>
  <c r="J271" i="47"/>
  <c r="D272" i="47"/>
  <c r="G272" i="47"/>
  <c r="J272" i="47"/>
  <c r="D273" i="47"/>
  <c r="G273" i="47"/>
  <c r="J273" i="47"/>
  <c r="D274" i="47"/>
  <c r="G274" i="47"/>
  <c r="J274" i="47"/>
  <c r="J275" i="47"/>
  <c r="D276" i="47"/>
  <c r="J276" i="47"/>
  <c r="D277" i="47"/>
  <c r="J277" i="47"/>
  <c r="D278" i="47"/>
  <c r="J278" i="47"/>
  <c r="D279" i="47"/>
  <c r="J279" i="47"/>
  <c r="D280" i="47"/>
  <c r="G280" i="47"/>
  <c r="J280" i="47"/>
  <c r="I1" i="45"/>
  <c r="L1" i="42"/>
  <c r="U1" i="42"/>
  <c r="I1" i="11" l="1"/>
  <c r="O1" i="11" s="1"/>
  <c r="L16" i="38" l="1"/>
  <c r="L1" i="38"/>
  <c r="L16" i="37"/>
  <c r="L1" i="37"/>
  <c r="L1" i="24"/>
  <c r="U1" i="24" s="1"/>
  <c r="L1" i="23"/>
  <c r="U1" i="23" s="1"/>
  <c r="Z40" i="22"/>
  <c r="Y40" i="22"/>
  <c r="X40" i="22"/>
  <c r="Z39" i="22"/>
  <c r="Y39" i="22"/>
  <c r="X39" i="22"/>
  <c r="Z38" i="22"/>
  <c r="Y38" i="22"/>
  <c r="X38" i="22"/>
  <c r="Z37" i="22"/>
  <c r="Y37" i="22"/>
  <c r="X37" i="22"/>
  <c r="Z36" i="22"/>
  <c r="Y36" i="22"/>
  <c r="X36" i="22"/>
  <c r="Z35" i="22"/>
  <c r="Y35" i="22"/>
  <c r="X35" i="22"/>
  <c r="Z34" i="22"/>
  <c r="Y34" i="22"/>
  <c r="X34" i="22"/>
  <c r="Z33" i="22"/>
  <c r="Y33" i="22"/>
  <c r="X33" i="22"/>
  <c r="Z32" i="22"/>
  <c r="Y32" i="22"/>
  <c r="X32" i="22"/>
  <c r="Z31" i="22"/>
  <c r="Y31" i="22"/>
  <c r="X31" i="22"/>
  <c r="Z30" i="22"/>
  <c r="Y30" i="22"/>
  <c r="X30" i="22"/>
  <c r="Z29" i="22"/>
  <c r="Y29" i="22"/>
  <c r="X29" i="22"/>
  <c r="Z28" i="22"/>
  <c r="Y28" i="22"/>
  <c r="X28" i="22"/>
  <c r="Z27" i="22"/>
  <c r="Y27" i="22"/>
  <c r="X27" i="22"/>
  <c r="Z26" i="22"/>
  <c r="Y26" i="22"/>
  <c r="X26" i="22"/>
  <c r="Z25" i="22"/>
  <c r="Y25" i="22"/>
  <c r="X25" i="22"/>
  <c r="Z24" i="22"/>
  <c r="Y24" i="22"/>
  <c r="X24" i="22"/>
  <c r="Z23" i="22"/>
  <c r="Y23" i="22"/>
  <c r="X23" i="22"/>
  <c r="Z21" i="22"/>
  <c r="X21" i="22"/>
  <c r="Z20" i="22"/>
  <c r="Y20" i="22"/>
  <c r="X20" i="22"/>
  <c r="Z19" i="22"/>
  <c r="Y19" i="22"/>
  <c r="X19" i="22"/>
  <c r="Z18" i="22"/>
  <c r="Y18" i="22"/>
  <c r="X18" i="22"/>
  <c r="Z17" i="22"/>
  <c r="Y17" i="22"/>
  <c r="X17" i="22"/>
  <c r="Z16" i="22"/>
  <c r="Y16" i="22"/>
  <c r="X16" i="22"/>
  <c r="Z15" i="22"/>
  <c r="Y15" i="22"/>
  <c r="X15" i="22"/>
  <c r="Z14" i="22"/>
  <c r="Y14" i="22"/>
  <c r="X14" i="22"/>
  <c r="Z13" i="22"/>
  <c r="Y13" i="22"/>
  <c r="X13" i="22"/>
  <c r="Z12" i="22"/>
  <c r="Y12" i="22"/>
  <c r="X12" i="22"/>
  <c r="Z11" i="22"/>
  <c r="Y11" i="22"/>
  <c r="X11" i="22"/>
  <c r="Z10" i="22"/>
  <c r="Y10" i="22"/>
  <c r="X10" i="22"/>
  <c r="Z9" i="22"/>
  <c r="Y9" i="22"/>
  <c r="X9" i="22"/>
  <c r="Z8" i="22"/>
  <c r="Y8" i="22"/>
  <c r="X8" i="22"/>
  <c r="Z7" i="22"/>
  <c r="Y7" i="22"/>
  <c r="X7" i="22"/>
  <c r="Z6" i="22"/>
  <c r="Y6" i="22"/>
  <c r="X6" i="22"/>
  <c r="Z5" i="22"/>
  <c r="Y5" i="22"/>
  <c r="X5" i="22"/>
  <c r="I1" i="19"/>
  <c r="U1" i="15" l="1"/>
  <c r="L1" i="15"/>
  <c r="O1" i="14"/>
  <c r="AA1" i="14" s="1"/>
  <c r="AM1" i="14" s="1"/>
  <c r="W1" i="13"/>
  <c r="N1" i="13"/>
  <c r="W1" i="12"/>
  <c r="N1" i="12"/>
  <c r="L1" i="10"/>
  <c r="O1" i="9"/>
  <c r="I1" i="9"/>
  <c r="U1" i="8"/>
  <c r="L1" i="8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U1" i="7"/>
  <c r="L1" i="7"/>
  <c r="L1" i="4"/>
  <c r="N41" i="3"/>
  <c r="H41" i="3"/>
  <c r="N12" i="3"/>
  <c r="H12" i="3"/>
</calcChain>
</file>

<file path=xl/sharedStrings.xml><?xml version="1.0" encoding="utf-8"?>
<sst xmlns="http://schemas.openxmlformats.org/spreadsheetml/2006/main" count="7130" uniqueCount="1049">
  <si>
    <t xml:space="preserve">Sl. No. </t>
  </si>
  <si>
    <t>State/UTs</t>
  </si>
  <si>
    <t>Central University</t>
  </si>
  <si>
    <t>Central Open University</t>
  </si>
  <si>
    <t>Institute of National Importance</t>
  </si>
  <si>
    <t>State Public University</t>
  </si>
  <si>
    <t>Institute under State Legislature Act</t>
  </si>
  <si>
    <t>State Open University</t>
  </si>
  <si>
    <t>State Private University</t>
  </si>
  <si>
    <t>Deemed University-Government</t>
  </si>
  <si>
    <t>Deemed University-Government Aided</t>
  </si>
  <si>
    <t>Deemed University-Private</t>
  </si>
  <si>
    <t>Grand Total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</si>
  <si>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</si>
  <si>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</si>
  <si>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</si>
  <si>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</si>
  <si>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</si>
  <si>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</si>
  <si>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</si>
  <si>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</si>
  <si>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</si>
  <si>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</si>
  <si>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</si>
  <si>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</si>
  <si>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</si>
  <si>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</si>
  <si>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</si>
  <si>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</si>
  <si>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</si>
  <si>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</si>
  <si>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</si>
  <si>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</si>
  <si>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</si>
  <si>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</si>
  <si>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</si>
  <si>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</si>
  <si>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</si>
  <si>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</si>
  <si>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</si>
  <si>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</si>
  <si>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</si>
  <si>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</si>
  <si>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</si>
  <si>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</si>
  <si>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</si>
  <si>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</si>
  <si>
    <t>In UTs of , Andaman &amp; Nicobar Islands,  Dadra &amp; Nagar Haveli, Daman &amp; Diu and Lakshadweep, there is no University.</t>
  </si>
  <si>
    <t>Sl. No.</t>
  </si>
  <si>
    <t>Unversities</t>
  </si>
  <si>
    <t>Colleges</t>
  </si>
  <si>
    <t>Standalone Institutions</t>
  </si>
  <si>
    <t>All Institute</t>
  </si>
  <si>
    <t>Registered</t>
  </si>
  <si>
    <t>Responded</t>
  </si>
  <si>
    <t>% of Response</t>
  </si>
  <si>
    <t>A &amp; N Islands</t>
  </si>
  <si>
    <t>Lakshadweep*</t>
  </si>
  <si>
    <t>D &amp; N Haveli and Daman &amp; Diu</t>
  </si>
  <si>
    <t>* Lakshadweep dose not have any University/Colleges &amp; Stand Alone Institutions. However 3 PG/Off-shore campus of University of Calicut, Malappuram are functiong from Lakshadweep.</t>
  </si>
  <si>
    <t>Table 2.</t>
  </si>
  <si>
    <t>General</t>
  </si>
  <si>
    <t>Agriculture</t>
  </si>
  <si>
    <t>Design</t>
  </si>
  <si>
    <t>Education</t>
  </si>
  <si>
    <t>Fine Arts</t>
  </si>
  <si>
    <t>Fisheries</t>
  </si>
  <si>
    <t>Indian Language</t>
  </si>
  <si>
    <t>Law</t>
  </si>
  <si>
    <t>Management &amp; Finance</t>
  </si>
  <si>
    <t>Medical &amp; paramedical</t>
  </si>
  <si>
    <t>Rural Development</t>
  </si>
  <si>
    <t>Science</t>
  </si>
  <si>
    <t>Social Science</t>
  </si>
  <si>
    <t>Sports/Yoga/Physical Education</t>
  </si>
  <si>
    <t>Technical</t>
  </si>
  <si>
    <t>Veterinary &amp; Animal Sciences</t>
  </si>
  <si>
    <t>Others</t>
  </si>
  <si>
    <t>No. of Colleges</t>
  </si>
  <si>
    <t>No. of Colleges per lakh population</t>
  </si>
  <si>
    <t>No of colleges responded in the survey</t>
  </si>
  <si>
    <t>College Average Enrolment (Based on Response)</t>
  </si>
  <si>
    <t>Lakshadweep</t>
  </si>
  <si>
    <t>*Average Enrolment is calculated on the basis of actual response</t>
  </si>
  <si>
    <t>Sl. 
No.</t>
  </si>
  <si>
    <t>Private 
(Un-Aided)</t>
  </si>
  <si>
    <t>Private (Aided)</t>
  </si>
  <si>
    <t>Private Total</t>
  </si>
  <si>
    <t>Government</t>
  </si>
  <si>
    <t>Total</t>
  </si>
  <si>
    <t>Private 
(Aided)</t>
  </si>
  <si>
    <t>Private (Un-Aided)</t>
  </si>
  <si>
    <t>Number</t>
  </si>
  <si>
    <t>Enrolment</t>
  </si>
  <si>
    <t>Sl No</t>
  </si>
  <si>
    <t>Ph.D.</t>
  </si>
  <si>
    <t>M.Phil.</t>
  </si>
  <si>
    <t>Post Graduate</t>
  </si>
  <si>
    <t>Under Graduate</t>
  </si>
  <si>
    <t>PG Diploma</t>
  </si>
  <si>
    <t>Diploma</t>
  </si>
  <si>
    <t>Certificate</t>
  </si>
  <si>
    <t>Integrated</t>
  </si>
  <si>
    <t>Male</t>
  </si>
  <si>
    <t>Female</t>
  </si>
  <si>
    <t>Number of Universities</t>
  </si>
  <si>
    <t>Responding</t>
  </si>
  <si>
    <t>Note - Constituent Colleges of State/Central University not included.</t>
  </si>
  <si>
    <t>Number of Colleges</t>
  </si>
  <si>
    <t>Per College Enrolment</t>
  </si>
  <si>
    <t>Responsed</t>
  </si>
  <si>
    <t>Polytechnics</t>
  </si>
  <si>
    <t>PGDM</t>
  </si>
  <si>
    <t>Nursing</t>
  </si>
  <si>
    <t>Teacher Training</t>
  </si>
  <si>
    <t>Institute under Ministries</t>
  </si>
  <si>
    <t>Paramedical</t>
  </si>
  <si>
    <t>Hotel Management and Catering</t>
  </si>
  <si>
    <t>All Stand Alone Institutions</t>
  </si>
  <si>
    <t>Number of Institutions</t>
  </si>
  <si>
    <t>Per Institution Enrolment</t>
  </si>
  <si>
    <t xml:space="preserve"> </t>
  </si>
  <si>
    <t>University and Its Constituent Units</t>
  </si>
  <si>
    <t>Stand Alone Institutions</t>
  </si>
  <si>
    <t xml:space="preserve">Programme </t>
  </si>
  <si>
    <t>ALL</t>
  </si>
  <si>
    <t>SCHEDULED CASTE</t>
  </si>
  <si>
    <t>SCHEDULED TRIBE</t>
  </si>
  <si>
    <t>OTHER BACKWARD CLASS</t>
  </si>
  <si>
    <t>A.N.M.-Auxiliary Nurse &amp; Midwife</t>
  </si>
  <si>
    <t>Acharya</t>
  </si>
  <si>
    <t>Alankar-Alankar</t>
  </si>
  <si>
    <t>Art Education</t>
  </si>
  <si>
    <t>Ayurveda Vachaspati-Ph.D in Ayurveda</t>
  </si>
  <si>
    <t>Ayurvedacharya-Ayurvedacharya</t>
  </si>
  <si>
    <t>B.A. B.Ed.-Bachelor of Arts, Bachelor of Education</t>
  </si>
  <si>
    <t>B.A. L.L.B.-Bachelor of Arts, Bachelor of Law or Laws</t>
  </si>
  <si>
    <t>B.A. M.A.-Bachelor of Arts,Master of Arts</t>
  </si>
  <si>
    <t>B.A.(Hons)-Bachelor of Arts (Honors)</t>
  </si>
  <si>
    <t>B.A.-Bachelor of Arts</t>
  </si>
  <si>
    <t>B.A.M.-Bachelor of Ayurvedic Medicine</t>
  </si>
  <si>
    <t>B.A.M.S.-Bachelor of Ayurvedic Medicine &amp; Surgery</t>
  </si>
  <si>
    <t>B.A.S.L.P.-Bachelor of Audiology and Speech Language Pathology</t>
  </si>
  <si>
    <t>B.Agri.-Bachelor of Agriculture</t>
  </si>
  <si>
    <t>B.Arch-Bachelor of Architecture</t>
  </si>
  <si>
    <t xml:space="preserve">B.B.A.(Hons)- Bachelor of Business Administration (Honors) </t>
  </si>
  <si>
    <t>B.B.A.-Bachelor of Business Administration</t>
  </si>
  <si>
    <t>B.B.A-D&amp;I-Bachelor of Business Administration in Design and Innovation</t>
  </si>
  <si>
    <t>B.B.A-L.L.B(Hons)</t>
  </si>
  <si>
    <t>B.B.A-L.L.B.-Bachelor of Business Administration, Bachelor of Law or Laws</t>
  </si>
  <si>
    <t>B.B.M.-Bachelor of Business Management</t>
  </si>
  <si>
    <t>B.B.S.-Bachelor of Business Studies</t>
  </si>
  <si>
    <t>B.C.A. .(Hons)-Bachelor of Computer Applications(Honors)</t>
  </si>
  <si>
    <t>B.C.A.-Bachelor of Computer Applications</t>
  </si>
  <si>
    <t>B.C.E.-Bachelor of Civil Engineering</t>
  </si>
  <si>
    <t>B.Ch.E.-Bachelor of Chemical Engineering</t>
  </si>
  <si>
    <t>B.Chem.Tech.-Bachelor of Chemical Technology</t>
  </si>
  <si>
    <t>B.Com. B.Ed.-Bachelor of Commerce, Bachelor of Education</t>
  </si>
  <si>
    <t>B.Com. M.Com-Bachelor of Commerce, Master of Commerce</t>
  </si>
  <si>
    <t>B.Com.(Hons)-Bachelor of Commerce (Honors)</t>
  </si>
  <si>
    <t>B.Com.-Bachelor of Commerce</t>
  </si>
  <si>
    <t>B.Com-L.L.B.-Bachelor of Commerce, Bachelor of Law</t>
  </si>
  <si>
    <t>B.D.S.-Bachelor of Dental Surgery</t>
  </si>
  <si>
    <t>B.Dance-Bachelor of Dance</t>
  </si>
  <si>
    <t>B.Des. (Communication Design)</t>
  </si>
  <si>
    <t>B.Des.-Bachelor of Design</t>
  </si>
  <si>
    <t>B.Des.-Bachelor of Interior Design</t>
  </si>
  <si>
    <t>B.E.-Bachelor of Engineering</t>
  </si>
  <si>
    <t>B.Ed. -M.Ed-Bachelor of Education,Master of Education</t>
  </si>
  <si>
    <t>B.Ed.-Bachelor of Education</t>
  </si>
  <si>
    <t>B.El.Ed.-Bachelor in Elementary Education</t>
  </si>
  <si>
    <t>B.F.A.-Bachelor of Fine Arts</t>
  </si>
  <si>
    <t>B.F.Sc.-Bachelor of Fisheries Science</t>
  </si>
  <si>
    <t>B.F.Tech.-Bachelor of Fashion Technology</t>
  </si>
  <si>
    <t>B.G.L.-Bachelor of General Law</t>
  </si>
  <si>
    <t>B.H.A.-Bachelor of Hospital Administration</t>
  </si>
  <si>
    <t>B.H.M.-Bachelor of Hotel Management</t>
  </si>
  <si>
    <t>B.H.M.C.T.-Bachelor of Hotel Management and Catering Technology</t>
  </si>
  <si>
    <t>B.H.M.S.-Bachelor of Homeopathic Medicine and Surgery</t>
  </si>
  <si>
    <t>B.H.M.T.T.-Bachelor of Hotel Management, Travel and Tourism</t>
  </si>
  <si>
    <t>B.H.M-Bachelor of Hospital Management</t>
  </si>
  <si>
    <t>B.H.T.M.-Bachelor of Hotel and Tourism Management</t>
  </si>
  <si>
    <t>B.I.B.F.-Bachelor of International Business and Finance</t>
  </si>
  <si>
    <t>B.I.M.-Bachelor of Indian Medicine</t>
  </si>
  <si>
    <t>B.J.-Bachelor of Journalism</t>
  </si>
  <si>
    <t>B.J.M.C.-Bachelor of Journalism and Mass Communication</t>
  </si>
  <si>
    <t>B.L.-Bachelor of Law or Laws</t>
  </si>
  <si>
    <t>B.Lib.I.Sc.-Bachelor of Library &amp; Information Science</t>
  </si>
  <si>
    <t>B.Lib.Sc.-Bachelor of Library Science</t>
  </si>
  <si>
    <t>B.Litt.-Bachelor of Literature</t>
  </si>
  <si>
    <t>B.M.L.T- Bachelor in Medical Lab Technology</t>
  </si>
  <si>
    <t>B.M.M.-Bachelor of Multi Media</t>
  </si>
  <si>
    <t>B.M.S.-Bachelor of Management Studies</t>
  </si>
  <si>
    <t>B.Mus.-Bachelor of Music</t>
  </si>
  <si>
    <t>B.N.Y.S.-Bachelor of Naturopathy and Yogic Sciences</t>
  </si>
  <si>
    <t>B.Nat.(Yogic Sciences)-Bachelor of Naturopathy and Yogic Sciences</t>
  </si>
  <si>
    <t>B.O.L.-Bachelor of Oriental Learning</t>
  </si>
  <si>
    <t>B.O.T.-Bachelor of Occupational Therapy</t>
  </si>
  <si>
    <t>B.Optom.-Bachelor of Clinical Optometry</t>
  </si>
  <si>
    <t>B.P.A.-Bachelor of Performing Arts</t>
  </si>
  <si>
    <t>B.P.E.-Bachelor of Physical Education</t>
  </si>
  <si>
    <t>B.P.E.S.-Bachelor of Physical Education and Sports</t>
  </si>
  <si>
    <t>B.P.Ed.-Bachelor of Physical Education</t>
  </si>
  <si>
    <t>B.P.O-Bachelor of Prosthetics and Orthotics</t>
  </si>
  <si>
    <t>B.P.S.-Bachelor of Professional Studies</t>
  </si>
  <si>
    <t>B.P.T.-Bachelor of Physiotherapy</t>
  </si>
  <si>
    <t>B.Pharm.(Ayu.) -Bachelor of Ayurved in Pharmacy</t>
  </si>
  <si>
    <t>B.Pharm.-Bachelor of Pharmacy</t>
  </si>
  <si>
    <t>B.Plan.-Bachelor of Planning</t>
  </si>
  <si>
    <t>B.R.S-Bachelor of Rural Studies</t>
  </si>
  <si>
    <t>B.S.- M.S.-Bachelor of Science, Master of Science</t>
  </si>
  <si>
    <t>B.S.Course-Bachelor of Science (Physician Assistant and Emergency &amp; Trauma Care Management)</t>
  </si>
  <si>
    <t>B.S.M.S.-Bachelor of Sridhar Medicine and Surgery</t>
  </si>
  <si>
    <t>B.S.S.-Bachelor in Social Sciences</t>
  </si>
  <si>
    <t>B.S.W.-Bachelor of Social Work</t>
  </si>
  <si>
    <t>B.Sc- Emergency Medicine Technician</t>
  </si>
  <si>
    <t xml:space="preserve">B.Sc -Medical Radiology Technician </t>
  </si>
  <si>
    <t>B.Sc- Operation Theatre Technician</t>
  </si>
  <si>
    <t>B.SC. (IT)- M.Sc. (IT)</t>
  </si>
  <si>
    <t>B.Sc. (Renal Dialysis Technology) - Bachelor of Science in Renal Dialysis Technology</t>
  </si>
  <si>
    <t>B.Sc.- B.Ed.-Bachelor of Science, Bachelor of Education</t>
  </si>
  <si>
    <t>B.Sc. in Hotel Management and Catering Technology</t>
  </si>
  <si>
    <t>B.Sc. L.L.B.-Bachelor of Science, Bachelor of Law or Laws</t>
  </si>
  <si>
    <t>B.Sc.(FD&amp;P)-Bachelor of Science in Footwear Design and Production</t>
  </si>
  <si>
    <t>B.Sc.(Hons)-Bachelor of Science (Honors)</t>
  </si>
  <si>
    <t>B.Sc.(Nursing)-Bachelor of Science in Nursing</t>
  </si>
  <si>
    <t>B.Sc.(Post Basic)-B.Sc (Post Basic)</t>
  </si>
  <si>
    <t>B.Sc.(RFM)-Bachelor of Science in Retail and Fashion Merchandize</t>
  </si>
  <si>
    <t>B.Sc.(Sericulture)-Bachelor of Science in Sericulture</t>
  </si>
  <si>
    <t>B.Sc.-Bachelor of Science</t>
  </si>
  <si>
    <t>B.Stat.-Bachelor of Statistics</t>
  </si>
  <si>
    <t>B.Tech.-Bachelor of Technology</t>
  </si>
  <si>
    <t>B.Tech-M.Tech-Bachelor of Technology, Master of Technology</t>
  </si>
  <si>
    <t>B.U.M.S.-Bachelor of Unani Medicine and Surgery</t>
  </si>
  <si>
    <t>B.V.A.-Bachelor of Visual Arts</t>
  </si>
  <si>
    <t>B.V.Sc.&amp;A.H.-Bachelor of Veterinary Science &amp; Animal Husbandry</t>
  </si>
  <si>
    <t>B.V.Sc.-Bachelor of Veterinary Science</t>
  </si>
  <si>
    <t>B.Voc.-Bachelor of Vocational</t>
  </si>
  <si>
    <t>B.X.R.T- Bachelor in X-Ray Radiographer Technician</t>
  </si>
  <si>
    <t>Bachelor in Fashion and Apparel Designing</t>
  </si>
  <si>
    <t>Bachelor of Business Administration in Computer Application</t>
  </si>
  <si>
    <t>Bachlore of Business Administration in Design and Management</t>
  </si>
  <si>
    <t>BAJMC(Bachelor of Arts-Journalism and Mass Communication)  4 years Honours Course</t>
  </si>
  <si>
    <t>BTTM MTTM</t>
  </si>
  <si>
    <t>BTTM-Bachelor of Tourism and Travel Management</t>
  </si>
  <si>
    <t>Certificate-Certificate</t>
  </si>
  <si>
    <t>D.Ed.-Diploma in Education</t>
  </si>
  <si>
    <t>D.El.Ed.-Diploma in Elementary Education</t>
  </si>
  <si>
    <t>D.Litt.-Doctor of Literature</t>
  </si>
  <si>
    <t>D.M.-Doctor of Medicine</t>
  </si>
  <si>
    <t>D.M.-Doctorate of Medicine</t>
  </si>
  <si>
    <t>D.M.L.T - Diploma in Medical Laboratory Technician</t>
  </si>
  <si>
    <t>D.O.A-Diploma in Ophthalmic Assistant</t>
  </si>
  <si>
    <t>D.O.L.-Doctor of Oriental Learning</t>
  </si>
  <si>
    <t>D.O.T.A- Diploma in Operation Theater Assistant</t>
  </si>
  <si>
    <t>D.Pharma-Diploma in Pharmacy</t>
  </si>
  <si>
    <t>D.Phil.-Doctor of Philosophy</t>
  </si>
  <si>
    <t>D.Sc.-Doctor of Science</t>
  </si>
  <si>
    <t>D.Voc.-Diploma in Vocational Education</t>
  </si>
  <si>
    <t>D.X-ray - Diploma in X-Ray Technician</t>
  </si>
  <si>
    <t>Dialysis Technician</t>
  </si>
  <si>
    <t>Diploma-Diploma</t>
  </si>
  <si>
    <t>EMBA - Executive MBA</t>
  </si>
  <si>
    <t>Entrepreneurship</t>
  </si>
  <si>
    <t>Fashion and Apparel Design</t>
  </si>
  <si>
    <t>Fashion Art</t>
  </si>
  <si>
    <t>G.N.M.-General Nursing &amp; Midwifery</t>
  </si>
  <si>
    <t>Geo Informatics</t>
  </si>
  <si>
    <t>Hindi Shiksha Visharad-Hindi Shiksha Visharad</t>
  </si>
  <si>
    <t>Integrated B.B.A M.B.A. - Bachelor of Business Administration, Master of Business Administration</t>
  </si>
  <si>
    <t>Integrated M.A.-Integrated Master of Arts</t>
  </si>
  <si>
    <t>Integrated M.B.A.-Integrated Master of Business Administration</t>
  </si>
  <si>
    <t>Integrated M.C.A.-Integrated Master of Computer Applications</t>
  </si>
  <si>
    <t>Integrated M.Com.-Integrated Master of Commerce</t>
  </si>
  <si>
    <t>Integrated M.Des.-Integrated Master of Design</t>
  </si>
  <si>
    <t>Integrated M.Sc.-Integrated Master of Science</t>
  </si>
  <si>
    <t>Integrated Ph.D-Integrated Doctor of Philosophy</t>
  </si>
  <si>
    <t>L.L.B.-(Bachelor of Laws) (Hons)</t>
  </si>
  <si>
    <t>L.L.B.-Bachelor of Law or Laws</t>
  </si>
  <si>
    <t>L.L.D.-Doctor of Law</t>
  </si>
  <si>
    <t>L.L.M.-Master of Law</t>
  </si>
  <si>
    <t>M.A. B.Ed.-Master of Arts, Bachelor of Education</t>
  </si>
  <si>
    <t>M.A.M.S.-Master of Ayurved in Medicine and Surgery</t>
  </si>
  <si>
    <t>M.A.-Master of Arts</t>
  </si>
  <si>
    <t>M.Arch.-Master of Architecture</t>
  </si>
  <si>
    <t>M.B.A.- Master of Business Administration</t>
  </si>
  <si>
    <t>M.B.A.(Pharma. Tech.)-Master of Business Administration in Pharmaceutical Technology</t>
  </si>
  <si>
    <t>M.B.A.(Tech.)-Master of Business Administration in Technology</t>
  </si>
  <si>
    <t>M.B.B.S.-Bachelor of Medicine and Bachelor of Surgery</t>
  </si>
  <si>
    <t>M.C.A. -Master of Computer Applications</t>
  </si>
  <si>
    <t>M.Ch.-Master of Chirurgiae</t>
  </si>
  <si>
    <t>M.Com. B.Ed.-Master of Commerce, Bachelor of Education</t>
  </si>
  <si>
    <t>M.Com.-Master of Commerce</t>
  </si>
  <si>
    <t>M.D.-Doctor of Medicine</t>
  </si>
  <si>
    <t>M.D.S.-Master of Dental Surgery</t>
  </si>
  <si>
    <t>M.Dance-Master of Dance</t>
  </si>
  <si>
    <t>M.Des.-Master of Design</t>
  </si>
  <si>
    <t>M.Des.-Master of Interior Design</t>
  </si>
  <si>
    <t>M.E.-Master of Engineering</t>
  </si>
  <si>
    <t>M.Ed. -Master of Education</t>
  </si>
  <si>
    <t>M.F.A. -Master of Fine Arts</t>
  </si>
  <si>
    <t>M.F.M. -Master of Financial Management</t>
  </si>
  <si>
    <t>M.F.M.-Master of Fashion Management</t>
  </si>
  <si>
    <t>M.F.Sc. -Master of Fishery Science</t>
  </si>
  <si>
    <t>M.F.Tech.-Master of Fashion Technology</t>
  </si>
  <si>
    <t>M.H.A. -Master of Hospital Administration</t>
  </si>
  <si>
    <t>M.H.M.S.-Master of Homeopathic Medicine and Science</t>
  </si>
  <si>
    <t>M.H.R.D. -Master of Human Resource Development</t>
  </si>
  <si>
    <t>M.I.B.-Master of International Business</t>
  </si>
  <si>
    <t>M.J.M.C.-Master of Journalism and Mass Communication</t>
  </si>
  <si>
    <t>M.J.-Master of Journalism</t>
  </si>
  <si>
    <t>M.L. -Master of Laws</t>
  </si>
  <si>
    <t>M.L.I.Sc.-Master of Library &amp; Information Science</t>
  </si>
  <si>
    <t>M.Lib.Sc. -Master of Library Science</t>
  </si>
  <si>
    <t>M.Litt.-Master of Literature or Master of Letters</t>
  </si>
  <si>
    <t>M.M.C.-Master in Mass Communication</t>
  </si>
  <si>
    <t>M.M.S.-Master of Management Studies</t>
  </si>
  <si>
    <t>M.Mgt.-Master of Management</t>
  </si>
  <si>
    <t>M.Mkt.M. -Master of Marketing Management</t>
  </si>
  <si>
    <t>M.Mus. -Master of Music</t>
  </si>
  <si>
    <t>M.O.L. -Master of Oriental Learning</t>
  </si>
  <si>
    <t>M.O.T. -Master of Occupational Therapy</t>
  </si>
  <si>
    <t>M.Optom. -Master of Optometry</t>
  </si>
  <si>
    <t>M.P.A.-Master of Performing Arts</t>
  </si>
  <si>
    <t>M.P.E.-Master of Physical Education</t>
  </si>
  <si>
    <t>M.P.E.S-Masters of Physical Education and Sports</t>
  </si>
  <si>
    <t>M.P.Ed.-Master of Physical Education</t>
  </si>
  <si>
    <t>M.P.H. -Master of Public Health</t>
  </si>
  <si>
    <t>M.P.O-Master in Prosthetics and Orthotics</t>
  </si>
  <si>
    <t>M.P.S. -Master of Population Studies</t>
  </si>
  <si>
    <t>M.P.T.-Master of Physiotherapy</t>
  </si>
  <si>
    <t>M.Pharm. -Master of Pharmacy</t>
  </si>
  <si>
    <t>M.Phil.-Master of Philosophy</t>
  </si>
  <si>
    <t>M.Plan.-Master of Planning</t>
  </si>
  <si>
    <t>M.R.Sc-Master of Rehabilitation Science</t>
  </si>
  <si>
    <t>M.S.-Master of Science</t>
  </si>
  <si>
    <t>M.S.-Master of Surgery</t>
  </si>
  <si>
    <t>M.S.W.-Master of Social Work</t>
  </si>
  <si>
    <t>M.Sc. (Community Health Nursing)</t>
  </si>
  <si>
    <t>M.Sc. (Medical Surgical Nursing)</t>
  </si>
  <si>
    <t>M.Sc. (Nurse Practitioner in Critical Care)</t>
  </si>
  <si>
    <t>M.Sc. B.Ed.-Master of Science, Bachelor of Education</t>
  </si>
  <si>
    <t>M.Sc. Child Health (Paediatric) Nursing</t>
  </si>
  <si>
    <t>M.Sc. in Biosciences and Bioinformatics</t>
  </si>
  <si>
    <t>M.Sc. -Master of Science and M.Tech. -Master of Technology</t>
  </si>
  <si>
    <t>M.Sc. Mental Health (Psychiatry) Nursing</t>
  </si>
  <si>
    <t>M.Sc. Nursing-Master of Science in Nursing</t>
  </si>
  <si>
    <t>M.Sc. Obstetric &amp; Gynaecological Nursing</t>
  </si>
  <si>
    <t>M.Sc. Tech. -Master of Science in Technology</t>
  </si>
  <si>
    <t>M.Sc. Tech.(Applied Geo-Physics)-Master of Science in Technology (Applied Geo-Physics)</t>
  </si>
  <si>
    <t>M.Sc.(Computer Application)-Master of Science in Computer Application</t>
  </si>
  <si>
    <t>M.Sc.(Computer Science)-Master of Science in Computer Science</t>
  </si>
  <si>
    <t>M.Sc.(Medical Anatomy) -Master of Science in Medical Anatomy</t>
  </si>
  <si>
    <t>M.Sc.(Medical Bio-Chemistry)-Master of Science in Medical Bio-Chemistry</t>
  </si>
  <si>
    <t>M.Sc.(Medical Microbiology)-Master of Science in Medical Microbiology</t>
  </si>
  <si>
    <t>M.Sc.(Medical Pharmacology)-Master of Science in Medical Pharmacology</t>
  </si>
  <si>
    <t>M.Sc.(Medical Physiology)-Master of Science in Medical Physiology</t>
  </si>
  <si>
    <t>M.Sc.M.Ed.-Master of Science and Master of Education</t>
  </si>
  <si>
    <t>M.Sc.-Master of Science</t>
  </si>
  <si>
    <t>M.Stat. -Master of Statistics</t>
  </si>
  <si>
    <t>M.T.P.M.-Master in Transportation Planning and Management</t>
  </si>
  <si>
    <t>M.Tech. -Master of Technology</t>
  </si>
  <si>
    <t>M.Tech. -Master of Technology and Ph.D.-Doctor of Philosophy</t>
  </si>
  <si>
    <t>M.U.P.-Master of Urban Planning</t>
  </si>
  <si>
    <t>M.V.A.-Master of Visual Arts</t>
  </si>
  <si>
    <t>M.V.Sc. -Master of Veterinary Sciences</t>
  </si>
  <si>
    <t>M.Voc.-Master of Vocational</t>
  </si>
  <si>
    <t>MA-JMC(Master of Arts-Journalism and Mass Communication)</t>
  </si>
  <si>
    <t>Management HRM</t>
  </si>
  <si>
    <t>Master of Public Policy (MPP)</t>
  </si>
  <si>
    <t>Master of Travel &amp; Tourism Management (MTTM)</t>
  </si>
  <si>
    <t>MBA in Travel and Tourism Management</t>
  </si>
  <si>
    <t>MMST - Master of Medical Science &amp; Technology</t>
  </si>
  <si>
    <t>MSc. -Master of Science and Ph.D.-Doctor of Philosophy</t>
  </si>
  <si>
    <t>P.G.D.M.-Post-Graduate Diploma in Management</t>
  </si>
  <si>
    <t>P.G.P.M.-Post-Graduate Programme in Management</t>
  </si>
  <si>
    <t>PGDBA</t>
  </si>
  <si>
    <t>Ph.D.-Doctor of Philosophy</t>
  </si>
  <si>
    <t>Pharm.D.-Doctor of Pharmacy</t>
  </si>
  <si>
    <t>PhD (Music)</t>
  </si>
  <si>
    <t>Post Basic B.Sc. Nursing(PB-B.Sc.)</t>
  </si>
  <si>
    <t>Post Graduate Diploma</t>
  </si>
  <si>
    <t>Samaj Karya Parangat-Samaj Karya Parangat</t>
  </si>
  <si>
    <t>Shastri-Shastri</t>
  </si>
  <si>
    <t>Shiksha Acharya-Shiksha Acharya</t>
  </si>
  <si>
    <t>Shiksha Shastri-Shiksha Shastri</t>
  </si>
  <si>
    <t>Vachaspati-Vachaspati</t>
  </si>
  <si>
    <t>Vidhyalankar-Vidhyalankar</t>
  </si>
  <si>
    <t>Vidya Vachaspati</t>
  </si>
  <si>
    <t>Vidya Varidhi</t>
  </si>
  <si>
    <t>Visharad-Visharad</t>
  </si>
  <si>
    <t>Ward Technician</t>
  </si>
  <si>
    <t>Table 11.(b)</t>
  </si>
  <si>
    <t>Programme</t>
  </si>
  <si>
    <t>All</t>
  </si>
  <si>
    <t>Scheduled Caste</t>
  </si>
  <si>
    <t>Scheduled Tribe</t>
  </si>
  <si>
    <t>Other Backward Classes</t>
  </si>
  <si>
    <t>Table 12.Undergraduate Enrolment Analysis by Major Disciplines/Subjects (Based on Actual Responses)</t>
  </si>
  <si>
    <t>Discipline</t>
  </si>
  <si>
    <t>Allied Health Science</t>
  </si>
  <si>
    <t>Animal Husbandry and Dairy Science</t>
  </si>
  <si>
    <t>Apparel</t>
  </si>
  <si>
    <t>Architecture and Engineering</t>
  </si>
  <si>
    <t>Area Studies</t>
  </si>
  <si>
    <t>Arts</t>
  </si>
  <si>
    <t>Banking, Financial Services &amp; Insurance</t>
  </si>
  <si>
    <t>Commerce</t>
  </si>
  <si>
    <t>Criminology</t>
  </si>
  <si>
    <t>Criminology &amp; Forensic Science</t>
  </si>
  <si>
    <t>Culinary Arts</t>
  </si>
  <si>
    <t>Cultural Studies</t>
  </si>
  <si>
    <t>Defence Studies</t>
  </si>
  <si>
    <t>Engineering &amp; Technology</t>
  </si>
  <si>
    <t>Aeronautical Engineering</t>
  </si>
  <si>
    <t>Agriculture Engineering</t>
  </si>
  <si>
    <t>Aircraft Maintenance Engineering</t>
  </si>
  <si>
    <t>Architecture</t>
  </si>
  <si>
    <t>Artificial Intelligence</t>
  </si>
  <si>
    <t>Artificial Intelligence &amp; Data Science</t>
  </si>
  <si>
    <t>Artificial Intelligence &amp; Machine Learning</t>
  </si>
  <si>
    <t>Automation &amp; Robotics</t>
  </si>
  <si>
    <t>Automobile Engineering</t>
  </si>
  <si>
    <t>Automotive Studies</t>
  </si>
  <si>
    <t>Chemical Engineering</t>
  </si>
  <si>
    <t>Civil &amp; Environmental Engineering</t>
  </si>
  <si>
    <t>Civil Engineering</t>
  </si>
  <si>
    <t>Computer Engineering</t>
  </si>
  <si>
    <t>Computer Science and Design</t>
  </si>
  <si>
    <t>Dairy Technology</t>
  </si>
  <si>
    <t>Data Science</t>
  </si>
  <si>
    <t>Electrical &amp; Computer Engineering</t>
  </si>
  <si>
    <t>Electrical and Electronics Engineering</t>
  </si>
  <si>
    <t>Electrical Engineering</t>
  </si>
  <si>
    <t xml:space="preserve">Electronics and Communication Engineering </t>
  </si>
  <si>
    <t>Electronics Engineering</t>
  </si>
  <si>
    <t>Food Processing and Preservation</t>
  </si>
  <si>
    <t>Food Processing Technology</t>
  </si>
  <si>
    <t>Food Technology</t>
  </si>
  <si>
    <t>Information Technology</t>
  </si>
  <si>
    <t>Marine Engineering</t>
  </si>
  <si>
    <t>Mechanical &amp; Mechatronics Engineering</t>
  </si>
  <si>
    <t>Mechanical Engineering</t>
  </si>
  <si>
    <t>Mechatronics Engineering</t>
  </si>
  <si>
    <t>Medical Electronics</t>
  </si>
  <si>
    <t>Metallurgical Engineering</t>
  </si>
  <si>
    <t>Mining Engineering</t>
  </si>
  <si>
    <t>Oil Technology</t>
  </si>
  <si>
    <t>Other Engineering &amp; Technology</t>
  </si>
  <si>
    <t xml:space="preserve">Paper and Pulp Technology </t>
  </si>
  <si>
    <t>Petrochemical Technology</t>
  </si>
  <si>
    <t>Planning</t>
  </si>
  <si>
    <t xml:space="preserve">Plastic and Polymer Technology </t>
  </si>
  <si>
    <t>Surface Coating Technology</t>
  </si>
  <si>
    <t>Engineering &amp; Technology Total</t>
  </si>
  <si>
    <t>Engineering Science</t>
  </si>
  <si>
    <t>Fashion &amp; Apparel Design</t>
  </si>
  <si>
    <t>Fashion Technology</t>
  </si>
  <si>
    <t>Fisheries Science</t>
  </si>
  <si>
    <t>Food Processing</t>
  </si>
  <si>
    <t>Footwear  Design</t>
  </si>
  <si>
    <t>Footwear Technology</t>
  </si>
  <si>
    <t>Foreign Language</t>
  </si>
  <si>
    <t>Forest Management</t>
  </si>
  <si>
    <t>Gandhian Studies</t>
  </si>
  <si>
    <t>Health Care Profession (HCP)</t>
  </si>
  <si>
    <t>Home Science</t>
  </si>
  <si>
    <t>Hospitality and Tourism</t>
  </si>
  <si>
    <t>IT &amp; Computer</t>
  </si>
  <si>
    <t>Journalism &amp; Mass Communication</t>
  </si>
  <si>
    <t>Library &amp; Information Science</t>
  </si>
  <si>
    <t>Life Science &amp; Health Care</t>
  </si>
  <si>
    <t>Linguistics</t>
  </si>
  <si>
    <t>Logistics</t>
  </si>
  <si>
    <t>Management</t>
  </si>
  <si>
    <t>Management &amp; Entrepreneurship</t>
  </si>
  <si>
    <t>Marine Science / Oceanography</t>
  </si>
  <si>
    <t>Media &amp; Entertainment</t>
  </si>
  <si>
    <t>Medical Science</t>
  </si>
  <si>
    <t>Anatomy</t>
  </si>
  <si>
    <t>Ayurveda</t>
  </si>
  <si>
    <t>Bio-Chemistry</t>
  </si>
  <si>
    <t>Dentistry</t>
  </si>
  <si>
    <t>ENT</t>
  </si>
  <si>
    <t>Forensic Medicine/ Toxicology</t>
  </si>
  <si>
    <t>General Medicine</t>
  </si>
  <si>
    <t>General Surgery</t>
  </si>
  <si>
    <t>Gynaecology</t>
  </si>
  <si>
    <t>Homeopathy</t>
  </si>
  <si>
    <t>Hospital Administration</t>
  </si>
  <si>
    <t>Indian Medicine</t>
  </si>
  <si>
    <t>Medical Management</t>
  </si>
  <si>
    <t>Occupational Therapy</t>
  </si>
  <si>
    <t>Ophthalmology</t>
  </si>
  <si>
    <t>Other Medical Science</t>
  </si>
  <si>
    <t>Pathology</t>
  </si>
  <si>
    <t>Pediatrics</t>
  </si>
  <si>
    <t>Pharmacy</t>
  </si>
  <si>
    <t>Physiotherapy</t>
  </si>
  <si>
    <t>Prosthetics and Orthotics</t>
  </si>
  <si>
    <t>Public Health</t>
  </si>
  <si>
    <t>Unani</t>
  </si>
  <si>
    <t>Medical Science Total</t>
  </si>
  <si>
    <t>Oriental Learning</t>
  </si>
  <si>
    <t>Paramedical Science</t>
  </si>
  <si>
    <t>Performing Arts</t>
  </si>
  <si>
    <t>Physical Education</t>
  </si>
  <si>
    <t>Physical Education and Sports</t>
  </si>
  <si>
    <t>Rehabilitation</t>
  </si>
  <si>
    <t>Religious Studies</t>
  </si>
  <si>
    <t>Retails</t>
  </si>
  <si>
    <t>Rural Studies</t>
  </si>
  <si>
    <t>Security Management</t>
  </si>
  <si>
    <t>Social Work</t>
  </si>
  <si>
    <t>Vocational Studies</t>
  </si>
  <si>
    <t>Women Studies</t>
  </si>
  <si>
    <t>Table 13.Enrolment Analysis by Major Disciplines/Subjects at Ph.D., M.Phil., and Postgraduate Levels (Based on Actual Responses)</t>
  </si>
  <si>
    <t>Forestry</t>
  </si>
  <si>
    <t>Horticulture</t>
  </si>
  <si>
    <t>Sericulture</t>
  </si>
  <si>
    <t>Agriculture Total</t>
  </si>
  <si>
    <t>Apparel Total</t>
  </si>
  <si>
    <t>Sociology</t>
  </si>
  <si>
    <t>Area Studies Total</t>
  </si>
  <si>
    <t>Yoga</t>
  </si>
  <si>
    <t>Arts Total</t>
  </si>
  <si>
    <t>Banking, Financial Services &amp; Insurance Total</t>
  </si>
  <si>
    <t>Accountancy</t>
  </si>
  <si>
    <t>Finance and Controls</t>
  </si>
  <si>
    <t>Foreign Trade</t>
  </si>
  <si>
    <t>Statistics</t>
  </si>
  <si>
    <t>Commerce Total</t>
  </si>
  <si>
    <t>Criminology and Crime Science</t>
  </si>
  <si>
    <t>Criminology Total</t>
  </si>
  <si>
    <t>Criminology &amp; Forensic Science Total</t>
  </si>
  <si>
    <t>Cultural Studies Total</t>
  </si>
  <si>
    <t>Cyber Security</t>
  </si>
  <si>
    <t>Cyber Security and Forensics</t>
  </si>
  <si>
    <t>Cyber Security Total</t>
  </si>
  <si>
    <t>Security Studies</t>
  </si>
  <si>
    <t>Defence Studies Total</t>
  </si>
  <si>
    <t>Interior Design</t>
  </si>
  <si>
    <t>Design Total</t>
  </si>
  <si>
    <t>Disability Studies</t>
  </si>
  <si>
    <t>Disability Studies Total</t>
  </si>
  <si>
    <t>Education Total</t>
  </si>
  <si>
    <t>CAD/CAM</t>
  </si>
  <si>
    <t>Electronics and Communication Engineering</t>
  </si>
  <si>
    <t>Transportation Planning</t>
  </si>
  <si>
    <t>Urban Planning</t>
  </si>
  <si>
    <t>Data Science and Engineering</t>
  </si>
  <si>
    <t>Engineering Science Total</t>
  </si>
  <si>
    <t>Fashion Technology Total</t>
  </si>
  <si>
    <t>Music</t>
  </si>
  <si>
    <t>Visual Arts</t>
  </si>
  <si>
    <t>Fine Arts Total</t>
  </si>
  <si>
    <t>Fisheries Science Total</t>
  </si>
  <si>
    <t>Footwear Design &amp; Production</t>
  </si>
  <si>
    <t>Retail &amp; Fashion Merchandize</t>
  </si>
  <si>
    <t>Footwear  Design Total</t>
  </si>
  <si>
    <t>English</t>
  </si>
  <si>
    <t>French</t>
  </si>
  <si>
    <t>German</t>
  </si>
  <si>
    <t>Other Foreign Languages</t>
  </si>
  <si>
    <t>Spanish</t>
  </si>
  <si>
    <t>Foreign Language Total</t>
  </si>
  <si>
    <t>Forensic Science</t>
  </si>
  <si>
    <t>Forensic Psychology</t>
  </si>
  <si>
    <t>Forensic Science Total</t>
  </si>
  <si>
    <t>Gandhian Studies Total</t>
  </si>
  <si>
    <t>Food Science &amp; Nutrition</t>
  </si>
  <si>
    <t>Nutrition</t>
  </si>
  <si>
    <t>Home Science Total</t>
  </si>
  <si>
    <t>Hospitality &amp; Tourism Management</t>
  </si>
  <si>
    <t>Hospitality Administration</t>
  </si>
  <si>
    <t>Hospitality and Tourism Total</t>
  </si>
  <si>
    <t>Bengali</t>
  </si>
  <si>
    <t>Hindi</t>
  </si>
  <si>
    <t>Kannada</t>
  </si>
  <si>
    <t>Malayalam</t>
  </si>
  <si>
    <t>Odia</t>
  </si>
  <si>
    <t>Other Indian Languages</t>
  </si>
  <si>
    <t>Punjabi</t>
  </si>
  <si>
    <t>Sanskrit</t>
  </si>
  <si>
    <t>Tamil</t>
  </si>
  <si>
    <t>Telugu</t>
  </si>
  <si>
    <t>Urdu</t>
  </si>
  <si>
    <t>Indian Language Total</t>
  </si>
  <si>
    <t>Information Technology Total</t>
  </si>
  <si>
    <t>Animation</t>
  </si>
  <si>
    <t>Computer Application</t>
  </si>
  <si>
    <t>Computer Application &amp; Information Technology</t>
  </si>
  <si>
    <t>Computer Science</t>
  </si>
  <si>
    <t>Graphics</t>
  </si>
  <si>
    <t>Multi Media</t>
  </si>
  <si>
    <t>IT &amp; Computer Total</t>
  </si>
  <si>
    <t>Journalism &amp; Mass Communication Total</t>
  </si>
  <si>
    <t>Civil Law</t>
  </si>
  <si>
    <t>Constitutional Law</t>
  </si>
  <si>
    <t>Cyber Crime</t>
  </si>
  <si>
    <t>International Law</t>
  </si>
  <si>
    <t>Law Total</t>
  </si>
  <si>
    <t>Library &amp; Information Science Total</t>
  </si>
  <si>
    <t>Humanities &amp; Social Sciences</t>
  </si>
  <si>
    <t>Linguistics Total</t>
  </si>
  <si>
    <t>Logistics &amp; Suplly Chain Management</t>
  </si>
  <si>
    <t>Logistics &amp; Suplly Chain Management Total</t>
  </si>
  <si>
    <t>Agri-Business Management</t>
  </si>
  <si>
    <t>Business Administration</t>
  </si>
  <si>
    <t>Business Management</t>
  </si>
  <si>
    <t>Consultancy Management</t>
  </si>
  <si>
    <t>Digital Transformation</t>
  </si>
  <si>
    <t>Financial Management</t>
  </si>
  <si>
    <t>FinTech</t>
  </si>
  <si>
    <t>Hotel Management</t>
  </si>
  <si>
    <t>Human Resource Management</t>
  </si>
  <si>
    <t>International Business</t>
  </si>
  <si>
    <t>Management Studies &amp; Research</t>
  </si>
  <si>
    <t>Marketing Management</t>
  </si>
  <si>
    <t>Other Management</t>
  </si>
  <si>
    <t>Pharmaceutical Technology</t>
  </si>
  <si>
    <t>Project Management</t>
  </si>
  <si>
    <t>Software Application Development</t>
  </si>
  <si>
    <t>Technology</t>
  </si>
  <si>
    <t>Tourism Management</t>
  </si>
  <si>
    <t>Management Total</t>
  </si>
  <si>
    <t>Marine Science / Oceanography Total</t>
  </si>
  <si>
    <t>Anesthesiology</t>
  </si>
  <si>
    <t>Bio-Physics</t>
  </si>
  <si>
    <t>Bio-Statistics</t>
  </si>
  <si>
    <t>Bio-Technology</t>
  </si>
  <si>
    <t>Cardiology</t>
  </si>
  <si>
    <t>Dermatology</t>
  </si>
  <si>
    <t>Endocrinology</t>
  </si>
  <si>
    <t>Gastroenterology</t>
  </si>
  <si>
    <t>Haematology</t>
  </si>
  <si>
    <t>Hepatology</t>
  </si>
  <si>
    <t>Lab Medicine</t>
  </si>
  <si>
    <t>Medical Physics</t>
  </si>
  <si>
    <t>Microbiology</t>
  </si>
  <si>
    <t>Nephrology</t>
  </si>
  <si>
    <t>Neurology</t>
  </si>
  <si>
    <t>Nuclear Medicine</t>
  </si>
  <si>
    <t>Oncology</t>
  </si>
  <si>
    <t>Orthopaedics</t>
  </si>
  <si>
    <t>Physiology</t>
  </si>
  <si>
    <t>Plastic Surgery</t>
  </si>
  <si>
    <t>Psychiatry</t>
  </si>
  <si>
    <t>Radiology</t>
  </si>
  <si>
    <t>Radiothrapy</t>
  </si>
  <si>
    <t>Urology</t>
  </si>
  <si>
    <t>Nursing Total</t>
  </si>
  <si>
    <t>Jyotisha</t>
  </si>
  <si>
    <t>Oreintal Learning</t>
  </si>
  <si>
    <t>Veda</t>
  </si>
  <si>
    <t>Oriental Learning Total</t>
  </si>
  <si>
    <t>Medical Lab Technology</t>
  </si>
  <si>
    <t>Paramedical Science Total</t>
  </si>
  <si>
    <t>Performing Arts Total</t>
  </si>
  <si>
    <t>Physical Education Total</t>
  </si>
  <si>
    <t>Physical Education and Sports Total</t>
  </si>
  <si>
    <t>Psychology</t>
  </si>
  <si>
    <t>Psychology Total</t>
  </si>
  <si>
    <t>Rehabilitation Total</t>
  </si>
  <si>
    <t>Buddhist Studies</t>
  </si>
  <si>
    <t>Christian Studies</t>
  </si>
  <si>
    <t>Islamic Studies</t>
  </si>
  <si>
    <t>Jainism</t>
  </si>
  <si>
    <t>Theology</t>
  </si>
  <si>
    <t>Religious Studies Total</t>
  </si>
  <si>
    <t>Retail Management</t>
  </si>
  <si>
    <t>Retails Total</t>
  </si>
  <si>
    <t>Applied Sciences &amp; Humanities</t>
  </si>
  <si>
    <t>Bio-Science</t>
  </si>
  <si>
    <t>Botany</t>
  </si>
  <si>
    <t>Chemistry</t>
  </si>
  <si>
    <t>Economic Science</t>
  </si>
  <si>
    <t>Electronics</t>
  </si>
  <si>
    <t>Environmental Science</t>
  </si>
  <si>
    <t>Genetics</t>
  </si>
  <si>
    <t>Geology</t>
  </si>
  <si>
    <t>Geo-Physics</t>
  </si>
  <si>
    <t>Life Science</t>
  </si>
  <si>
    <t>Mathematics</t>
  </si>
  <si>
    <t>Other Science</t>
  </si>
  <si>
    <t>Physics</t>
  </si>
  <si>
    <t>Zoology</t>
  </si>
  <si>
    <t>Science Total</t>
  </si>
  <si>
    <t>Anthropology</t>
  </si>
  <si>
    <t>Economics</t>
  </si>
  <si>
    <t>Geography</t>
  </si>
  <si>
    <t>History</t>
  </si>
  <si>
    <t>Other Social Science</t>
  </si>
  <si>
    <t>Philosophy</t>
  </si>
  <si>
    <t>Political Science</t>
  </si>
  <si>
    <t>Population Studies</t>
  </si>
  <si>
    <t>Public Administration</t>
  </si>
  <si>
    <t>Public Policy</t>
  </si>
  <si>
    <t>Social Science Total</t>
  </si>
  <si>
    <t>Social Work Total</t>
  </si>
  <si>
    <t>Dairy Science</t>
  </si>
  <si>
    <t>Veterinary &amp; Animal Sciences Total</t>
  </si>
  <si>
    <t>Women Studies Total</t>
  </si>
  <si>
    <t>All Categories</t>
  </si>
  <si>
    <t>Muslim</t>
  </si>
  <si>
    <t>Other Minority Communities</t>
  </si>
  <si>
    <t>EWS</t>
  </si>
  <si>
    <t>Country Name</t>
  </si>
  <si>
    <t>NEPAL</t>
  </si>
  <si>
    <t>UNITED ARAB EMIRATES</t>
  </si>
  <si>
    <t>UNITED STATES OF AMERICA</t>
  </si>
  <si>
    <t>BANGLADESH</t>
  </si>
  <si>
    <t>NIGERIA</t>
  </si>
  <si>
    <t>ZIMBABWE</t>
  </si>
  <si>
    <t>AFGHANISTAN</t>
  </si>
  <si>
    <t>UNITED REPUBLIC OF TANZANIA</t>
  </si>
  <si>
    <t>BHUTAN</t>
  </si>
  <si>
    <t>SUDAN</t>
  </si>
  <si>
    <t>SAUDI ARABIA</t>
  </si>
  <si>
    <t>OMAN</t>
  </si>
  <si>
    <t>ZAMBIA</t>
  </si>
  <si>
    <t>SOUTH SUDAN</t>
  </si>
  <si>
    <t>QATAR</t>
  </si>
  <si>
    <t>KUWAIT</t>
  </si>
  <si>
    <t>MALAWI</t>
  </si>
  <si>
    <t>LIBERIA</t>
  </si>
  <si>
    <t>YEMEN</t>
  </si>
  <si>
    <t>SRI LANKA</t>
  </si>
  <si>
    <t>SYRIAN ARAB REPUBLIC</t>
  </si>
  <si>
    <t>GHANA</t>
  </si>
  <si>
    <t>BAHRAIN</t>
  </si>
  <si>
    <t>UGANDA</t>
  </si>
  <si>
    <t>LESOTHO</t>
  </si>
  <si>
    <t>MYANMAR</t>
  </si>
  <si>
    <t>CANADA</t>
  </si>
  <si>
    <t>ETHIOPIA</t>
  </si>
  <si>
    <t>UNITED KINGDOM OF GREAT BRITAIN AND NORTHERN IRELAND</t>
  </si>
  <si>
    <t>KENYA</t>
  </si>
  <si>
    <t>MOZAMBIQUE</t>
  </si>
  <si>
    <t>IRAN (ISLAMIC REPUBLIC OF)</t>
  </si>
  <si>
    <t>SIERRA LEONE</t>
  </si>
  <si>
    <t>TIBETAN REFUGEES</t>
  </si>
  <si>
    <t>GAMBIA</t>
  </si>
  <si>
    <t>RWANDA</t>
  </si>
  <si>
    <t>SINGAPORE</t>
  </si>
  <si>
    <t>VIET NAM</t>
  </si>
  <si>
    <t>SOMALIA</t>
  </si>
  <si>
    <t>IRAQ</t>
  </si>
  <si>
    <t>CAMEROON</t>
  </si>
  <si>
    <t>INDONESIA</t>
  </si>
  <si>
    <t>CÔTE D'IVOIRE</t>
  </si>
  <si>
    <t>THAILAND</t>
  </si>
  <si>
    <t>SOUTH AFRICA</t>
  </si>
  <si>
    <t>MALAYSIA</t>
  </si>
  <si>
    <t>MAURITIUS</t>
  </si>
  <si>
    <t>NAMIBIA</t>
  </si>
  <si>
    <t>ANGOLA</t>
  </si>
  <si>
    <t>AUSTRALIA</t>
  </si>
  <si>
    <t>MALI</t>
  </si>
  <si>
    <t>ESWATINI</t>
  </si>
  <si>
    <t>BOTSWANA</t>
  </si>
  <si>
    <t>PAPUA NEW GUINEA</t>
  </si>
  <si>
    <t>MADAGASCAR</t>
  </si>
  <si>
    <t>DEMOCRATIC REPUBLIC OF THE CONGO</t>
  </si>
  <si>
    <t>FRANCE</t>
  </si>
  <si>
    <t>GERMANY</t>
  </si>
  <si>
    <t>CONGO</t>
  </si>
  <si>
    <t>REPUBLIC OF KOREA (SOUTH KOREA)</t>
  </si>
  <si>
    <t>COMOROS</t>
  </si>
  <si>
    <t>TURKMENISTAN</t>
  </si>
  <si>
    <t>CHAD</t>
  </si>
  <si>
    <t>TOGO</t>
  </si>
  <si>
    <t>CAMBODIA</t>
  </si>
  <si>
    <t>CHINA</t>
  </si>
  <si>
    <t>MONGOLIA</t>
  </si>
  <si>
    <t>BURUNDI</t>
  </si>
  <si>
    <t>EGYPT</t>
  </si>
  <si>
    <t>SWITZERLAND</t>
  </si>
  <si>
    <t>RUSSIAN FEDERATION</t>
  </si>
  <si>
    <t>JAPAN</t>
  </si>
  <si>
    <t>MALDIVES</t>
  </si>
  <si>
    <t>DJIBOUTI</t>
  </si>
  <si>
    <t>GUINEA</t>
  </si>
  <si>
    <t>BURKINA FASO</t>
  </si>
  <si>
    <t>TAJIKISTAN</t>
  </si>
  <si>
    <t>UZBEKISTAN</t>
  </si>
  <si>
    <t>PALESTINE</t>
  </si>
  <si>
    <t>IRELAND</t>
  </si>
  <si>
    <t>SPAIN</t>
  </si>
  <si>
    <t>PAKISTAN</t>
  </si>
  <si>
    <t>BENIN</t>
  </si>
  <si>
    <t>JORDAN</t>
  </si>
  <si>
    <t>NEW ZEALAND</t>
  </si>
  <si>
    <t>EQUATORIAL GUINEA</t>
  </si>
  <si>
    <t>ITALY</t>
  </si>
  <si>
    <t>FIJI</t>
  </si>
  <si>
    <t>CENTRAL AFRICAN REPUBLIC</t>
  </si>
  <si>
    <t>LEBANON</t>
  </si>
  <si>
    <t>PHILIPPINES</t>
  </si>
  <si>
    <t>NORWAY</t>
  </si>
  <si>
    <t>NETHERLANDS</t>
  </si>
  <si>
    <t>PORTUGAL</t>
  </si>
  <si>
    <t>TURKEY</t>
  </si>
  <si>
    <t>LIBYA</t>
  </si>
  <si>
    <t>CHINA, HONG KONG SPECIAL ADMINISTRATIVE REGION</t>
  </si>
  <si>
    <t>BELGIUM</t>
  </si>
  <si>
    <t>POLAND</t>
  </si>
  <si>
    <t>BRAZIL</t>
  </si>
  <si>
    <t>SWEDEN</t>
  </si>
  <si>
    <t>MEXICO</t>
  </si>
  <si>
    <t>FINLAND</t>
  </si>
  <si>
    <t>SENEGAL</t>
  </si>
  <si>
    <t>LAO PEOPLE'S DEMOCRATIC REPUBLIC</t>
  </si>
  <si>
    <t>UKRAINE</t>
  </si>
  <si>
    <t>KAZAKHSTAN</t>
  </si>
  <si>
    <t>AUSTRIA</t>
  </si>
  <si>
    <t>SEYCHELLES</t>
  </si>
  <si>
    <t>ARMENIA</t>
  </si>
  <si>
    <t>MOROCCO</t>
  </si>
  <si>
    <t>DENMARK</t>
  </si>
  <si>
    <t>GABON</t>
  </si>
  <si>
    <t>ERITREA</t>
  </si>
  <si>
    <t>TRINIDAD AND TOBAGO</t>
  </si>
  <si>
    <t>TAIWAN(Republic of China)</t>
  </si>
  <si>
    <t>DEMOCRATIC PEOPLE'S REPUBLIC OF KOREA(NORTH KOREA)</t>
  </si>
  <si>
    <t>NIGER</t>
  </si>
  <si>
    <t>AMERICAN SAMOA</t>
  </si>
  <si>
    <t>BRITISH VIRGIN ISLANDS</t>
  </si>
  <si>
    <t>BELARUS</t>
  </si>
  <si>
    <t>COLOMBIA</t>
  </si>
  <si>
    <t>COOK ISLANDS</t>
  </si>
  <si>
    <t>GEORGIA</t>
  </si>
  <si>
    <t>CHILE</t>
  </si>
  <si>
    <t>PANAMA</t>
  </si>
  <si>
    <t>ISRAEL</t>
  </si>
  <si>
    <t>AZERBAIJAN</t>
  </si>
  <si>
    <t>BRITISH INDIAN OCEAN TERRITORY</t>
  </si>
  <si>
    <t>GREECE</t>
  </si>
  <si>
    <t>FRENCH GUIANA</t>
  </si>
  <si>
    <t>ICELAND</t>
  </si>
  <si>
    <t>ARGENTINA</t>
  </si>
  <si>
    <t>GUYANA</t>
  </si>
  <si>
    <t>PERU</t>
  </si>
  <si>
    <t>JAMAICA</t>
  </si>
  <si>
    <t>SUDAN (PRE-SECESSION)</t>
  </si>
  <si>
    <t>ROMANIA</t>
  </si>
  <si>
    <t>BRUNEI DARUSSALAM</t>
  </si>
  <si>
    <t>ALGERIA</t>
  </si>
  <si>
    <t>COSTA RICA</t>
  </si>
  <si>
    <t>HUNGARY</t>
  </si>
  <si>
    <t>BELIZE</t>
  </si>
  <si>
    <t>TIMOR-LESTE</t>
  </si>
  <si>
    <t>BULGARIA</t>
  </si>
  <si>
    <t>LUXEMBOURG</t>
  </si>
  <si>
    <t>GUINEA-BISSAU</t>
  </si>
  <si>
    <t>CZECHIA</t>
  </si>
  <si>
    <t>CUBA</t>
  </si>
  <si>
    <t>SURINAME</t>
  </si>
  <si>
    <t>TUVALU</t>
  </si>
  <si>
    <t>BOLIVIA (PLURINATIONAL STATE OF)</t>
  </si>
  <si>
    <t>WESTERN SAHARA</t>
  </si>
  <si>
    <t>CABO VERDE</t>
  </si>
  <si>
    <t>BAHAMAS</t>
  </si>
  <si>
    <t>ANTIGUA AND BARBUDA</t>
  </si>
  <si>
    <t>TUNISIA</t>
  </si>
  <si>
    <t>CHINA, MACAO SPECIAL ADMINISTRATIVE REGION</t>
  </si>
  <si>
    <t>CYPRUS</t>
  </si>
  <si>
    <t>NAURU</t>
  </si>
  <si>
    <t>ECUADOR</t>
  </si>
  <si>
    <t>ESTONIA</t>
  </si>
  <si>
    <t>SLOVENIA</t>
  </si>
  <si>
    <t>FALKLAND ISLANDS (MALVINAS)</t>
  </si>
  <si>
    <t>SERBIA</t>
  </si>
  <si>
    <t>GRENADA</t>
  </si>
  <si>
    <t>KYRGYZSTAN</t>
  </si>
  <si>
    <t>LITHUANIA</t>
  </si>
  <si>
    <t>MAURITANIA</t>
  </si>
  <si>
    <t>ANGUILLA</t>
  </si>
  <si>
    <t>NETHERLANDS ANTILLES</t>
  </si>
  <si>
    <t>KIRIBATI</t>
  </si>
  <si>
    <t xml:space="preserve"> Male</t>
  </si>
  <si>
    <t xml:space="preserve"> Female</t>
  </si>
  <si>
    <t>Sl.
No.</t>
  </si>
  <si>
    <t>SC</t>
  </si>
  <si>
    <t>ST</t>
  </si>
  <si>
    <t>States/UTs</t>
  </si>
  <si>
    <t>SC Students</t>
  </si>
  <si>
    <t>ST Students</t>
  </si>
  <si>
    <t>Chhatisgarh</t>
  </si>
  <si>
    <t>OBC</t>
  </si>
  <si>
    <t>Professor &amp; Equivalent</t>
  </si>
  <si>
    <t>Reader &amp; Associate Professor</t>
  </si>
  <si>
    <t>Lecturer/ Assistant Professor</t>
  </si>
  <si>
    <t>Demonstrator/ Tutor</t>
  </si>
  <si>
    <t>Temporary Teacher etc</t>
  </si>
  <si>
    <t>Visiting Teacher</t>
  </si>
  <si>
    <t>Temporary Teacher etc.</t>
  </si>
  <si>
    <t>Group-A</t>
  </si>
  <si>
    <t>Group-B</t>
  </si>
  <si>
    <t>Group-C</t>
  </si>
  <si>
    <t>Group-D</t>
  </si>
  <si>
    <t>All Institutions</t>
  </si>
  <si>
    <t>University &amp; Colleges</t>
  </si>
  <si>
    <t>University &amp; its Constituent Units</t>
  </si>
  <si>
    <t>Regular &amp; Distance Mode</t>
  </si>
  <si>
    <t>Regular Mode</t>
  </si>
  <si>
    <t>Andaman and Nicobar Islands</t>
  </si>
  <si>
    <t>Type of University</t>
  </si>
  <si>
    <t xml:space="preserve">Central University </t>
  </si>
  <si>
    <t xml:space="preserve">Central Open University </t>
  </si>
  <si>
    <t xml:space="preserve">Institute of National Importance </t>
  </si>
  <si>
    <t xml:space="preserve">State Public University </t>
  </si>
  <si>
    <t xml:space="preserve">State Open University </t>
  </si>
  <si>
    <t xml:space="preserve">State Private University </t>
  </si>
  <si>
    <t xml:space="preserve">Institute under State Legislature Act </t>
  </si>
  <si>
    <t xml:space="preserve">Deemed University-Government </t>
  </si>
  <si>
    <t xml:space="preserve">Deemed University-Government Aided </t>
  </si>
  <si>
    <t xml:space="preserve">Deemed University-Private </t>
  </si>
  <si>
    <t>Sl 
No</t>
  </si>
  <si>
    <t>VENEZUELA (BOLIVARIAN REPUBLIC)</t>
  </si>
  <si>
    <t>States/UTs &amp; Specialisation-wise Number of Universities
(Based on Actual Response)</t>
  </si>
  <si>
    <t>Table 4. States/UTs wise Number of Colleges per Lakh Population (18-23 Years) and Average Enrolment in AISHE 2023-24</t>
  </si>
  <si>
    <t>States/Uts</t>
  </si>
  <si>
    <r>
      <t xml:space="preserve">Table 19.States/UTs-wise Gross Enrolment Ratio (GER) in Higher Education (18-23 Years) 
</t>
    </r>
    <r>
      <rPr>
        <b/>
        <sz val="9"/>
        <rFont val="Times New Roman"/>
        <family val="1"/>
      </rPr>
      <t>(Based on 2011 Population)</t>
    </r>
  </si>
  <si>
    <t>Table 20. States/UTs-wise Gender Parity Index (GPI) in Higher Education (18-23 Years)</t>
  </si>
  <si>
    <t>Table 25.States/UTs-wise Pupil Teacher Ratio (PTR) in Higher Education</t>
  </si>
  <si>
    <t>Number of College</t>
  </si>
  <si>
    <t>Total districts with atleast one Institution as reported</t>
  </si>
  <si>
    <t>No of Districts having Universities</t>
  </si>
  <si>
    <t>No of Universities in the districts</t>
  </si>
  <si>
    <t>No of Districts having colleges</t>
  </si>
  <si>
    <t>No of colleges in the districts</t>
  </si>
  <si>
    <t>Residing</t>
  </si>
  <si>
    <t>Intake</t>
  </si>
  <si>
    <t>Total Hostel</t>
  </si>
  <si>
    <t>Others Hostel</t>
  </si>
  <si>
    <t>Girls Hostel</t>
  </si>
  <si>
    <t>Boys Hostel</t>
  </si>
  <si>
    <t>State/Uts</t>
  </si>
  <si>
    <t>Table31. State/UTs-wise Number of Hostels, Intake and Student Residing
(Based on Actual Response)</t>
  </si>
  <si>
    <t>Table 32.</t>
  </si>
  <si>
    <t>B.Sc -Medical Radiology Technician</t>
  </si>
  <si>
    <t>B.B.A.(Hons)- Bachelor of Business Administration (Honors)</t>
  </si>
  <si>
    <t>Table 34. Programme-wise Out-turn/Pass-Out (Based on Actual Response)</t>
  </si>
  <si>
    <t>Plastic and Polymer Technology</t>
  </si>
  <si>
    <t>Paper and Pulp Technology</t>
  </si>
  <si>
    <t>S.No.</t>
  </si>
  <si>
    <t>Tamilnadu</t>
  </si>
  <si>
    <t xml:space="preserve">Madhya Pradesh </t>
  </si>
  <si>
    <t>ALL Categories</t>
  </si>
  <si>
    <t>Table 38: Population (18-23 YEARS) -2023-24</t>
  </si>
  <si>
    <t xml:space="preserve"> Number of Hostels, Intake and Student Residing in various types of Universities
(b) Affiliated and Constituent Colleges (Based on Actual Response) </t>
  </si>
  <si>
    <t>S.
No.</t>
  </si>
  <si>
    <t>Table 36.Major Disciplines/ Subjects wise Out-turn/Pass-Out at Under Graduate Level
              (Based on Actual Response)</t>
  </si>
  <si>
    <t>Table 37. Major Disciplines/ Subjects wise Out-turn/Pass-Out at Ph.D., M.Phil. &amp; Post Graduate Level
                 (Based on Actual Response)</t>
  </si>
  <si>
    <t>Table 40: Number of Registered Universities Over the Last 5 Years</t>
  </si>
  <si>
    <t>2019-20</t>
  </si>
  <si>
    <t>2020-21</t>
  </si>
  <si>
    <t>2021-22</t>
  </si>
  <si>
    <t>2022-23</t>
  </si>
  <si>
    <t>2023-24</t>
  </si>
  <si>
    <t>Table 41: Number of Universities by Type Over the Last 5 Years</t>
  </si>
  <si>
    <t>n</t>
  </si>
  <si>
    <t>Average Enrolment per College</t>
  </si>
  <si>
    <t>College pre Lakh Population</t>
  </si>
  <si>
    <t>Both</t>
  </si>
  <si>
    <t>184942</t>
  </si>
  <si>
    <t>12696</t>
  </si>
  <si>
    <t>Scheduled  Caste</t>
  </si>
  <si>
    <t>Lakshdweep</t>
  </si>
  <si>
    <t>* In the year 2011-12 to 2015-16 1st row is for Dadra and Nagar Haveli and 2nd row for Daman &amp; Diu</t>
  </si>
  <si>
    <t>All University Types</t>
  </si>
  <si>
    <t>*State Private University</t>
  </si>
  <si>
    <t>* Figures of State Private Open University added in State Private University</t>
  </si>
  <si>
    <t>All Teacher</t>
  </si>
  <si>
    <t xml:space="preserve">Sl. 
No. </t>
  </si>
  <si>
    <t>197645</t>
  </si>
  <si>
    <t>108481</t>
  </si>
  <si>
    <t>98788</t>
  </si>
  <si>
    <t>States/ UTs</t>
  </si>
  <si>
    <t>Table 1. States/ UTs &amp; Type - Wise Number of Universities registered in AISHE 2023-24</t>
  </si>
  <si>
    <t>Table 1(a). States/UTs-wiseTotal Number of Institutions Registered and Responded in AISHE 2023-24</t>
  </si>
  <si>
    <t>Table 5. Number of Private and Government Colleges
(Based on Actual Response)</t>
  </si>
  <si>
    <t>Table 5(a). Enrolment in Private and Government Colleges
(Based on Actual Response)</t>
  </si>
  <si>
    <t>Table 5(b). Number of Colleges established in 2023 and their Enrolment
(Based on Actual Response)</t>
  </si>
  <si>
    <t>Table 6. States/UTs-wise Estimated Enrolment at various levels</t>
  </si>
  <si>
    <t>Table 6(a). States/UTs-wise Enrolment through Regular Mode at various levels</t>
  </si>
  <si>
    <t>Table 6(b). States/UTs-wise Enrolment through Distance Mode at various levels 
(Based on Actual Response)</t>
  </si>
  <si>
    <t>Table 6(c)  States/UTs-wise Enrolment through Private Mode at various levels</t>
  </si>
  <si>
    <t>Table 6(d) States/UTs-wise Enrolment through Online Mode at various levels
(Based on Actual Response)</t>
  </si>
  <si>
    <t>Table 7. States/UTs-wise Enrolment in Universities Teaching Departments and it's Constituent Units/Off-campus Centres
(Based on Actual Response)</t>
  </si>
  <si>
    <t>Table 8. States/UTs-wise Number of Registered and Responded Colleges and their Enrolment at various levels 
(Based on Actual Response)</t>
  </si>
  <si>
    <t>Table 9. States/UTs-wise Number of Registered and Responded Standalone and their Enrolment at various Institution Type
(Based on Actual Response)</t>
  </si>
  <si>
    <t>Table 9a. States/UTs-wise Standalone Enrolment at various Level
(Based on Actual Response)</t>
  </si>
  <si>
    <t>Table 10. States/UTs-wise Estimated Enrolment for different Institutions (University, College and Standalone) (Including estimation)</t>
  </si>
  <si>
    <t>Table 11. Program-Wise Enrolment across different Social Groups  (All Modes of study) 
(Based on Actual Responses)</t>
  </si>
  <si>
    <t>Table 11. Program-Wise Enrolment across different Social Groups (Regular Mode of study) 
(Based on Actual Responses)</t>
  </si>
  <si>
    <t>Table 14. States/UTs-Wise Estimated Enrolment for Various Social Groups (SC, ST, and OBC)</t>
  </si>
  <si>
    <t>Table 16. Country-Wise Enrolment of Foreign Students at Various Levels 
(Based on Actual Responses)</t>
  </si>
  <si>
    <t>Table 17. States/UTs-Wise and Level-Wise Enrolment of Foreign Students 
(Based on Actual Responses)</t>
  </si>
  <si>
    <t>Table  18.  Program-Wise Enrolment of Foreign Students (Based on Actual Responses)</t>
  </si>
  <si>
    <t>Table 21(a). States/UTs-Wise Teacher Distribution Across Various Social Groups 
(Based on Actual Responses)</t>
  </si>
  <si>
    <t>Table 21(b). States/UTs-Wise Teachers among Minority and PwBD 
(Based on Actual Responses)</t>
  </si>
  <si>
    <t>Table 22. States/UTs-Wise Distribution of Male and Female Teachers by Position 
(Based on Actual Responses)</t>
  </si>
  <si>
    <t>Table 22a. States/UTs-Wise Number of Teachers in Universities &amp; It's Colleges at different post 
(Based on Actual Response)</t>
  </si>
  <si>
    <t>Table 22b. States/UTs-wsie Number of Teachers in Universities teaching departments and it's Constituent Units/Off-campus Centres (Based on Actual Response)</t>
  </si>
  <si>
    <t>Table 23. States/UTs-Wise Number of Male &amp; Female Non-Teaching staff at different post
(Based on Actual Response)</t>
  </si>
  <si>
    <t>Table 26. Level-wise Enrolment in various types of Universities
(a) Teaching departments and it's Constituent Units/Off-campus Centres</t>
  </si>
  <si>
    <t>Table 26. Level-wise Enrolment in various types of Universities
(b) Affiliated and Constituent Colleges(Based on Actual Response)</t>
  </si>
  <si>
    <t>Table 27. Social Group-wise Enrolment in various types of Universities
(a) Teaching departments and it's Constituent Units/Off-campus Centres(Based on Actual Response)</t>
  </si>
  <si>
    <t>Table 27. Social Group-wise Enrolment in various types of Universities
(b) Affiliated and Constituent Colleges (Based on Actual Response)</t>
  </si>
  <si>
    <t>Table 29. Post-wise Number of Teachers in various types of Universities 
(Based on Actual Response)
(a) Teaching Departments and it's Constituent Units/Off-campus Centres</t>
  </si>
  <si>
    <t>Table 29. Post-wise Number of Teachers in various types of Universities 
(Based on Actual Response)
(b) Affiliated and Constituent Colleges</t>
  </si>
  <si>
    <t>Table 30. Social Group-wise Number of Teachers in various types of Universities
(Based on Actual Response)
(a) Teaching Departments and it's Constituent Units/Off-campus Centres</t>
  </si>
  <si>
    <t>Table 30. Social Group-wise Number of Teachers in various types of Universities 
(Based on Actual Response)
(b) Affiliated and Constituent Colleges</t>
  </si>
  <si>
    <t xml:space="preserve"> Table 32. Number of Hostels, Intake and Student Residing in various types of Universities
(a) Teaching departments and it's Constituent Units/Off-campus Centres</t>
  </si>
  <si>
    <t>Table 33. State/UTs-wise Out-turn/Pass-Out at various levels
(Based on Actual Response)</t>
  </si>
  <si>
    <t>Table 33a. State/UTs-wise  Out-Turn for various Social Groups</t>
  </si>
  <si>
    <t>Table 35. Programme-wise Out-turn/Pass-Out at Various Social group  
(Based on Actual Response)</t>
  </si>
  <si>
    <t>Table 39. States/UTs-Wise Enrolment by Type in University Teaching Departments and Constituent Units/Off-Campus Centers (Based on Actual Responses)</t>
  </si>
  <si>
    <t>Table 42. Trends in Various College Indicators Over the Last 5 Years</t>
  </si>
  <si>
    <t>Table 43. Estimated Student Enrolment Trends at Various Levels Over the Last 5 Years</t>
  </si>
  <si>
    <t>Table 44. Student Enrolment Trends at Various Levels in Regular Mode Over the Last 5 Years</t>
  </si>
  <si>
    <t>Table 45. Social Group-Wise Enrollment Trends Over the Last 5 Years</t>
  </si>
  <si>
    <t>Table 46. Enrolment Trends in Minority Communities and PwBDs Over the Last 5 Years</t>
  </si>
  <si>
    <t>Table 47. Gross Enrollment Ratio (GER) Trends Over the Last 5 Years</t>
  </si>
  <si>
    <t>Table 48. Gender Parity Index (GPI) Trends Over the Last 5 Years</t>
  </si>
  <si>
    <t>Table 49. Pupil-Teacher Ratio (PTR) Trends Over the Last 5 Years</t>
  </si>
  <si>
    <t>Table 50. Enrolment Trends by University Type at Various Levels Over the Last 5 Years</t>
  </si>
  <si>
    <t>Table 51. Post-Wise Teacher Distribution Over the Last 5 Years</t>
  </si>
  <si>
    <t>Table 3. States/UTs-wise Distribution of  Districts and Institutions (University's &amp; Colleges)</t>
  </si>
  <si>
    <t>v</t>
  </si>
  <si>
    <t>Program-Wise Enrolment Analysis for Diverse Social Groups (Distance Mode) (Based on Actual Responses)</t>
  </si>
  <si>
    <t>Table 24. States/UTs-wise Number of Non-Teaching staff at various social groups
(Based on Actual response)</t>
  </si>
  <si>
    <t>Table 15. States/UTs-wise  Estimated Enrolment for PwBD, Muslim, Other Minority Communities and EWS</t>
  </si>
  <si>
    <t>Persons with Benchmark Disability</t>
  </si>
  <si>
    <t>Table 28. PwBD and Minority Enrolment in various types of Universities 
(a) Teaching departments and it's Constituent Units/Off-campus Centres (Based on Actual Response)</t>
  </si>
  <si>
    <t>PwBD</t>
  </si>
  <si>
    <t>Table 28. PwBD and Minority Enrolment in various types of Universities (based on actual response)
(b) Affiliated and Constituent Colleges(Based on Actual Response)</t>
  </si>
  <si>
    <t>T-5</t>
  </si>
  <si>
    <t>T-5b</t>
  </si>
  <si>
    <t>T-5a</t>
  </si>
  <si>
    <t>T-14</t>
  </si>
  <si>
    <t>T-15</t>
  </si>
  <si>
    <t>T-28</t>
  </si>
  <si>
    <t>T-27</t>
  </si>
  <si>
    <t>All-India</t>
  </si>
  <si>
    <t>Private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</si>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</sst>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;\-0;;@"/>
    <numFmt numFmtId="165" formatCode="0.0%"/>
    <numFmt numFmtId="166" formatCode="_ * #,##0_ ;_ * \-#,##0_ ;_ * &quot;-&quot;??_ ;_ @_ "/>
    <numFmt numFmtId="167" formatCode="0.0"/>
    <numFmt numFmtId="168" formatCode="#,##0_ ;\-#,##0\ 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i/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8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i/>
      <sz val="12"/>
      <name val="Times New Roman"/>
      <family val="1"/>
    </font>
    <font>
      <sz val="12"/>
      <color theme="1"/>
      <name val="Cambri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1.5"/>
      <color theme="1"/>
      <name val="Times New Roman"/>
      <family val="1"/>
    </font>
    <font>
      <b/>
      <i/>
      <sz val="8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name val="Times New Roman"/>
      <family val="1"/>
    </font>
    <font>
      <b/>
      <sz val="11.5"/>
      <color indexed="8"/>
      <name val="Times New Roman"/>
      <family val="1"/>
    </font>
    <font>
      <sz val="11.5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name val="Times New Roman"/>
      <family val="1"/>
    </font>
    <font>
      <sz val="10"/>
      <name val="MS Sans Serif"/>
      <family val="2"/>
    </font>
    <font>
      <b/>
      <sz val="12"/>
      <color rgb="FF000000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i/>
      <sz val="8"/>
      <name val="Times New Roman"/>
      <family val="1"/>
    </font>
    <font>
      <i/>
      <sz val="9"/>
      <color indexed="8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indexed="8"/>
      <name val="Times New Roman"/>
      <family val="1"/>
    </font>
    <font>
      <sz val="10"/>
      <name val="MS Sans Serif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.5"/>
      <name val="Times New Roman"/>
      <family val="1"/>
    </font>
    <font>
      <i/>
      <sz val="11"/>
      <color theme="1"/>
      <name val="Times New Roman"/>
      <family val="1"/>
    </font>
    <font>
      <b/>
      <sz val="11.5"/>
      <name val="Times New Roman"/>
      <family val="1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12"/>
      <color theme="1"/>
      <name val="Calibri"/>
      <family val="2"/>
      <scheme val="minor"/>
    </font>
    <font>
      <b/>
      <i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46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8">
    <xf numFmtId="0" fontId="0" fillId="0" borderId="0" xfId="0"/>
    <xf numFmtId="0" fontId="3" fillId="0" borderId="0" xfId="3" applyFont="1" applyAlignment="1">
      <alignment vertical="center"/>
    </xf>
    <xf numFmtId="0" fontId="5" fillId="3" borderId="1" xfId="3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 textRotation="90" wrapText="1"/>
    </xf>
    <xf numFmtId="0" fontId="5" fillId="3" borderId="1" xfId="3" applyFont="1" applyFill="1" applyBorder="1" applyAlignment="1">
      <alignment horizontal="center" vertical="center" textRotation="90" wrapText="1"/>
    </xf>
    <xf numFmtId="0" fontId="3" fillId="0" borderId="0" xfId="3" applyFont="1"/>
    <xf numFmtId="0" fontId="3" fillId="0" borderId="0" xfId="3" applyFont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10" fillId="0" borderId="0" xfId="3" applyFont="1"/>
    <xf numFmtId="0" fontId="12" fillId="3" borderId="1" xfId="3" applyFont="1" applyFill="1" applyBorder="1" applyAlignment="1">
      <alignment horizontal="center" vertical="center"/>
    </xf>
    <xf numFmtId="9" fontId="3" fillId="0" borderId="1" xfId="4" applyFont="1" applyBorder="1" applyAlignment="1">
      <alignment horizontal="center" vertical="center"/>
    </xf>
    <xf numFmtId="0" fontId="13" fillId="0" borderId="0" xfId="3" applyFont="1"/>
    <xf numFmtId="0" fontId="4" fillId="3" borderId="1" xfId="3" applyFont="1" applyFill="1" applyBorder="1" applyAlignment="1">
      <alignment horizontal="center" vertical="center" wrapText="1"/>
    </xf>
    <xf numFmtId="0" fontId="8" fillId="0" borderId="1" xfId="5" applyFont="1" applyBorder="1" applyAlignment="1">
      <alignment horizontal="center"/>
    </xf>
    <xf numFmtId="0" fontId="3" fillId="0" borderId="0" xfId="3" applyFont="1" applyAlignment="1">
      <alignment horizontal="center" vertical="center"/>
    </xf>
    <xf numFmtId="165" fontId="3" fillId="0" borderId="0" xfId="2" applyNumberFormat="1" applyFont="1"/>
    <xf numFmtId="0" fontId="13" fillId="0" borderId="0" xfId="7" applyFont="1" applyAlignment="1">
      <alignment vertical="center"/>
    </xf>
    <xf numFmtId="0" fontId="3" fillId="0" borderId="1" xfId="6" applyFont="1" applyBorder="1" applyAlignment="1">
      <alignment horizontal="center" vertical="center"/>
    </xf>
    <xf numFmtId="0" fontId="13" fillId="0" borderId="0" xfId="7" applyFont="1" applyAlignment="1">
      <alignment horizontal="center" vertical="center"/>
    </xf>
    <xf numFmtId="1" fontId="13" fillId="0" borderId="0" xfId="7" applyNumberFormat="1" applyFont="1" applyAlignment="1">
      <alignment horizontal="center" vertical="center"/>
    </xf>
    <xf numFmtId="0" fontId="3" fillId="0" borderId="0" xfId="3" applyFont="1" applyAlignment="1">
      <alignment vertical="top"/>
    </xf>
    <xf numFmtId="166" fontId="15" fillId="4" borderId="1" xfId="1" applyNumberFormat="1" applyFont="1" applyFill="1" applyBorder="1" applyAlignment="1">
      <alignment horizontal="center" vertical="center"/>
    </xf>
    <xf numFmtId="0" fontId="3" fillId="6" borderId="0" xfId="3" applyFont="1" applyFill="1" applyAlignment="1">
      <alignment horizontal="center"/>
    </xf>
    <xf numFmtId="166" fontId="5" fillId="3" borderId="1" xfId="1" applyNumberFormat="1" applyFont="1" applyFill="1" applyBorder="1" applyAlignment="1">
      <alignment horizontal="center" vertical="center"/>
    </xf>
    <xf numFmtId="0" fontId="16" fillId="0" borderId="0" xfId="3" applyFont="1" applyAlignment="1">
      <alignment horizontal="center"/>
    </xf>
    <xf numFmtId="166" fontId="3" fillId="0" borderId="1" xfId="1" applyNumberFormat="1" applyFont="1" applyBorder="1" applyAlignment="1">
      <alignment horizontal="center" vertical="center"/>
    </xf>
    <xf numFmtId="0" fontId="17" fillId="0" borderId="0" xfId="3" applyFont="1" applyAlignment="1">
      <alignment vertical="center"/>
    </xf>
    <xf numFmtId="166" fontId="8" fillId="0" borderId="1" xfId="1" applyNumberFormat="1" applyFont="1" applyBorder="1" applyAlignment="1">
      <alignment horizontal="center" vertical="center"/>
    </xf>
    <xf numFmtId="0" fontId="17" fillId="0" borderId="0" xfId="3" applyFont="1"/>
    <xf numFmtId="0" fontId="3" fillId="0" borderId="0" xfId="7" applyFont="1"/>
    <xf numFmtId="0" fontId="5" fillId="0" borderId="0" xfId="7" applyFont="1" applyAlignment="1">
      <alignment horizontal="right" vertical="top"/>
    </xf>
    <xf numFmtId="0" fontId="5" fillId="3" borderId="1" xfId="7" applyFont="1" applyFill="1" applyBorder="1" applyAlignment="1">
      <alignment horizontal="center" vertical="center" wrapText="1"/>
    </xf>
    <xf numFmtId="0" fontId="5" fillId="0" borderId="0" xfId="7" applyFont="1" applyAlignment="1">
      <alignment vertical="center" wrapText="1"/>
    </xf>
    <xf numFmtId="0" fontId="5" fillId="3" borderId="1" xfId="7" applyFont="1" applyFill="1" applyBorder="1" applyAlignment="1">
      <alignment horizontal="center" vertical="center"/>
    </xf>
    <xf numFmtId="0" fontId="3" fillId="0" borderId="0" xfId="7" applyFont="1" applyAlignment="1">
      <alignment vertical="center"/>
    </xf>
    <xf numFmtId="0" fontId="18" fillId="0" borderId="8" xfId="7" applyFont="1" applyBorder="1" applyAlignment="1">
      <alignment horizontal="center" vertical="center" wrapText="1"/>
    </xf>
    <xf numFmtId="0" fontId="19" fillId="0" borderId="0" xfId="7" applyFont="1" applyAlignment="1">
      <alignment vertical="center"/>
    </xf>
    <xf numFmtId="0" fontId="3" fillId="0" borderId="1" xfId="7" applyFont="1" applyBorder="1" applyAlignment="1">
      <alignment horizontal="center" vertical="center"/>
    </xf>
    <xf numFmtId="0" fontId="5" fillId="0" borderId="0" xfId="7" applyFont="1" applyAlignment="1">
      <alignment vertical="center"/>
    </xf>
    <xf numFmtId="166" fontId="5" fillId="0" borderId="0" xfId="1" applyNumberFormat="1" applyFont="1" applyAlignment="1">
      <alignment horizontal="right" vertical="top"/>
    </xf>
    <xf numFmtId="0" fontId="20" fillId="0" borderId="0" xfId="7" applyFont="1" applyAlignment="1">
      <alignment vertical="center" wrapText="1"/>
    </xf>
    <xf numFmtId="166" fontId="5" fillId="0" borderId="1" xfId="1" applyNumberFormat="1" applyFont="1" applyBorder="1" applyAlignment="1">
      <alignment horizontal="center" vertical="center"/>
    </xf>
    <xf numFmtId="0" fontId="17" fillId="0" borderId="0" xfId="7" applyFont="1" applyAlignment="1">
      <alignment vertical="center"/>
    </xf>
    <xf numFmtId="0" fontId="18" fillId="0" borderId="0" xfId="7" applyFont="1" applyAlignment="1">
      <alignment horizontal="center" vertical="center"/>
    </xf>
    <xf numFmtId="166" fontId="5" fillId="0" borderId="4" xfId="1" applyNumberFormat="1" applyFont="1" applyBorder="1" applyAlignment="1">
      <alignment vertical="center" wrapText="1"/>
    </xf>
    <xf numFmtId="166" fontId="3" fillId="0" borderId="1" xfId="1" applyNumberFormat="1" applyFont="1" applyBorder="1" applyAlignment="1">
      <alignment horizontal="right" vertical="center"/>
    </xf>
    <xf numFmtId="166" fontId="5" fillId="0" borderId="4" xfId="1" applyNumberFormat="1" applyFont="1" applyBorder="1" applyAlignment="1">
      <alignment vertical="center"/>
    </xf>
    <xf numFmtId="166" fontId="8" fillId="0" borderId="1" xfId="1" applyNumberFormat="1" applyFont="1" applyBorder="1" applyAlignment="1">
      <alignment horizontal="right" vertical="center"/>
    </xf>
    <xf numFmtId="166" fontId="5" fillId="0" borderId="1" xfId="1" applyNumberFormat="1" applyFont="1" applyBorder="1" applyAlignment="1">
      <alignment horizontal="right" vertical="center"/>
    </xf>
    <xf numFmtId="0" fontId="20" fillId="0" borderId="0" xfId="7" applyFont="1" applyAlignment="1">
      <alignment vertical="center"/>
    </xf>
    <xf numFmtId="0" fontId="17" fillId="0" borderId="0" xfId="7" applyFont="1"/>
    <xf numFmtId="0" fontId="10" fillId="0" borderId="0" xfId="7" applyFont="1"/>
    <xf numFmtId="0" fontId="11" fillId="0" borderId="0" xfId="7" applyFont="1" applyAlignment="1">
      <alignment vertical="center" wrapText="1"/>
    </xf>
    <xf numFmtId="0" fontId="11" fillId="3" borderId="1" xfId="7" applyFont="1" applyFill="1" applyBorder="1" applyAlignment="1">
      <alignment horizontal="center" vertical="center"/>
    </xf>
    <xf numFmtId="164" fontId="11" fillId="3" borderId="1" xfId="7" applyNumberFormat="1" applyFont="1" applyFill="1" applyBorder="1" applyAlignment="1">
      <alignment horizontal="center" vertical="center"/>
    </xf>
    <xf numFmtId="0" fontId="10" fillId="0" borderId="0" xfId="7" applyFont="1" applyAlignment="1">
      <alignment vertical="center"/>
    </xf>
    <xf numFmtId="0" fontId="18" fillId="0" borderId="1" xfId="7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vertical="center"/>
    </xf>
    <xf numFmtId="0" fontId="11" fillId="0" borderId="0" xfId="7" applyFont="1" applyAlignment="1">
      <alignment vertical="center"/>
    </xf>
    <xf numFmtId="165" fontId="10" fillId="0" borderId="0" xfId="2" applyNumberFormat="1" applyFont="1"/>
    <xf numFmtId="164" fontId="10" fillId="0" borderId="0" xfId="7" applyNumberFormat="1" applyFont="1"/>
    <xf numFmtId="164" fontId="11" fillId="0" borderId="0" xfId="7" applyNumberFormat="1" applyFont="1" applyAlignment="1">
      <alignment vertical="center" wrapText="1"/>
    </xf>
    <xf numFmtId="164" fontId="10" fillId="0" borderId="0" xfId="7" applyNumberFormat="1" applyFont="1" applyAlignment="1">
      <alignment vertical="center"/>
    </xf>
    <xf numFmtId="166" fontId="5" fillId="0" borderId="1" xfId="1" applyNumberFormat="1" applyFont="1" applyBorder="1" applyAlignment="1">
      <alignment vertical="center" wrapText="1"/>
    </xf>
    <xf numFmtId="166" fontId="3" fillId="0" borderId="1" xfId="1" applyNumberFormat="1" applyFont="1" applyBorder="1"/>
    <xf numFmtId="166" fontId="5" fillId="0" borderId="1" xfId="1" applyNumberFormat="1" applyFont="1" applyBorder="1" applyAlignment="1">
      <alignment vertical="center"/>
    </xf>
    <xf numFmtId="166" fontId="5" fillId="0" borderId="1" xfId="1" applyNumberFormat="1" applyFont="1" applyBorder="1"/>
    <xf numFmtId="164" fontId="5" fillId="3" borderId="1" xfId="7" applyNumberFormat="1" applyFont="1" applyFill="1" applyBorder="1" applyAlignment="1">
      <alignment horizontal="center" vertical="center"/>
    </xf>
    <xf numFmtId="164" fontId="3" fillId="0" borderId="1" xfId="7" applyNumberFormat="1" applyFont="1" applyBorder="1" applyAlignment="1">
      <alignment horizontal="center" vertical="center"/>
    </xf>
    <xf numFmtId="164" fontId="5" fillId="0" borderId="1" xfId="7" applyNumberFormat="1" applyFont="1" applyBorder="1" applyAlignment="1">
      <alignment vertical="center" wrapText="1"/>
    </xf>
    <xf numFmtId="164" fontId="5" fillId="0" borderId="1" xfId="7" applyNumberFormat="1" applyFont="1" applyBorder="1" applyAlignment="1">
      <alignment vertical="center"/>
    </xf>
    <xf numFmtId="0" fontId="3" fillId="0" borderId="0" xfId="7" applyFont="1" applyAlignment="1">
      <alignment vertical="top"/>
    </xf>
    <xf numFmtId="0" fontId="5" fillId="3" borderId="1" xfId="6" applyFont="1" applyFill="1" applyBorder="1" applyAlignment="1">
      <alignment horizontal="center" vertical="center" wrapText="1"/>
    </xf>
    <xf numFmtId="0" fontId="5" fillId="0" borderId="0" xfId="6" applyFont="1" applyAlignment="1">
      <alignment vertical="center" wrapText="1"/>
    </xf>
    <xf numFmtId="0" fontId="5" fillId="3" borderId="1" xfId="6" applyFont="1" applyFill="1" applyBorder="1" applyAlignment="1">
      <alignment vertical="center" wrapText="1"/>
    </xf>
    <xf numFmtId="0" fontId="5" fillId="3" borderId="1" xfId="6" applyFont="1" applyFill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5" fillId="0" borderId="1" xfId="6" applyFont="1" applyBorder="1" applyAlignment="1">
      <alignment vertical="center" wrapText="1"/>
    </xf>
    <xf numFmtId="0" fontId="5" fillId="0" borderId="1" xfId="6" applyFont="1" applyBorder="1" applyAlignment="1">
      <alignment vertical="center"/>
    </xf>
    <xf numFmtId="0" fontId="5" fillId="0" borderId="1" xfId="7" applyFont="1" applyBorder="1" applyAlignment="1">
      <alignment vertical="center"/>
    </xf>
    <xf numFmtId="0" fontId="5" fillId="0" borderId="0" xfId="6" applyFont="1" applyAlignment="1">
      <alignment vertical="center"/>
    </xf>
    <xf numFmtId="0" fontId="3" fillId="0" borderId="0" xfId="6" applyFont="1"/>
    <xf numFmtId="0" fontId="13" fillId="0" borderId="0" xfId="8" applyFont="1" applyAlignment="1">
      <alignment vertical="top"/>
    </xf>
    <xf numFmtId="0" fontId="12" fillId="3" borderId="1" xfId="7" applyFont="1" applyFill="1" applyBorder="1" applyAlignment="1">
      <alignment horizontal="center" vertical="center" wrapText="1"/>
    </xf>
    <xf numFmtId="0" fontId="12" fillId="0" borderId="0" xfId="7" applyFont="1" applyAlignment="1">
      <alignment vertical="center" wrapText="1"/>
    </xf>
    <xf numFmtId="0" fontId="12" fillId="3" borderId="1" xfId="7" applyFont="1" applyFill="1" applyBorder="1" applyAlignment="1">
      <alignment horizontal="center" vertical="center"/>
    </xf>
    <xf numFmtId="0" fontId="12" fillId="0" borderId="0" xfId="7" applyFont="1" applyAlignment="1">
      <alignment vertical="center"/>
    </xf>
    <xf numFmtId="0" fontId="13" fillId="0" borderId="1" xfId="7" applyFont="1" applyBorder="1" applyAlignment="1">
      <alignment horizontal="center" vertical="center"/>
    </xf>
    <xf numFmtId="0" fontId="13" fillId="0" borderId="0" xfId="7" applyFont="1"/>
    <xf numFmtId="0" fontId="12" fillId="0" borderId="0" xfId="7" applyFont="1"/>
    <xf numFmtId="0" fontId="12" fillId="0" borderId="0" xfId="7" applyFont="1" applyAlignment="1">
      <alignment horizontal="center" vertical="center"/>
    </xf>
    <xf numFmtId="1" fontId="5" fillId="0" borderId="1" xfId="3" applyNumberFormat="1" applyFont="1" applyBorder="1" applyAlignment="1">
      <alignment horizontal="left" vertical="center"/>
    </xf>
    <xf numFmtId="0" fontId="5" fillId="0" borderId="1" xfId="7" applyFont="1" applyBorder="1" applyAlignment="1">
      <alignment vertical="center" wrapText="1"/>
    </xf>
    <xf numFmtId="166" fontId="6" fillId="0" borderId="1" xfId="1" applyNumberFormat="1" applyFont="1" applyBorder="1" applyAlignment="1">
      <alignment horizontal="center" vertical="center"/>
    </xf>
    <xf numFmtId="166" fontId="3" fillId="0" borderId="0" xfId="1" applyNumberFormat="1" applyFont="1" applyAlignment="1">
      <alignment vertical="top"/>
    </xf>
    <xf numFmtId="0" fontId="3" fillId="0" borderId="0" xfId="8" applyFont="1" applyAlignment="1">
      <alignment vertical="top"/>
    </xf>
    <xf numFmtId="166" fontId="20" fillId="0" borderId="1" xfId="1" applyNumberFormat="1" applyFont="1" applyBorder="1" applyAlignment="1">
      <alignment vertical="center" wrapText="1"/>
    </xf>
    <xf numFmtId="166" fontId="17" fillId="0" borderId="1" xfId="1" applyNumberFormat="1" applyFont="1" applyBorder="1" applyAlignment="1">
      <alignment horizontal="center" vertical="center"/>
    </xf>
    <xf numFmtId="166" fontId="20" fillId="0" borderId="1" xfId="1" applyNumberFormat="1" applyFont="1" applyBorder="1" applyAlignment="1">
      <alignment vertical="center"/>
    </xf>
    <xf numFmtId="166" fontId="20" fillId="0" borderId="1" xfId="1" applyNumberFormat="1" applyFont="1" applyBorder="1" applyAlignment="1">
      <alignment horizontal="center" vertical="center"/>
    </xf>
    <xf numFmtId="0" fontId="17" fillId="0" borderId="0" xfId="8" applyFont="1"/>
    <xf numFmtId="0" fontId="5" fillId="3" borderId="1" xfId="3" applyFont="1" applyFill="1" applyBorder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0" fontId="5" fillId="0" borderId="1" xfId="3" applyFont="1" applyBorder="1" applyAlignment="1">
      <alignment vertical="center" wrapText="1"/>
    </xf>
    <xf numFmtId="0" fontId="5" fillId="0" borderId="1" xfId="3" applyFont="1" applyBorder="1" applyAlignment="1">
      <alignment vertical="center"/>
    </xf>
    <xf numFmtId="0" fontId="5" fillId="0" borderId="0" xfId="3" applyFont="1" applyAlignment="1">
      <alignment vertical="center"/>
    </xf>
    <xf numFmtId="0" fontId="24" fillId="0" borderId="0" xfId="9" applyFont="1" applyAlignment="1">
      <alignment vertical="center"/>
    </xf>
    <xf numFmtId="166" fontId="20" fillId="3" borderId="1" xfId="1" applyNumberFormat="1" applyFont="1" applyFill="1" applyBorder="1" applyAlignment="1">
      <alignment horizontal="center" vertical="center"/>
    </xf>
    <xf numFmtId="0" fontId="24" fillId="0" borderId="0" xfId="9" applyFont="1" applyAlignment="1">
      <alignment vertical="center" wrapText="1"/>
    </xf>
    <xf numFmtId="166" fontId="23" fillId="0" borderId="1" xfId="1" applyNumberFormat="1" applyFont="1" applyBorder="1" applyAlignment="1">
      <alignment horizontal="center" vertical="center"/>
    </xf>
    <xf numFmtId="166" fontId="17" fillId="0" borderId="1" xfId="1" applyNumberFormat="1" applyFont="1" applyBorder="1" applyAlignment="1">
      <alignment wrapText="1"/>
    </xf>
    <xf numFmtId="166" fontId="24" fillId="0" borderId="1" xfId="1" applyNumberFormat="1" applyFont="1" applyBorder="1" applyAlignment="1">
      <alignment horizontal="center" vertical="center"/>
    </xf>
    <xf numFmtId="166" fontId="24" fillId="0" borderId="1" xfId="1" applyNumberFormat="1" applyFont="1" applyBorder="1" applyAlignment="1">
      <alignment vertical="center" wrapText="1"/>
    </xf>
    <xf numFmtId="0" fontId="1" fillId="0" borderId="0" xfId="0" applyFont="1"/>
    <xf numFmtId="166" fontId="1" fillId="0" borderId="0" xfId="0" applyNumberFormat="1" applyFont="1"/>
    <xf numFmtId="166" fontId="24" fillId="0" borderId="0" xfId="9" applyNumberFormat="1" applyFont="1" applyAlignment="1">
      <alignment vertical="center"/>
    </xf>
    <xf numFmtId="0" fontId="25" fillId="0" borderId="0" xfId="9" applyFont="1" applyAlignment="1">
      <alignment vertical="center"/>
    </xf>
    <xf numFmtId="0" fontId="26" fillId="0" borderId="0" xfId="9" applyFont="1" applyAlignment="1">
      <alignment vertical="center"/>
    </xf>
    <xf numFmtId="0" fontId="26" fillId="0" borderId="0" xfId="9" applyFont="1" applyAlignment="1">
      <alignment vertical="center" wrapText="1"/>
    </xf>
    <xf numFmtId="166" fontId="3" fillId="0" borderId="1" xfId="1" applyNumberFormat="1" applyFont="1" applyBorder="1" applyAlignment="1">
      <alignment wrapText="1"/>
    </xf>
    <xf numFmtId="166" fontId="8" fillId="0" borderId="1" xfId="1" applyNumberFormat="1" applyFont="1" applyBorder="1" applyAlignment="1">
      <alignment vertical="center" wrapText="1"/>
    </xf>
    <xf numFmtId="166" fontId="0" fillId="0" borderId="0" xfId="0" applyNumberFormat="1"/>
    <xf numFmtId="0" fontId="23" fillId="3" borderId="1" xfId="9" applyFont="1" applyFill="1" applyBorder="1" applyAlignment="1">
      <alignment horizontal="center" vertical="center" wrapText="1"/>
    </xf>
    <xf numFmtId="0" fontId="20" fillId="3" borderId="1" xfId="10" applyFont="1" applyFill="1" applyBorder="1" applyAlignment="1">
      <alignment horizontal="center" vertical="center" wrapText="1"/>
    </xf>
    <xf numFmtId="0" fontId="23" fillId="3" borderId="0" xfId="9" applyFont="1" applyFill="1" applyAlignment="1">
      <alignment horizontal="center" vertical="center"/>
    </xf>
    <xf numFmtId="0" fontId="20" fillId="3" borderId="1" xfId="10" applyFont="1" applyFill="1" applyBorder="1" applyAlignment="1">
      <alignment horizontal="center" vertical="center"/>
    </xf>
    <xf numFmtId="0" fontId="23" fillId="3" borderId="0" xfId="9" applyFont="1" applyFill="1" applyAlignment="1">
      <alignment horizontal="center" vertical="center" wrapText="1"/>
    </xf>
    <xf numFmtId="0" fontId="27" fillId="0" borderId="0" xfId="9" applyFont="1" applyAlignment="1">
      <alignment horizontal="center" vertical="center" wrapText="1"/>
    </xf>
    <xf numFmtId="166" fontId="24" fillId="0" borderId="1" xfId="1" applyNumberFormat="1" applyFont="1" applyBorder="1" applyAlignment="1">
      <alignment wrapText="1"/>
    </xf>
    <xf numFmtId="0" fontId="23" fillId="0" borderId="0" xfId="9" applyFont="1" applyAlignment="1">
      <alignment vertical="center"/>
    </xf>
    <xf numFmtId="0" fontId="24" fillId="0" borderId="0" xfId="9" applyFont="1" applyAlignment="1">
      <alignment horizontal="center" vertical="center"/>
    </xf>
    <xf numFmtId="0" fontId="8" fillId="0" borderId="0" xfId="9" applyFont="1" applyAlignment="1">
      <alignment vertical="center"/>
    </xf>
    <xf numFmtId="0" fontId="5" fillId="3" borderId="1" xfId="10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1" applyNumberFormat="1" applyFont="1" applyBorder="1"/>
    <xf numFmtId="0" fontId="6" fillId="0" borderId="0" xfId="9" applyFont="1" applyAlignment="1">
      <alignment vertical="center"/>
    </xf>
    <xf numFmtId="166" fontId="6" fillId="0" borderId="1" xfId="1" applyNumberFormat="1" applyFont="1" applyBorder="1" applyAlignment="1">
      <alignment vertical="center"/>
    </xf>
    <xf numFmtId="0" fontId="6" fillId="0" borderId="0" xfId="9" applyFont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166" fontId="24" fillId="0" borderId="1" xfId="1" applyNumberFormat="1" applyFont="1" applyFill="1" applyBorder="1" applyAlignment="1">
      <alignment horizontal="left"/>
    </xf>
    <xf numFmtId="166" fontId="23" fillId="0" borderId="1" xfId="1" applyNumberFormat="1" applyFont="1" applyFill="1" applyBorder="1" applyAlignment="1">
      <alignment horizontal="left"/>
    </xf>
    <xf numFmtId="0" fontId="23" fillId="0" borderId="0" xfId="9" applyFont="1" applyAlignment="1">
      <alignment horizontal="center" vertical="center"/>
    </xf>
    <xf numFmtId="0" fontId="23" fillId="0" borderId="0" xfId="9" applyFont="1" applyAlignment="1">
      <alignment horizontal="left" vertical="center" wrapText="1"/>
    </xf>
    <xf numFmtId="0" fontId="12" fillId="0" borderId="0" xfId="10" applyFont="1"/>
    <xf numFmtId="0" fontId="12" fillId="0" borderId="0" xfId="10" applyFont="1" applyAlignment="1">
      <alignment horizontal="right" vertical="top"/>
    </xf>
    <xf numFmtId="0" fontId="12" fillId="0" borderId="0" xfId="11" applyFont="1" applyAlignment="1">
      <alignment vertical="center"/>
    </xf>
    <xf numFmtId="0" fontId="12" fillId="5" borderId="1" xfId="11" applyFont="1" applyFill="1" applyBorder="1" applyAlignment="1">
      <alignment horizontal="center" vertical="center"/>
    </xf>
    <xf numFmtId="0" fontId="12" fillId="0" borderId="0" xfId="11" applyFont="1" applyAlignment="1">
      <alignment vertical="center" wrapText="1"/>
    </xf>
    <xf numFmtId="0" fontId="12" fillId="3" borderId="1" xfId="11" applyFont="1" applyFill="1" applyBorder="1" applyAlignment="1">
      <alignment horizontal="center" vertical="center"/>
    </xf>
    <xf numFmtId="0" fontId="12" fillId="0" borderId="1" xfId="11" applyFont="1" applyBorder="1" applyAlignment="1">
      <alignment vertical="center" wrapText="1"/>
    </xf>
    <xf numFmtId="166" fontId="29" fillId="0" borderId="1" xfId="1" applyNumberFormat="1" applyFont="1" applyBorder="1" applyAlignment="1">
      <alignment horizontal="center" vertical="center"/>
    </xf>
    <xf numFmtId="166" fontId="13" fillId="0" borderId="1" xfId="1" applyNumberFormat="1" applyFont="1" applyFill="1" applyBorder="1" applyAlignment="1">
      <alignment horizontal="center" vertical="center"/>
    </xf>
    <xf numFmtId="0" fontId="13" fillId="0" borderId="0" xfId="11" applyFont="1" applyAlignment="1">
      <alignment vertical="center"/>
    </xf>
    <xf numFmtId="0" fontId="12" fillId="0" borderId="1" xfId="11" applyFont="1" applyBorder="1" applyAlignment="1">
      <alignment vertical="center"/>
    </xf>
    <xf numFmtId="166" fontId="29" fillId="6" borderId="1" xfId="1" applyNumberFormat="1" applyFont="1" applyFill="1" applyBorder="1" applyAlignment="1">
      <alignment horizontal="center" vertical="center"/>
    </xf>
    <xf numFmtId="0" fontId="12" fillId="0" borderId="1" xfId="10" applyFont="1" applyBorder="1" applyAlignment="1">
      <alignment vertical="center"/>
    </xf>
    <xf numFmtId="166" fontId="15" fillId="0" borderId="1" xfId="1" applyNumberFormat="1" applyFont="1" applyBorder="1" applyAlignment="1">
      <alignment horizontal="center" vertical="center"/>
    </xf>
    <xf numFmtId="166" fontId="15" fillId="0" borderId="1" xfId="1" applyNumberFormat="1" applyFont="1" applyFill="1" applyBorder="1" applyAlignment="1">
      <alignment horizontal="center" vertical="center"/>
    </xf>
    <xf numFmtId="166" fontId="12" fillId="0" borderId="1" xfId="1" applyNumberFormat="1" applyFont="1" applyFill="1" applyBorder="1" applyAlignment="1">
      <alignment horizontal="center" vertical="center"/>
    </xf>
    <xf numFmtId="0" fontId="12" fillId="0" borderId="0" xfId="11" applyFont="1"/>
    <xf numFmtId="0" fontId="13" fillId="0" borderId="0" xfId="11" applyFont="1"/>
    <xf numFmtId="0" fontId="3" fillId="0" borderId="0" xfId="9" applyFont="1" applyAlignment="1">
      <alignment vertical="top"/>
    </xf>
    <xf numFmtId="0" fontId="17" fillId="0" borderId="0" xfId="9" applyFont="1"/>
    <xf numFmtId="0" fontId="20" fillId="3" borderId="1" xfId="9" applyFont="1" applyFill="1" applyBorder="1" applyAlignment="1">
      <alignment horizontal="center" vertical="center"/>
    </xf>
    <xf numFmtId="0" fontId="18" fillId="0" borderId="1" xfId="9" applyFont="1" applyBorder="1" applyAlignment="1">
      <alignment horizontal="center" vertical="center" wrapText="1"/>
    </xf>
    <xf numFmtId="0" fontId="18" fillId="0" borderId="0" xfId="9" applyFont="1"/>
    <xf numFmtId="166" fontId="24" fillId="0" borderId="1" xfId="1" applyNumberFormat="1" applyFont="1" applyBorder="1" applyAlignment="1">
      <alignment horizontal="left" vertical="center" wrapText="1"/>
    </xf>
    <xf numFmtId="0" fontId="20" fillId="0" borderId="0" xfId="9" applyFont="1"/>
    <xf numFmtId="0" fontId="17" fillId="0" borderId="0" xfId="9" applyFont="1" applyAlignment="1">
      <alignment wrapText="1"/>
    </xf>
    <xf numFmtId="0" fontId="5" fillId="3" borderId="1" xfId="9" applyFont="1" applyFill="1" applyBorder="1" applyAlignment="1">
      <alignment horizontal="center" vertical="center"/>
    </xf>
    <xf numFmtId="0" fontId="20" fillId="0" borderId="0" xfId="9" applyFont="1" applyAlignment="1">
      <alignment horizontal="center" vertical="center"/>
    </xf>
    <xf numFmtId="0" fontId="17" fillId="0" borderId="0" xfId="9" applyFont="1" applyAlignment="1">
      <alignment vertical="center"/>
    </xf>
    <xf numFmtId="166" fontId="3" fillId="0" borderId="1" xfId="1" applyNumberFormat="1" applyFont="1" applyBorder="1" applyAlignment="1">
      <alignment horizontal="center"/>
    </xf>
    <xf numFmtId="166" fontId="8" fillId="0" borderId="1" xfId="1" applyNumberFormat="1" applyFont="1" applyBorder="1" applyAlignment="1">
      <alignment horizontal="center"/>
    </xf>
    <xf numFmtId="166" fontId="5" fillId="0" borderId="1" xfId="1" applyNumberFormat="1" applyFont="1" applyBorder="1" applyAlignment="1">
      <alignment horizontal="center"/>
    </xf>
    <xf numFmtId="0" fontId="20" fillId="0" borderId="0" xfId="9" applyFont="1" applyAlignment="1">
      <alignment vertical="center"/>
    </xf>
    <xf numFmtId="0" fontId="17" fillId="0" borderId="0" xfId="9" applyFont="1" applyAlignment="1">
      <alignment vertical="center" wrapText="1"/>
    </xf>
    <xf numFmtId="0" fontId="6" fillId="0" borderId="0" xfId="9" applyFont="1" applyAlignment="1">
      <alignment horizontal="left" vertical="center"/>
    </xf>
    <xf numFmtId="0" fontId="6" fillId="3" borderId="1" xfId="9" applyFont="1" applyFill="1" applyBorder="1" applyAlignment="1">
      <alignment horizontal="center" vertical="center" wrapText="1"/>
    </xf>
    <xf numFmtId="0" fontId="6" fillId="3" borderId="1" xfId="9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left" vertical="top"/>
    </xf>
    <xf numFmtId="166" fontId="6" fillId="0" borderId="1" xfId="1" applyNumberFormat="1" applyFont="1" applyBorder="1" applyAlignment="1">
      <alignment vertical="top"/>
    </xf>
    <xf numFmtId="0" fontId="8" fillId="0" borderId="0" xfId="9" applyFont="1" applyAlignment="1">
      <alignment vertical="center" wrapText="1"/>
    </xf>
    <xf numFmtId="0" fontId="20" fillId="3" borderId="1" xfId="6" applyFont="1" applyFill="1" applyBorder="1" applyAlignment="1">
      <alignment horizontal="center" vertical="center" wrapText="1"/>
    </xf>
    <xf numFmtId="0" fontId="17" fillId="0" borderId="0" xfId="6" applyFont="1"/>
    <xf numFmtId="0" fontId="17" fillId="0" borderId="1" xfId="6" applyFont="1" applyBorder="1" applyAlignment="1">
      <alignment horizontal="center" vertical="center"/>
    </xf>
    <xf numFmtId="167" fontId="24" fillId="0" borderId="1" xfId="6" applyNumberFormat="1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20" fillId="5" borderId="0" xfId="6" applyFont="1" applyFill="1" applyAlignment="1">
      <alignment vertical="center"/>
    </xf>
    <xf numFmtId="0" fontId="6" fillId="0" borderId="1" xfId="0" applyFont="1" applyBorder="1"/>
    <xf numFmtId="0" fontId="5" fillId="0" borderId="0" xfId="12" applyFont="1" applyAlignment="1">
      <alignment horizontal="center" vertical="center" wrapText="1"/>
    </xf>
    <xf numFmtId="0" fontId="20" fillId="3" borderId="1" xfId="12" applyFont="1" applyFill="1" applyBorder="1" applyAlignment="1">
      <alignment horizontal="center" vertical="center" wrapText="1"/>
    </xf>
    <xf numFmtId="0" fontId="20" fillId="3" borderId="1" xfId="12" applyFont="1" applyFill="1" applyBorder="1" applyAlignment="1">
      <alignment horizontal="center" vertical="center" wrapText="1" shrinkToFit="1"/>
    </xf>
    <xf numFmtId="0" fontId="20" fillId="3" borderId="1" xfId="12" applyFont="1" applyFill="1" applyBorder="1" applyAlignment="1">
      <alignment horizontal="center" vertical="center"/>
    </xf>
    <xf numFmtId="0" fontId="17" fillId="5" borderId="0" xfId="12" applyFont="1" applyFill="1"/>
    <xf numFmtId="0" fontId="17" fillId="0" borderId="1" xfId="12" applyFont="1" applyBorder="1" applyAlignment="1">
      <alignment horizontal="center" vertical="center"/>
    </xf>
    <xf numFmtId="2" fontId="3" fillId="0" borderId="1" xfId="12" applyNumberFormat="1" applyFont="1" applyBorder="1" applyAlignment="1">
      <alignment horizontal="center" vertical="center"/>
    </xf>
    <xf numFmtId="0" fontId="17" fillId="0" borderId="0" xfId="12" applyFont="1" applyAlignment="1">
      <alignment vertical="center"/>
    </xf>
    <xf numFmtId="0" fontId="20" fillId="0" borderId="1" xfId="12" applyFont="1" applyBorder="1" applyAlignment="1">
      <alignment vertical="center"/>
    </xf>
    <xf numFmtId="0" fontId="20" fillId="5" borderId="0" xfId="12" applyFont="1" applyFill="1" applyAlignment="1">
      <alignment vertical="center"/>
    </xf>
    <xf numFmtId="0" fontId="31" fillId="0" borderId="0" xfId="12" applyFont="1"/>
    <xf numFmtId="0" fontId="17" fillId="0" borderId="0" xfId="12" applyFont="1"/>
    <xf numFmtId="0" fontId="3" fillId="3" borderId="0" xfId="3" applyFont="1" applyFill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5" fillId="0" borderId="0" xfId="3" applyFont="1"/>
    <xf numFmtId="0" fontId="5" fillId="0" borderId="0" xfId="10" applyFont="1" applyAlignment="1">
      <alignment horizontal="right" vertical="top"/>
    </xf>
    <xf numFmtId="0" fontId="4" fillId="3" borderId="1" xfId="13" applyFont="1" applyFill="1" applyBorder="1" applyAlignment="1">
      <alignment horizontal="center" vertical="center" wrapText="1"/>
    </xf>
    <xf numFmtId="0" fontId="17" fillId="3" borderId="0" xfId="3" applyFont="1" applyFill="1" applyAlignment="1">
      <alignment vertical="center"/>
    </xf>
    <xf numFmtId="0" fontId="20" fillId="3" borderId="0" xfId="3" applyFont="1" applyFill="1" applyAlignment="1">
      <alignment vertical="center"/>
    </xf>
    <xf numFmtId="0" fontId="5" fillId="0" borderId="1" xfId="14" applyFont="1" applyBorder="1" applyAlignment="1">
      <alignment vertical="center" wrapText="1"/>
    </xf>
    <xf numFmtId="166" fontId="7" fillId="2" borderId="1" xfId="1" applyNumberFormat="1" applyFont="1" applyFill="1" applyBorder="1" applyAlignment="1">
      <alignment horizontal="center" vertical="center" wrapText="1"/>
    </xf>
    <xf numFmtId="0" fontId="5" fillId="0" borderId="1" xfId="14" applyFont="1" applyBorder="1" applyAlignment="1">
      <alignment vertical="center"/>
    </xf>
    <xf numFmtId="166" fontId="8" fillId="2" borderId="1" xfId="1" applyNumberFormat="1" applyFont="1" applyFill="1" applyBorder="1" applyAlignment="1">
      <alignment horizontal="center" vertical="center" wrapText="1"/>
    </xf>
    <xf numFmtId="0" fontId="5" fillId="0" borderId="1" xfId="10" applyFont="1" applyBorder="1" applyAlignment="1">
      <alignment horizontal="left" vertical="center" wrapText="1"/>
    </xf>
    <xf numFmtId="0" fontId="4" fillId="0" borderId="1" xfId="14" applyFont="1" applyBorder="1" applyAlignment="1">
      <alignment vertical="center"/>
    </xf>
    <xf numFmtId="0" fontId="5" fillId="0" borderId="0" xfId="13" applyFont="1" applyAlignment="1">
      <alignment vertical="center" wrapText="1"/>
    </xf>
    <xf numFmtId="0" fontId="5" fillId="0" borderId="1" xfId="13" applyFont="1" applyBorder="1" applyAlignment="1">
      <alignment horizontal="left" vertical="center" wrapText="1"/>
    </xf>
    <xf numFmtId="0" fontId="5" fillId="0" borderId="1" xfId="13" applyFont="1" applyBorder="1" applyAlignment="1">
      <alignment vertical="center" wrapText="1"/>
    </xf>
    <xf numFmtId="0" fontId="5" fillId="0" borderId="1" xfId="15" applyFont="1" applyBorder="1" applyAlignment="1">
      <alignment horizontal="left" vertical="center" wrapText="1"/>
    </xf>
    <xf numFmtId="166" fontId="4" fillId="2" borderId="1" xfId="1" applyNumberFormat="1" applyFont="1" applyFill="1" applyBorder="1" applyAlignment="1">
      <alignment horizontal="center" vertical="center" wrapText="1"/>
    </xf>
    <xf numFmtId="0" fontId="20" fillId="0" borderId="0" xfId="3" applyFont="1" applyAlignment="1">
      <alignment vertical="center"/>
    </xf>
    <xf numFmtId="0" fontId="17" fillId="0" borderId="0" xfId="3" applyFont="1" applyAlignment="1">
      <alignment horizontal="center" vertical="center"/>
    </xf>
    <xf numFmtId="0" fontId="3" fillId="0" borderId="0" xfId="16" applyFont="1" applyAlignment="1">
      <alignment horizontal="center" vertical="center"/>
    </xf>
    <xf numFmtId="0" fontId="3" fillId="0" borderId="0" xfId="16" applyFont="1" applyAlignment="1">
      <alignment vertical="center"/>
    </xf>
    <xf numFmtId="0" fontId="17" fillId="3" borderId="0" xfId="16" applyFont="1" applyFill="1" applyAlignment="1">
      <alignment vertical="center"/>
    </xf>
    <xf numFmtId="0" fontId="34" fillId="3" borderId="1" xfId="3" applyFont="1" applyFill="1" applyBorder="1" applyAlignment="1">
      <alignment horizontal="center" vertical="center" wrapText="1"/>
    </xf>
    <xf numFmtId="0" fontId="34" fillId="3" borderId="1" xfId="13" applyFont="1" applyFill="1" applyBorder="1" applyAlignment="1">
      <alignment horizontal="center" vertical="center" wrapText="1"/>
    </xf>
    <xf numFmtId="0" fontId="20" fillId="3" borderId="0" xfId="16" applyFont="1" applyFill="1" applyAlignment="1">
      <alignment vertical="center"/>
    </xf>
    <xf numFmtId="0" fontId="17" fillId="0" borderId="1" xfId="16" applyFont="1" applyBorder="1" applyAlignment="1">
      <alignment horizontal="center" vertical="center"/>
    </xf>
    <xf numFmtId="166" fontId="30" fillId="2" borderId="1" xfId="1" applyNumberFormat="1" applyFont="1" applyFill="1" applyBorder="1" applyAlignment="1">
      <alignment horizontal="center" vertical="center" wrapText="1"/>
    </xf>
    <xf numFmtId="0" fontId="17" fillId="0" borderId="0" xfId="16" applyFont="1" applyAlignment="1">
      <alignment vertical="center"/>
    </xf>
    <xf numFmtId="166" fontId="34" fillId="2" borderId="1" xfId="1" applyNumberFormat="1" applyFont="1" applyFill="1" applyBorder="1" applyAlignment="1">
      <alignment horizontal="center" vertical="center" wrapText="1"/>
    </xf>
    <xf numFmtId="0" fontId="20" fillId="0" borderId="0" xfId="16" applyFont="1" applyAlignment="1">
      <alignment vertical="center"/>
    </xf>
    <xf numFmtId="0" fontId="17" fillId="0" borderId="0" xfId="16" applyFont="1" applyAlignment="1">
      <alignment horizontal="center" vertical="center"/>
    </xf>
    <xf numFmtId="0" fontId="13" fillId="0" borderId="0" xfId="16" applyFont="1" applyAlignment="1">
      <alignment horizontal="center" vertical="center"/>
    </xf>
    <xf numFmtId="0" fontId="12" fillId="0" borderId="0" xfId="10" applyFont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35" fillId="3" borderId="1" xfId="13" applyFont="1" applyFill="1" applyBorder="1" applyAlignment="1">
      <alignment horizontal="center" vertical="center" wrapText="1"/>
    </xf>
    <xf numFmtId="0" fontId="13" fillId="3" borderId="0" xfId="16" applyFont="1" applyFill="1" applyAlignment="1">
      <alignment horizontal="center" vertical="center"/>
    </xf>
    <xf numFmtId="0" fontId="36" fillId="3" borderId="0" xfId="16" applyFont="1" applyFill="1" applyAlignment="1">
      <alignment horizontal="center" vertical="center"/>
    </xf>
    <xf numFmtId="0" fontId="13" fillId="0" borderId="1" xfId="16" applyFont="1" applyBorder="1" applyAlignment="1">
      <alignment horizontal="center" vertical="center"/>
    </xf>
    <xf numFmtId="0" fontId="12" fillId="0" borderId="1" xfId="15" applyFont="1" applyBorder="1" applyAlignment="1">
      <alignment horizontal="left" vertical="center" wrapText="1"/>
    </xf>
    <xf numFmtId="166" fontId="13" fillId="0" borderId="1" xfId="1" applyNumberFormat="1" applyFont="1" applyBorder="1" applyAlignment="1">
      <alignment horizontal="center" vertical="center"/>
    </xf>
    <xf numFmtId="166" fontId="12" fillId="0" borderId="1" xfId="1" applyNumberFormat="1" applyFont="1" applyBorder="1" applyAlignment="1">
      <alignment horizontal="center" vertical="center"/>
    </xf>
    <xf numFmtId="0" fontId="12" fillId="0" borderId="0" xfId="16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3" fillId="0" borderId="0" xfId="10" applyFont="1" applyAlignment="1">
      <alignment vertical="top"/>
    </xf>
    <xf numFmtId="0" fontId="17" fillId="3" borderId="0" xfId="10" applyFont="1" applyFill="1" applyAlignment="1">
      <alignment vertical="center"/>
    </xf>
    <xf numFmtId="0" fontId="20" fillId="0" borderId="1" xfId="10" applyFont="1" applyBorder="1" applyAlignment="1">
      <alignment horizontal="left" vertical="center" wrapText="1"/>
    </xf>
    <xf numFmtId="0" fontId="17" fillId="0" borderId="0" xfId="10" applyFont="1" applyAlignment="1">
      <alignment vertical="center"/>
    </xf>
    <xf numFmtId="0" fontId="20" fillId="0" borderId="0" xfId="10" applyFont="1" applyAlignment="1">
      <alignment vertical="center"/>
    </xf>
    <xf numFmtId="0" fontId="17" fillId="3" borderId="0" xfId="10" applyFont="1" applyFill="1"/>
    <xf numFmtId="0" fontId="17" fillId="0" borderId="0" xfId="10" applyFont="1"/>
    <xf numFmtId="0" fontId="20" fillId="0" borderId="0" xfId="10" applyFont="1"/>
    <xf numFmtId="0" fontId="5" fillId="0" borderId="0" xfId="14" applyFont="1" applyAlignment="1">
      <alignment horizontal="center" vertical="center" wrapText="1"/>
    </xf>
    <xf numFmtId="0" fontId="20" fillId="5" borderId="0" xfId="14" applyFont="1" applyFill="1"/>
    <xf numFmtId="0" fontId="20" fillId="3" borderId="1" xfId="14" applyFont="1" applyFill="1" applyBorder="1" applyAlignment="1">
      <alignment horizontal="center" vertical="center" wrapText="1"/>
    </xf>
    <xf numFmtId="0" fontId="17" fillId="0" borderId="1" xfId="14" applyFont="1" applyBorder="1" applyAlignment="1">
      <alignment horizontal="center" vertical="center"/>
    </xf>
    <xf numFmtId="0" fontId="20" fillId="0" borderId="1" xfId="14" applyFont="1" applyBorder="1" applyAlignment="1">
      <alignment vertical="center" wrapText="1"/>
    </xf>
    <xf numFmtId="164" fontId="17" fillId="0" borderId="1" xfId="14" applyNumberFormat="1" applyFont="1" applyBorder="1" applyAlignment="1">
      <alignment horizontal="center" vertical="center"/>
    </xf>
    <xf numFmtId="0" fontId="17" fillId="0" borderId="0" xfId="14" applyFont="1" applyAlignment="1">
      <alignment vertical="center"/>
    </xf>
    <xf numFmtId="0" fontId="20" fillId="0" borderId="1" xfId="14" applyFont="1" applyBorder="1" applyAlignment="1">
      <alignment vertical="center"/>
    </xf>
    <xf numFmtId="164" fontId="8" fillId="0" borderId="1" xfId="14" applyNumberFormat="1" applyFont="1" applyBorder="1" applyAlignment="1">
      <alignment horizontal="center" vertical="center"/>
    </xf>
    <xf numFmtId="0" fontId="34" fillId="0" borderId="1" xfId="14" applyFont="1" applyBorder="1" applyAlignment="1">
      <alignment vertical="center"/>
    </xf>
    <xf numFmtId="0" fontId="20" fillId="0" borderId="0" xfId="13" applyFont="1" applyAlignment="1">
      <alignment vertical="center" wrapText="1"/>
    </xf>
    <xf numFmtId="0" fontId="20" fillId="0" borderId="1" xfId="13" applyFont="1" applyBorder="1" applyAlignment="1">
      <alignment horizontal="left" vertical="center" wrapText="1"/>
    </xf>
    <xf numFmtId="0" fontId="20" fillId="0" borderId="1" xfId="13" applyFont="1" applyBorder="1" applyAlignment="1">
      <alignment vertical="center" wrapText="1"/>
    </xf>
    <xf numFmtId="0" fontId="20" fillId="0" borderId="1" xfId="15" applyFont="1" applyBorder="1" applyAlignment="1">
      <alignment horizontal="left" vertical="center" wrapText="1"/>
    </xf>
    <xf numFmtId="164" fontId="20" fillId="0" borderId="1" xfId="14" applyNumberFormat="1" applyFont="1" applyBorder="1" applyAlignment="1">
      <alignment horizontal="center" vertical="center"/>
    </xf>
    <xf numFmtId="0" fontId="20" fillId="5" borderId="0" xfId="14" applyFont="1" applyFill="1" applyAlignment="1">
      <alignment vertical="center"/>
    </xf>
    <xf numFmtId="0" fontId="31" fillId="0" borderId="0" xfId="14" applyFont="1"/>
    <xf numFmtId="0" fontId="17" fillId="0" borderId="0" xfId="14" applyFont="1"/>
    <xf numFmtId="0" fontId="13" fillId="0" borderId="0" xfId="17" applyFont="1"/>
    <xf numFmtId="0" fontId="13" fillId="3" borderId="0" xfId="17" applyFont="1" applyFill="1"/>
    <xf numFmtId="0" fontId="17" fillId="3" borderId="0" xfId="17" applyFont="1" applyFill="1"/>
    <xf numFmtId="0" fontId="0" fillId="0" borderId="0" xfId="0" applyAlignment="1">
      <alignment wrapText="1"/>
    </xf>
    <xf numFmtId="166" fontId="13" fillId="0" borderId="0" xfId="17" applyNumberFormat="1" applyFont="1"/>
    <xf numFmtId="166" fontId="5" fillId="0" borderId="4" xfId="1" applyNumberFormat="1" applyFont="1" applyBorder="1" applyAlignment="1">
      <alignment horizontal="left" vertical="center" wrapText="1"/>
    </xf>
    <xf numFmtId="0" fontId="12" fillId="0" borderId="0" xfId="17" applyFont="1"/>
    <xf numFmtId="0" fontId="5" fillId="0" borderId="1" xfId="10" applyFont="1" applyBorder="1" applyAlignment="1">
      <alignment vertical="center" wrapText="1"/>
    </xf>
    <xf numFmtId="0" fontId="3" fillId="0" borderId="0" xfId="18" applyFont="1" applyAlignment="1">
      <alignment vertical="top"/>
    </xf>
    <xf numFmtId="0" fontId="20" fillId="3" borderId="1" xfId="18" applyFont="1" applyFill="1" applyBorder="1" applyAlignment="1">
      <alignment horizontal="center" vertical="center" wrapText="1"/>
    </xf>
    <xf numFmtId="0" fontId="17" fillId="0" borderId="0" xfId="18" applyFont="1" applyAlignment="1">
      <alignment vertical="center"/>
    </xf>
    <xf numFmtId="0" fontId="18" fillId="0" borderId="1" xfId="10" applyFont="1" applyBorder="1" applyAlignment="1">
      <alignment horizontal="center" vertical="center" wrapText="1"/>
    </xf>
    <xf numFmtId="0" fontId="18" fillId="0" borderId="1" xfId="18" applyFont="1" applyBorder="1" applyAlignment="1">
      <alignment horizontal="center" vertical="center" wrapText="1"/>
    </xf>
    <xf numFmtId="166" fontId="17" fillId="0" borderId="1" xfId="1" applyNumberFormat="1" applyFont="1" applyBorder="1" applyAlignment="1">
      <alignment vertical="center"/>
    </xf>
    <xf numFmtId="0" fontId="12" fillId="0" borderId="0" xfId="18" applyFont="1" applyAlignment="1">
      <alignment vertical="center"/>
    </xf>
    <xf numFmtId="166" fontId="4" fillId="3" borderId="1" xfId="1" applyNumberFormat="1" applyFont="1" applyFill="1" applyBorder="1" applyAlignment="1">
      <alignment horizontal="center" vertical="center" wrapText="1"/>
    </xf>
    <xf numFmtId="166" fontId="3" fillId="3" borderId="0" xfId="1" applyNumberFormat="1" applyFont="1" applyFill="1" applyAlignment="1">
      <alignment vertical="center"/>
    </xf>
    <xf numFmtId="166" fontId="5" fillId="0" borderId="1" xfId="1" applyNumberFormat="1" applyFont="1" applyBorder="1" applyAlignment="1">
      <alignment horizontal="left" vertical="center" wrapText="1"/>
    </xf>
    <xf numFmtId="166" fontId="3" fillId="0" borderId="0" xfId="1" applyNumberFormat="1" applyFont="1" applyAlignment="1">
      <alignment vertical="center"/>
    </xf>
    <xf numFmtId="166" fontId="5" fillId="0" borderId="0" xfId="1" applyNumberFormat="1" applyFont="1" applyAlignment="1">
      <alignment vertical="center"/>
    </xf>
    <xf numFmtId="0" fontId="3" fillId="0" borderId="0" xfId="13" applyFont="1" applyAlignment="1">
      <alignment vertical="top"/>
    </xf>
    <xf numFmtId="0" fontId="5" fillId="3" borderId="1" xfId="13" applyFont="1" applyFill="1" applyBorder="1" applyAlignment="1">
      <alignment horizontal="center" vertical="center" wrapText="1"/>
    </xf>
    <xf numFmtId="0" fontId="3" fillId="3" borderId="0" xfId="13" applyFont="1" applyFill="1" applyAlignment="1">
      <alignment vertical="center"/>
    </xf>
    <xf numFmtId="166" fontId="3" fillId="0" borderId="1" xfId="1" applyNumberFormat="1" applyFont="1" applyBorder="1" applyAlignment="1">
      <alignment vertical="center"/>
    </xf>
    <xf numFmtId="0" fontId="3" fillId="0" borderId="0" xfId="13" applyFont="1" applyAlignment="1">
      <alignment vertical="center"/>
    </xf>
    <xf numFmtId="0" fontId="5" fillId="0" borderId="0" xfId="13" applyFont="1" applyAlignment="1">
      <alignment vertical="center"/>
    </xf>
    <xf numFmtId="166" fontId="3" fillId="0" borderId="0" xfId="13" applyNumberFormat="1" applyFont="1" applyAlignment="1">
      <alignment vertical="center"/>
    </xf>
    <xf numFmtId="1" fontId="5" fillId="0" borderId="1" xfId="3" applyNumberFormat="1" applyFont="1" applyBorder="1" applyAlignment="1">
      <alignment horizontal="left" vertical="center" wrapText="1"/>
    </xf>
    <xf numFmtId="0" fontId="39" fillId="0" borderId="1" xfId="9" applyFont="1" applyBorder="1" applyAlignment="1">
      <alignment horizontal="center" vertical="center" wrapText="1"/>
    </xf>
    <xf numFmtId="0" fontId="5" fillId="8" borderId="1" xfId="10" applyFont="1" applyFill="1" applyBorder="1" applyAlignment="1">
      <alignment horizontal="center" vertical="center"/>
    </xf>
    <xf numFmtId="0" fontId="6" fillId="8" borderId="1" xfId="9" applyFont="1" applyFill="1" applyBorder="1" applyAlignment="1">
      <alignment horizontal="center" vertical="center"/>
    </xf>
    <xf numFmtId="166" fontId="6" fillId="0" borderId="1" xfId="1" applyNumberFormat="1" applyFont="1" applyBorder="1"/>
    <xf numFmtId="3" fontId="3" fillId="0" borderId="1" xfId="3" applyNumberFormat="1" applyFont="1" applyBorder="1" applyAlignment="1">
      <alignment horizontal="center" vertical="center"/>
    </xf>
    <xf numFmtId="3" fontId="5" fillId="0" borderId="1" xfId="3" applyNumberFormat="1" applyFont="1" applyBorder="1" applyAlignment="1">
      <alignment horizontal="center" vertical="center"/>
    </xf>
    <xf numFmtId="3" fontId="8" fillId="0" borderId="1" xfId="3" applyNumberFormat="1" applyFont="1" applyBorder="1" applyAlignment="1">
      <alignment horizontal="center" vertical="center"/>
    </xf>
    <xf numFmtId="3" fontId="6" fillId="0" borderId="1" xfId="3" applyNumberFormat="1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/>
    </xf>
    <xf numFmtId="3" fontId="5" fillId="0" borderId="1" xfId="2" applyNumberFormat="1" applyFont="1" applyBorder="1" applyAlignment="1">
      <alignment horizontal="center" vertical="center"/>
    </xf>
    <xf numFmtId="3" fontId="8" fillId="0" borderId="1" xfId="0" applyNumberFormat="1" applyFont="1" applyBorder="1"/>
    <xf numFmtId="0" fontId="39" fillId="0" borderId="1" xfId="10" applyFont="1" applyBorder="1" applyAlignment="1">
      <alignment horizontal="center" vertical="center" wrapText="1"/>
    </xf>
    <xf numFmtId="0" fontId="39" fillId="0" borderId="1" xfId="9" applyFont="1" applyBorder="1" applyAlignment="1">
      <alignment horizontal="center" vertical="center"/>
    </xf>
    <xf numFmtId="0" fontId="39" fillId="0" borderId="1" xfId="10" applyFont="1" applyBorder="1" applyAlignment="1">
      <alignment horizontal="center" vertical="center"/>
    </xf>
    <xf numFmtId="0" fontId="39" fillId="0" borderId="0" xfId="9" applyFont="1" applyAlignment="1">
      <alignment vertical="center" wrapText="1"/>
    </xf>
    <xf numFmtId="0" fontId="42" fillId="0" borderId="1" xfId="3" applyFont="1" applyBorder="1" applyAlignment="1">
      <alignment horizontal="center" vertical="center" wrapText="1"/>
    </xf>
    <xf numFmtId="0" fontId="42" fillId="3" borderId="0" xfId="3" applyFont="1" applyFill="1"/>
    <xf numFmtId="164" fontId="43" fillId="2" borderId="1" xfId="3" applyNumberFormat="1" applyFont="1" applyFill="1" applyBorder="1" applyAlignment="1">
      <alignment horizontal="center" vertical="center" wrapText="1"/>
    </xf>
    <xf numFmtId="0" fontId="18" fillId="3" borderId="0" xfId="16" applyFont="1" applyFill="1" applyAlignment="1">
      <alignment vertical="center"/>
    </xf>
    <xf numFmtId="0" fontId="17" fillId="0" borderId="1" xfId="10" applyFont="1" applyBorder="1" applyAlignment="1">
      <alignment horizontal="center"/>
    </xf>
    <xf numFmtId="0" fontId="17" fillId="0" borderId="0" xfId="10" applyFont="1" applyAlignment="1">
      <alignment horizontal="center"/>
    </xf>
    <xf numFmtId="0" fontId="42" fillId="0" borderId="1" xfId="14" applyFont="1" applyBorder="1" applyAlignment="1">
      <alignment horizontal="center" vertical="center" wrapText="1"/>
    </xf>
    <xf numFmtId="0" fontId="36" fillId="5" borderId="0" xfId="14" applyFont="1" applyFill="1"/>
    <xf numFmtId="0" fontId="20" fillId="0" borderId="1" xfId="18" applyFont="1" applyBorder="1" applyAlignment="1">
      <alignment horizontal="left" vertical="center" wrapText="1"/>
    </xf>
    <xf numFmtId="0" fontId="18" fillId="0" borderId="1" xfId="13" applyFont="1" applyBorder="1" applyAlignment="1">
      <alignment horizontal="center" vertical="center" wrapText="1"/>
    </xf>
    <xf numFmtId="0" fontId="18" fillId="3" borderId="0" xfId="13" applyFont="1" applyFill="1" applyAlignment="1">
      <alignment vertical="center"/>
    </xf>
    <xf numFmtId="0" fontId="18" fillId="0" borderId="1" xfId="17" applyFont="1" applyBorder="1" applyAlignment="1">
      <alignment horizontal="center" vertical="center" wrapText="1"/>
    </xf>
    <xf numFmtId="0" fontId="19" fillId="0" borderId="0" xfId="17" applyFont="1"/>
    <xf numFmtId="0" fontId="4" fillId="2" borderId="1" xfId="3" applyFont="1" applyFill="1" applyBorder="1" applyAlignment="1">
      <alignment horizontal="left" vertical="center" wrapText="1"/>
    </xf>
    <xf numFmtId="0" fontId="40" fillId="0" borderId="0" xfId="7" applyFont="1" applyAlignment="1">
      <alignment horizontal="center" vertical="center"/>
    </xf>
    <xf numFmtId="0" fontId="24" fillId="0" borderId="1" xfId="9" applyFont="1" applyBorder="1" applyAlignment="1">
      <alignment horizontal="center"/>
    </xf>
    <xf numFmtId="166" fontId="9" fillId="3" borderId="0" xfId="1" applyNumberFormat="1" applyFont="1" applyFill="1" applyAlignment="1">
      <alignment vertical="center"/>
    </xf>
    <xf numFmtId="164" fontId="18" fillId="0" borderId="0" xfId="7" applyNumberFormat="1" applyFont="1" applyAlignment="1">
      <alignment vertical="center"/>
    </xf>
    <xf numFmtId="166" fontId="3" fillId="0" borderId="0" xfId="1" applyNumberFormat="1" applyFont="1" applyAlignment="1"/>
    <xf numFmtId="0" fontId="18" fillId="0" borderId="3" xfId="6" applyFont="1" applyBorder="1" applyAlignment="1">
      <alignment horizontal="center" vertical="center" wrapText="1"/>
    </xf>
    <xf numFmtId="0" fontId="19" fillId="0" borderId="0" xfId="6" applyFont="1" applyAlignment="1">
      <alignment vertical="center"/>
    </xf>
    <xf numFmtId="0" fontId="19" fillId="0" borderId="0" xfId="7" applyFont="1" applyAlignment="1">
      <alignment horizontal="center" vertical="center"/>
    </xf>
    <xf numFmtId="0" fontId="18" fillId="0" borderId="3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19" fillId="0" borderId="0" xfId="3" applyFont="1" applyAlignment="1">
      <alignment vertical="center"/>
    </xf>
    <xf numFmtId="0" fontId="5" fillId="0" borderId="1" xfId="9" applyFont="1" applyBorder="1" applyAlignment="1">
      <alignment horizontal="left" vertical="center"/>
    </xf>
    <xf numFmtId="0" fontId="20" fillId="0" borderId="1" xfId="6" applyFont="1" applyBorder="1" applyAlignment="1">
      <alignment vertical="center" wrapText="1"/>
    </xf>
    <xf numFmtId="0" fontId="20" fillId="0" borderId="1" xfId="6" applyFont="1" applyBorder="1" applyAlignment="1">
      <alignment vertical="center"/>
    </xf>
    <xf numFmtId="0" fontId="20" fillId="0" borderId="1" xfId="10" applyFont="1" applyBorder="1" applyAlignment="1">
      <alignment vertical="center"/>
    </xf>
    <xf numFmtId="0" fontId="20" fillId="0" borderId="1" xfId="6" applyFont="1" applyBorder="1" applyAlignment="1">
      <alignment horizontal="left" vertical="center" wrapText="1"/>
    </xf>
    <xf numFmtId="0" fontId="20" fillId="0" borderId="2" xfId="6" applyFont="1" applyBorder="1" applyAlignment="1">
      <alignment vertical="center"/>
    </xf>
    <xf numFmtId="0" fontId="20" fillId="0" borderId="1" xfId="12" applyFont="1" applyBorder="1" applyAlignment="1">
      <alignment vertical="center" wrapText="1"/>
    </xf>
    <xf numFmtId="0" fontId="34" fillId="0" borderId="1" xfId="12" applyFont="1" applyBorder="1" applyAlignment="1">
      <alignment vertical="center"/>
    </xf>
    <xf numFmtId="0" fontId="5" fillId="0" borderId="1" xfId="3" applyFont="1" applyBorder="1" applyAlignment="1">
      <alignment horizontal="left" vertical="center" wrapText="1"/>
    </xf>
    <xf numFmtId="0" fontId="5" fillId="0" borderId="1" xfId="10" applyFont="1" applyBorder="1" applyAlignment="1">
      <alignment vertical="center"/>
    </xf>
    <xf numFmtId="0" fontId="17" fillId="0" borderId="0" xfId="3" applyFont="1" applyAlignment="1">
      <alignment horizontal="center"/>
    </xf>
    <xf numFmtId="164" fontId="18" fillId="0" borderId="1" xfId="7" applyNumberFormat="1" applyFont="1" applyBorder="1" applyAlignment="1">
      <alignment horizontal="center" vertical="center" wrapText="1"/>
    </xf>
    <xf numFmtId="0" fontId="28" fillId="0" borderId="1" xfId="1" applyNumberFormat="1" applyFont="1" applyBorder="1" applyAlignment="1">
      <alignment horizontal="center" vertical="center" wrapText="1"/>
    </xf>
    <xf numFmtId="0" fontId="44" fillId="0" borderId="0" xfId="9" applyFont="1" applyAlignment="1">
      <alignment vertical="center" wrapText="1"/>
    </xf>
    <xf numFmtId="0" fontId="18" fillId="0" borderId="3" xfId="11" applyFont="1" applyBorder="1" applyAlignment="1">
      <alignment horizontal="center" vertical="center" wrapText="1"/>
    </xf>
    <xf numFmtId="0" fontId="19" fillId="0" borderId="0" xfId="11" applyFont="1" applyAlignment="1">
      <alignment vertical="center"/>
    </xf>
    <xf numFmtId="0" fontId="17" fillId="0" borderId="1" xfId="3" applyFont="1" applyBorder="1" applyAlignment="1">
      <alignment horizontal="center" vertical="center"/>
    </xf>
    <xf numFmtId="0" fontId="24" fillId="0" borderId="1" xfId="9" applyFont="1" applyBorder="1" applyAlignment="1">
      <alignment horizontal="center" vertical="center"/>
    </xf>
    <xf numFmtId="0" fontId="24" fillId="0" borderId="4" xfId="9" applyFont="1" applyBorder="1" applyAlignment="1">
      <alignment horizontal="center" vertical="center"/>
    </xf>
    <xf numFmtId="0" fontId="13" fillId="0" borderId="1" xfId="1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0" fontId="42" fillId="0" borderId="1" xfId="16" applyFont="1" applyBorder="1" applyAlignment="1">
      <alignment horizontal="center" vertical="center" wrapText="1"/>
    </xf>
    <xf numFmtId="0" fontId="17" fillId="0" borderId="2" xfId="14" applyFont="1" applyBorder="1" applyAlignment="1">
      <alignment horizontal="center" vertical="center"/>
    </xf>
    <xf numFmtId="166" fontId="5" fillId="0" borderId="10" xfId="1" applyNumberFormat="1" applyFont="1" applyBorder="1" applyAlignment="1">
      <alignment vertical="center" wrapText="1"/>
    </xf>
    <xf numFmtId="166" fontId="3" fillId="0" borderId="2" xfId="1" applyNumberFormat="1" applyFont="1" applyBorder="1" applyAlignment="1">
      <alignment horizontal="center" vertical="center"/>
    </xf>
    <xf numFmtId="166" fontId="5" fillId="0" borderId="0" xfId="1" applyNumberFormat="1" applyFont="1" applyBorder="1" applyAlignment="1">
      <alignment horizontal="center" vertical="center"/>
    </xf>
    <xf numFmtId="166" fontId="5" fillId="0" borderId="0" xfId="1" applyNumberFormat="1" applyFont="1" applyBorder="1" applyAlignment="1">
      <alignment vertical="center" wrapText="1"/>
    </xf>
    <xf numFmtId="0" fontId="20" fillId="0" borderId="1" xfId="7" applyFont="1" applyBorder="1" applyAlignment="1">
      <alignment vertical="center" wrapText="1"/>
    </xf>
    <xf numFmtId="0" fontId="20" fillId="0" borderId="1" xfId="7" applyFont="1" applyBorder="1" applyAlignment="1">
      <alignment vertical="center"/>
    </xf>
    <xf numFmtId="166" fontId="17" fillId="0" borderId="1" xfId="1" applyNumberFormat="1" applyFont="1" applyBorder="1" applyAlignment="1">
      <alignment horizontal="left" vertical="center" wrapText="1"/>
    </xf>
    <xf numFmtId="0" fontId="43" fillId="2" borderId="1" xfId="3" applyFont="1" applyFill="1" applyBorder="1" applyAlignment="1">
      <alignment horizontal="center" vertical="center" wrapText="1"/>
    </xf>
    <xf numFmtId="0" fontId="19" fillId="0" borderId="0" xfId="3" applyFont="1"/>
    <xf numFmtId="0" fontId="45" fillId="2" borderId="1" xfId="3" applyFont="1" applyFill="1" applyBorder="1" applyAlignment="1">
      <alignment horizontal="center" vertical="center" wrapText="1"/>
    </xf>
    <xf numFmtId="0" fontId="36" fillId="0" borderId="0" xfId="3" applyFont="1"/>
    <xf numFmtId="0" fontId="36" fillId="0" borderId="0" xfId="3" applyFont="1" applyAlignment="1">
      <alignment horizontal="center" vertical="center" wrapText="1"/>
    </xf>
    <xf numFmtId="0" fontId="3" fillId="0" borderId="0" xfId="19" applyFont="1"/>
    <xf numFmtId="0" fontId="3" fillId="0" borderId="1" xfId="19" applyFont="1" applyBorder="1" applyAlignment="1">
      <alignment horizontal="center" vertical="center"/>
    </xf>
    <xf numFmtId="0" fontId="3" fillId="9" borderId="0" xfId="19" applyFont="1" applyFill="1"/>
    <xf numFmtId="166" fontId="12" fillId="3" borderId="1" xfId="1" applyNumberFormat="1" applyFont="1" applyFill="1" applyBorder="1" applyAlignment="1">
      <alignment horizontal="center" vertical="center"/>
    </xf>
    <xf numFmtId="0" fontId="17" fillId="0" borderId="1" xfId="10" applyFont="1" applyBorder="1" applyAlignment="1">
      <alignment horizontal="center" vertical="center"/>
    </xf>
    <xf numFmtId="0" fontId="42" fillId="0" borderId="1" xfId="9" applyFont="1" applyBorder="1" applyAlignment="1">
      <alignment horizontal="center" vertical="center" wrapText="1"/>
    </xf>
    <xf numFmtId="0" fontId="3" fillId="0" borderId="0" xfId="17" applyFont="1" applyAlignment="1">
      <alignment vertical="center"/>
    </xf>
    <xf numFmtId="0" fontId="3" fillId="0" borderId="0" xfId="17" applyFont="1" applyAlignment="1">
      <alignment vertical="center" wrapText="1"/>
    </xf>
    <xf numFmtId="166" fontId="6" fillId="0" borderId="1" xfId="1" applyNumberFormat="1" applyFont="1" applyBorder="1" applyAlignment="1">
      <alignment horizontal="left" vertical="center" wrapText="1"/>
    </xf>
    <xf numFmtId="0" fontId="5" fillId="0" borderId="0" xfId="17" applyFont="1" applyAlignment="1">
      <alignment vertical="center"/>
    </xf>
    <xf numFmtId="166" fontId="5" fillId="3" borderId="1" xfId="1" applyNumberFormat="1" applyFont="1" applyFill="1" applyBorder="1" applyAlignment="1">
      <alignment horizontal="center" wrapText="1"/>
    </xf>
    <xf numFmtId="0" fontId="8" fillId="0" borderId="0" xfId="21" applyFont="1"/>
    <xf numFmtId="0" fontId="4" fillId="2" borderId="1" xfId="22" applyFont="1" applyFill="1" applyBorder="1" applyAlignment="1">
      <alignment horizontal="center" vertical="center" wrapText="1"/>
    </xf>
    <xf numFmtId="0" fontId="5" fillId="3" borderId="1" xfId="22" applyFont="1" applyFill="1" applyBorder="1" applyAlignment="1">
      <alignment horizontal="center" vertical="center" wrapText="1"/>
    </xf>
    <xf numFmtId="0" fontId="29" fillId="0" borderId="0" xfId="0" applyFont="1"/>
    <xf numFmtId="0" fontId="15" fillId="0" borderId="1" xfId="14" applyFont="1" applyBorder="1" applyAlignment="1">
      <alignment horizontal="left" vertical="center" wrapText="1"/>
    </xf>
    <xf numFmtId="0" fontId="12" fillId="3" borderId="1" xfId="10" applyFont="1" applyFill="1" applyBorder="1" applyAlignment="1">
      <alignment horizontal="center" vertical="center"/>
    </xf>
    <xf numFmtId="0" fontId="13" fillId="0" borderId="0" xfId="10" applyFont="1"/>
    <xf numFmtId="166" fontId="20" fillId="0" borderId="3" xfId="1" applyNumberFormat="1" applyFont="1" applyBorder="1" applyAlignment="1">
      <alignment horizontal="center" vertical="center"/>
    </xf>
    <xf numFmtId="0" fontId="20" fillId="0" borderId="1" xfId="11" applyFont="1" applyBorder="1" applyAlignment="1">
      <alignment vertical="center" wrapText="1"/>
    </xf>
    <xf numFmtId="0" fontId="17" fillId="0" borderId="1" xfId="11" applyFont="1" applyBorder="1" applyAlignment="1">
      <alignment horizontal="center" vertical="center"/>
    </xf>
    <xf numFmtId="0" fontId="20" fillId="0" borderId="1" xfId="10" applyFont="1" applyBorder="1" applyAlignment="1">
      <alignment vertical="center" wrapText="1"/>
    </xf>
    <xf numFmtId="0" fontId="20" fillId="3" borderId="1" xfId="11" applyFont="1" applyFill="1" applyBorder="1" applyAlignment="1">
      <alignment horizontal="center" vertical="center"/>
    </xf>
    <xf numFmtId="0" fontId="3" fillId="0" borderId="0" xfId="10" applyFont="1"/>
    <xf numFmtId="166" fontId="15" fillId="0" borderId="1" xfId="1" applyNumberFormat="1" applyFont="1" applyBorder="1"/>
    <xf numFmtId="166" fontId="29" fillId="0" borderId="1" xfId="1" applyNumberFormat="1" applyFont="1" applyBorder="1"/>
    <xf numFmtId="166" fontId="13" fillId="0" borderId="1" xfId="1" applyNumberFormat="1" applyFont="1" applyBorder="1"/>
    <xf numFmtId="166" fontId="13" fillId="0" borderId="1" xfId="1" applyNumberFormat="1" applyFont="1" applyBorder="1" applyAlignment="1">
      <alignment wrapText="1"/>
    </xf>
    <xf numFmtId="166" fontId="13" fillId="0" borderId="1" xfId="1" applyNumberFormat="1" applyFont="1" applyBorder="1" applyAlignment="1">
      <alignment horizontal="left" wrapText="1"/>
    </xf>
    <xf numFmtId="166" fontId="15" fillId="3" borderId="1" xfId="1" applyNumberFormat="1" applyFont="1" applyFill="1" applyBorder="1" applyAlignment="1">
      <alignment horizontal="center" vertical="center" wrapText="1"/>
    </xf>
    <xf numFmtId="0" fontId="15" fillId="3" borderId="1" xfId="1" applyNumberFormat="1" applyFont="1" applyFill="1" applyBorder="1" applyAlignment="1">
      <alignment horizontal="center" vertical="center" wrapText="1"/>
    </xf>
    <xf numFmtId="0" fontId="47" fillId="0" borderId="0" xfId="0" applyFont="1"/>
    <xf numFmtId="166" fontId="13" fillId="0" borderId="1" xfId="1" applyNumberFormat="1" applyFont="1" applyBorder="1" applyAlignment="1">
      <alignment vertical="top" wrapText="1"/>
    </xf>
    <xf numFmtId="0" fontId="48" fillId="0" borderId="0" xfId="0" applyFont="1"/>
    <xf numFmtId="0" fontId="49" fillId="0" borderId="0" xfId="0" applyFont="1"/>
    <xf numFmtId="0" fontId="17" fillId="0" borderId="0" xfId="15" applyFont="1"/>
    <xf numFmtId="0" fontId="17" fillId="0" borderId="0" xfId="15" applyFont="1" applyAlignment="1">
      <alignment horizontal="left"/>
    </xf>
    <xf numFmtId="166" fontId="17" fillId="0" borderId="0" xfId="15" applyNumberFormat="1" applyFont="1"/>
    <xf numFmtId="166" fontId="8" fillId="0" borderId="1" xfId="1" applyNumberFormat="1" applyFont="1" applyBorder="1" applyAlignment="1">
      <alignment wrapText="1"/>
    </xf>
    <xf numFmtId="166" fontId="6" fillId="0" borderId="1" xfId="1" applyNumberFormat="1" applyFont="1" applyBorder="1" applyAlignment="1">
      <alignment horizontal="left"/>
    </xf>
    <xf numFmtId="166" fontId="6" fillId="0" borderId="1" xfId="1" applyNumberFormat="1" applyFont="1" applyBorder="1" applyAlignment="1">
      <alignment horizontal="left" wrapText="1"/>
    </xf>
    <xf numFmtId="0" fontId="8" fillId="0" borderId="1" xfId="9" applyFont="1" applyBorder="1" applyAlignment="1">
      <alignment horizontal="center" vertical="center"/>
    </xf>
    <xf numFmtId="0" fontId="23" fillId="0" borderId="0" xfId="9" applyFont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4" fillId="3" borderId="0" xfId="9" applyFont="1" applyFill="1" applyAlignment="1">
      <alignment vertical="center" wrapText="1"/>
    </xf>
    <xf numFmtId="1" fontId="24" fillId="0" borderId="0" xfId="23" applyNumberFormat="1" applyFont="1"/>
    <xf numFmtId="1" fontId="20" fillId="3" borderId="4" xfId="13" applyNumberFormat="1" applyFont="1" applyFill="1" applyBorder="1" applyAlignment="1">
      <alignment horizontal="center" vertical="center" wrapText="1"/>
    </xf>
    <xf numFmtId="1" fontId="20" fillId="3" borderId="1" xfId="13" applyNumberFormat="1" applyFont="1" applyFill="1" applyBorder="1" applyAlignment="1">
      <alignment horizontal="center" vertical="center" wrapText="1"/>
    </xf>
    <xf numFmtId="0" fontId="17" fillId="0" borderId="0" xfId="10" applyFont="1" applyAlignment="1">
      <alignment horizontal="left" vertical="center"/>
    </xf>
    <xf numFmtId="166" fontId="17" fillId="0" borderId="0" xfId="10" applyNumberFormat="1" applyFont="1" applyAlignment="1">
      <alignment horizontal="left" vertical="center"/>
    </xf>
    <xf numFmtId="0" fontId="17" fillId="0" borderId="0" xfId="10" applyFont="1" applyAlignment="1">
      <alignment horizontal="left" vertical="center" wrapText="1"/>
    </xf>
    <xf numFmtId="0" fontId="20" fillId="0" borderId="0" xfId="10" applyFont="1" applyAlignment="1">
      <alignment horizontal="left" vertical="center"/>
    </xf>
    <xf numFmtId="166" fontId="23" fillId="0" borderId="1" xfId="1" applyNumberFormat="1" applyFont="1" applyBorder="1" applyAlignment="1">
      <alignment horizontal="left" vertical="center"/>
    </xf>
    <xf numFmtId="166" fontId="17" fillId="0" borderId="1" xfId="1" applyNumberFormat="1" applyFont="1" applyBorder="1" applyAlignment="1">
      <alignment horizontal="left" vertical="center"/>
    </xf>
    <xf numFmtId="0" fontId="20" fillId="0" borderId="1" xfId="10" applyFont="1" applyBorder="1" applyAlignment="1">
      <alignment horizontal="left" vertical="center"/>
    </xf>
    <xf numFmtId="166" fontId="24" fillId="0" borderId="1" xfId="1" applyNumberFormat="1" applyFont="1" applyBorder="1" applyAlignment="1">
      <alignment horizontal="left" vertical="center"/>
    </xf>
    <xf numFmtId="0" fontId="17" fillId="3" borderId="0" xfId="10" applyFont="1" applyFill="1" applyAlignment="1">
      <alignment horizontal="center" vertical="center"/>
    </xf>
    <xf numFmtId="0" fontId="20" fillId="3" borderId="0" xfId="10" applyFont="1" applyFill="1" applyAlignment="1">
      <alignment horizontal="center" vertical="center" wrapText="1"/>
    </xf>
    <xf numFmtId="0" fontId="17" fillId="0" borderId="0" xfId="10" applyFont="1" applyAlignment="1">
      <alignment horizontal="center" vertical="center"/>
    </xf>
    <xf numFmtId="0" fontId="20" fillId="0" borderId="0" xfId="10" applyFont="1" applyAlignment="1">
      <alignment horizontal="center" vertical="center"/>
    </xf>
    <xf numFmtId="0" fontId="5" fillId="0" borderId="1" xfId="22" applyFont="1" applyBorder="1" applyAlignment="1">
      <alignment horizontal="left" vertical="center" wrapText="1"/>
    </xf>
    <xf numFmtId="0" fontId="18" fillId="0" borderId="1" xfId="22" applyFont="1" applyBorder="1" applyAlignment="1">
      <alignment horizontal="center" vertical="center" wrapText="1"/>
    </xf>
    <xf numFmtId="0" fontId="41" fillId="0" borderId="0" xfId="21" applyFont="1"/>
    <xf numFmtId="0" fontId="29" fillId="0" borderId="1" xfId="10" applyFont="1" applyBorder="1" applyAlignment="1">
      <alignment horizontal="center" vertical="center"/>
    </xf>
    <xf numFmtId="0" fontId="29" fillId="0" borderId="1" xfId="1" applyNumberFormat="1" applyFont="1" applyBorder="1" applyAlignment="1">
      <alignment horizontal="center" vertical="center"/>
    </xf>
    <xf numFmtId="0" fontId="42" fillId="0" borderId="3" xfId="11" applyFont="1" applyBorder="1" applyAlignment="1">
      <alignment horizontal="center" vertical="center" wrapText="1"/>
    </xf>
    <xf numFmtId="0" fontId="42" fillId="0" borderId="8" xfId="11" applyFont="1" applyBorder="1" applyAlignment="1">
      <alignment horizontal="center" vertical="center" wrapText="1"/>
    </xf>
    <xf numFmtId="0" fontId="50" fillId="0" borderId="0" xfId="0" applyFont="1"/>
    <xf numFmtId="0" fontId="8" fillId="0" borderId="1" xfId="15" applyFont="1" applyBorder="1" applyAlignment="1">
      <alignment horizontal="center"/>
    </xf>
    <xf numFmtId="166" fontId="5" fillId="0" borderId="1" xfId="1" applyNumberFormat="1" applyFont="1" applyBorder="1" applyAlignment="1">
      <alignment horizontal="left"/>
    </xf>
    <xf numFmtId="164" fontId="5" fillId="3" borderId="1" xfId="13" applyNumberFormat="1" applyFont="1" applyFill="1" applyBorder="1" applyAlignment="1">
      <alignment horizontal="center" vertical="center"/>
    </xf>
    <xf numFmtId="164" fontId="39" fillId="0" borderId="1" xfId="9" applyNumberFormat="1" applyFont="1" applyBorder="1" applyAlignment="1">
      <alignment horizontal="center" vertical="center" wrapText="1"/>
    </xf>
    <xf numFmtId="164" fontId="39" fillId="0" borderId="1" xfId="9" applyNumberFormat="1" applyFont="1" applyBorder="1" applyAlignment="1">
      <alignment horizontal="center" vertical="top" wrapText="1"/>
    </xf>
    <xf numFmtId="0" fontId="17" fillId="0" borderId="0" xfId="10" applyFont="1" applyAlignment="1">
      <alignment horizontal="center" vertical="center" wrapText="1"/>
    </xf>
    <xf numFmtId="0" fontId="42" fillId="0" borderId="3" xfId="10" applyFont="1" applyBorder="1" applyAlignment="1">
      <alignment horizontal="center" vertical="center" wrapText="1"/>
    </xf>
    <xf numFmtId="0" fontId="36" fillId="0" borderId="0" xfId="10" applyFont="1" applyAlignment="1">
      <alignment horizontal="center" vertical="center"/>
    </xf>
    <xf numFmtId="0" fontId="24" fillId="0" borderId="0" xfId="24" applyFont="1"/>
    <xf numFmtId="0" fontId="5" fillId="3" borderId="1" xfId="24" applyFont="1" applyFill="1" applyBorder="1" applyAlignment="1">
      <alignment horizontal="center" vertical="center" wrapText="1"/>
    </xf>
    <xf numFmtId="0" fontId="24" fillId="0" borderId="0" xfId="24" applyFont="1" applyAlignment="1">
      <alignment wrapText="1"/>
    </xf>
    <xf numFmtId="0" fontId="42" fillId="0" borderId="0" xfId="24" applyFont="1" applyAlignment="1">
      <alignment wrapText="1"/>
    </xf>
    <xf numFmtId="0" fontId="24" fillId="0" borderId="1" xfId="24" applyFont="1" applyBorder="1" applyAlignment="1">
      <alignment vertical="center"/>
    </xf>
    <xf numFmtId="0" fontId="6" fillId="0" borderId="1" xfId="24" applyFont="1" applyBorder="1" applyAlignment="1">
      <alignment horizontal="left" vertical="center" wrapText="1"/>
    </xf>
    <xf numFmtId="0" fontId="24" fillId="0" borderId="0" xfId="24" applyFont="1" applyAlignment="1">
      <alignment vertical="center"/>
    </xf>
    <xf numFmtId="0" fontId="24" fillId="0" borderId="1" xfId="24" applyFont="1" applyBorder="1" applyAlignment="1">
      <alignment horizontal="center" vertical="center"/>
    </xf>
    <xf numFmtId="0" fontId="24" fillId="0" borderId="0" xfId="24" applyFont="1" applyAlignment="1">
      <alignment horizontal="center" vertical="center"/>
    </xf>
    <xf numFmtId="0" fontId="8" fillId="0" borderId="1" xfId="25" applyFont="1" applyBorder="1" applyAlignment="1">
      <alignment horizontal="center" vertical="center"/>
    </xf>
    <xf numFmtId="0" fontId="23" fillId="0" borderId="1" xfId="25" applyFont="1" applyBorder="1" applyAlignment="1">
      <alignment horizontal="center"/>
    </xf>
    <xf numFmtId="0" fontId="24" fillId="0" borderId="1" xfId="25" applyFont="1" applyBorder="1" applyAlignment="1">
      <alignment horizontal="center"/>
    </xf>
    <xf numFmtId="0" fontId="24" fillId="0" borderId="1" xfId="28" applyFont="1" applyBorder="1" applyAlignment="1">
      <alignment horizontal="center" vertical="center"/>
    </xf>
    <xf numFmtId="0" fontId="6" fillId="0" borderId="0" xfId="30" applyFont="1" applyAlignment="1">
      <alignment horizontal="center" vertical="center"/>
    </xf>
    <xf numFmtId="0" fontId="52" fillId="0" borderId="0" xfId="31" applyFont="1" applyAlignment="1">
      <alignment horizontal="center" vertical="center"/>
    </xf>
    <xf numFmtId="0" fontId="8" fillId="0" borderId="1" xfId="31" applyFont="1" applyBorder="1" applyAlignment="1">
      <alignment horizontal="center" vertical="center"/>
    </xf>
    <xf numFmtId="0" fontId="51" fillId="0" borderId="0" xfId="31" applyFont="1" applyAlignment="1">
      <alignment horizontal="center" vertical="center"/>
    </xf>
    <xf numFmtId="0" fontId="51" fillId="0" borderId="0" xfId="30" applyFont="1" applyAlignment="1">
      <alignment horizontal="center" vertical="center"/>
    </xf>
    <xf numFmtId="0" fontId="34" fillId="3" borderId="1" xfId="10" applyFont="1" applyFill="1" applyBorder="1" applyAlignment="1">
      <alignment horizontal="center" vertical="center" wrapText="1"/>
    </xf>
    <xf numFmtId="0" fontId="5" fillId="0" borderId="0" xfId="6" applyFont="1" applyAlignment="1">
      <alignment horizontal="center" vertical="center"/>
    </xf>
    <xf numFmtId="0" fontId="21" fillId="0" borderId="0" xfId="6" applyFont="1"/>
    <xf numFmtId="0" fontId="24" fillId="0" borderId="0" xfId="25" applyFont="1"/>
    <xf numFmtId="0" fontId="53" fillId="3" borderId="1" xfId="25" applyFont="1" applyFill="1" applyBorder="1" applyAlignment="1">
      <alignment horizontal="center" vertical="center" wrapText="1"/>
    </xf>
    <xf numFmtId="0" fontId="53" fillId="3" borderId="1" xfId="25" applyFont="1" applyFill="1" applyBorder="1" applyAlignment="1">
      <alignment horizontal="center" vertical="center" textRotation="90" wrapText="1"/>
    </xf>
    <xf numFmtId="0" fontId="24" fillId="0" borderId="0" xfId="25" applyFont="1" applyAlignment="1">
      <alignment wrapText="1"/>
    </xf>
    <xf numFmtId="0" fontId="42" fillId="0" borderId="0" xfId="25" applyFont="1" applyAlignment="1">
      <alignment wrapText="1"/>
    </xf>
    <xf numFmtId="0" fontId="23" fillId="0" borderId="1" xfId="25" applyFont="1" applyBorder="1" applyAlignment="1">
      <alignment horizontal="center" vertical="center"/>
    </xf>
    <xf numFmtId="0" fontId="24" fillId="0" borderId="1" xfId="25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0" fontId="24" fillId="0" borderId="0" xfId="25" applyFont="1" applyAlignment="1">
      <alignment horizontal="center"/>
    </xf>
    <xf numFmtId="0" fontId="24" fillId="0" borderId="0" xfId="25" applyFont="1" applyAlignment="1">
      <alignment horizontal="center" vertical="center"/>
    </xf>
    <xf numFmtId="0" fontId="6" fillId="0" borderId="0" xfId="25" applyFont="1" applyAlignment="1">
      <alignment vertical="center"/>
    </xf>
    <xf numFmtId="0" fontId="23" fillId="3" borderId="0" xfId="25" applyFont="1" applyFill="1"/>
    <xf numFmtId="0" fontId="42" fillId="0" borderId="1" xfId="25" applyFont="1" applyBorder="1" applyAlignment="1">
      <alignment horizontal="center" vertical="center" wrapText="1"/>
    </xf>
    <xf numFmtId="0" fontId="18" fillId="0" borderId="0" xfId="25" applyFont="1"/>
    <xf numFmtId="0" fontId="24" fillId="0" borderId="1" xfId="25" applyFont="1" applyBorder="1" applyAlignment="1">
      <alignment vertical="center"/>
    </xf>
    <xf numFmtId="0" fontId="23" fillId="0" borderId="1" xfId="25" applyFont="1" applyBorder="1" applyAlignment="1">
      <alignment horizontal="left" vertical="center" wrapText="1"/>
    </xf>
    <xf numFmtId="0" fontId="23" fillId="0" borderId="0" xfId="25" applyFont="1" applyAlignment="1">
      <alignment vertical="center"/>
    </xf>
    <xf numFmtId="0" fontId="24" fillId="0" borderId="0" xfId="25" applyFont="1" applyAlignment="1">
      <alignment vertical="center"/>
    </xf>
    <xf numFmtId="3" fontId="23" fillId="0" borderId="1" xfId="25" applyNumberFormat="1" applyFont="1" applyBorder="1" applyAlignment="1">
      <alignment horizontal="center" vertical="center"/>
    </xf>
    <xf numFmtId="3" fontId="24" fillId="0" borderId="1" xfId="25" applyNumberFormat="1" applyFont="1" applyBorder="1" applyAlignment="1">
      <alignment horizontal="center" vertical="center"/>
    </xf>
    <xf numFmtId="0" fontId="6" fillId="0" borderId="0" xfId="25" applyFont="1" applyAlignment="1">
      <alignment horizontal="center"/>
    </xf>
    <xf numFmtId="0" fontId="8" fillId="0" borderId="0" xfId="25" applyFont="1" applyAlignment="1">
      <alignment vertical="center"/>
    </xf>
    <xf numFmtId="0" fontId="20" fillId="3" borderId="1" xfId="25" applyFont="1" applyFill="1" applyBorder="1" applyAlignment="1">
      <alignment horizontal="center" wrapText="1"/>
    </xf>
    <xf numFmtId="0" fontId="23" fillId="0" borderId="0" xfId="25" applyFont="1"/>
    <xf numFmtId="0" fontId="42" fillId="0" borderId="1" xfId="25" applyFont="1" applyBorder="1" applyAlignment="1">
      <alignment horizontal="center" wrapText="1"/>
    </xf>
    <xf numFmtId="0" fontId="54" fillId="0" borderId="0" xfId="25" applyFont="1"/>
    <xf numFmtId="0" fontId="24" fillId="0" borderId="0" xfId="26" applyFont="1"/>
    <xf numFmtId="0" fontId="24" fillId="0" borderId="0" xfId="27" applyFont="1"/>
    <xf numFmtId="0" fontId="23" fillId="0" borderId="0" xfId="27" applyFont="1" applyAlignment="1">
      <alignment horizontal="center" vertical="center"/>
    </xf>
    <xf numFmtId="0" fontId="20" fillId="3" borderId="1" xfId="27" applyFont="1" applyFill="1" applyBorder="1" applyAlignment="1">
      <alignment horizontal="center" vertical="center" wrapText="1"/>
    </xf>
    <xf numFmtId="0" fontId="23" fillId="3" borderId="0" xfId="27" applyFont="1" applyFill="1" applyAlignment="1">
      <alignment horizontal="center" vertical="center"/>
    </xf>
    <xf numFmtId="0" fontId="42" fillId="0" borderId="1" xfId="27" applyFont="1" applyBorder="1" applyAlignment="1">
      <alignment horizontal="center" vertical="center"/>
    </xf>
    <xf numFmtId="0" fontId="42" fillId="0" borderId="1" xfId="27" applyFont="1" applyBorder="1" applyAlignment="1">
      <alignment horizontal="center" vertical="center" wrapText="1"/>
    </xf>
    <xf numFmtId="0" fontId="24" fillId="3" borderId="0" xfId="27" applyFont="1" applyFill="1" applyAlignment="1">
      <alignment horizontal="center" vertical="center"/>
    </xf>
    <xf numFmtId="0" fontId="23" fillId="0" borderId="1" xfId="27" applyFont="1" applyBorder="1" applyAlignment="1">
      <alignment horizontal="center" vertical="center"/>
    </xf>
    <xf numFmtId="0" fontId="24" fillId="0" borderId="1" xfId="27" applyFont="1" applyBorder="1" applyAlignment="1">
      <alignment horizontal="center" vertical="center"/>
    </xf>
    <xf numFmtId="0" fontId="24" fillId="0" borderId="0" xfId="27" applyFont="1" applyAlignment="1">
      <alignment horizontal="center" vertical="center"/>
    </xf>
    <xf numFmtId="1" fontId="24" fillId="0" borderId="1" xfId="27" applyNumberFormat="1" applyFont="1" applyBorder="1" applyAlignment="1">
      <alignment horizontal="center" vertical="center"/>
    </xf>
    <xf numFmtId="0" fontId="24" fillId="0" borderId="3" xfId="27" applyFont="1" applyBorder="1" applyAlignment="1">
      <alignment horizontal="center" vertical="center"/>
    </xf>
    <xf numFmtId="0" fontId="13" fillId="0" borderId="5" xfId="15" applyFont="1" applyBorder="1" applyAlignment="1">
      <alignment horizontal="center" vertical="center"/>
    </xf>
    <xf numFmtId="0" fontId="13" fillId="0" borderId="1" xfId="15" applyFont="1" applyBorder="1" applyAlignment="1">
      <alignment horizontal="center" vertical="center"/>
    </xf>
    <xf numFmtId="0" fontId="6" fillId="0" borderId="0" xfId="27" applyFont="1" applyAlignment="1">
      <alignment horizontal="center" vertical="center"/>
    </xf>
    <xf numFmtId="0" fontId="6" fillId="0" borderId="6" xfId="27" applyFont="1" applyBorder="1" applyAlignment="1">
      <alignment horizontal="right" vertical="center"/>
    </xf>
    <xf numFmtId="0" fontId="13" fillId="0" borderId="0" xfId="10" applyFont="1" applyAlignment="1">
      <alignment horizontal="center" vertical="center"/>
    </xf>
    <xf numFmtId="0" fontId="20" fillId="0" borderId="1" xfId="27" applyFont="1" applyBorder="1" applyAlignment="1">
      <alignment horizontal="center" vertical="center"/>
    </xf>
    <xf numFmtId="0" fontId="24" fillId="0" borderId="1" xfId="27" applyFont="1" applyBorder="1" applyAlignment="1">
      <alignment vertical="center"/>
    </xf>
    <xf numFmtId="0" fontId="6" fillId="0" borderId="1" xfId="27" applyFont="1" applyBorder="1" applyAlignment="1">
      <alignment horizontal="left" vertical="center" wrapText="1"/>
    </xf>
    <xf numFmtId="0" fontId="6" fillId="0" borderId="0" xfId="32" applyFont="1" applyAlignment="1">
      <alignment horizontal="center" vertical="center"/>
    </xf>
    <xf numFmtId="0" fontId="8" fillId="0" borderId="0" xfId="32" applyFont="1" applyAlignment="1">
      <alignment horizontal="center" vertical="center"/>
    </xf>
    <xf numFmtId="0" fontId="29" fillId="0" borderId="0" xfId="32" applyFont="1" applyAlignment="1">
      <alignment horizontal="center" vertical="center"/>
    </xf>
    <xf numFmtId="0" fontId="29" fillId="0" borderId="0" xfId="32" applyFont="1" applyAlignment="1">
      <alignment horizontal="center" vertical="center" wrapText="1"/>
    </xf>
    <xf numFmtId="0" fontId="42" fillId="0" borderId="1" xfId="32" applyFont="1" applyBorder="1" applyAlignment="1">
      <alignment horizontal="center" vertical="center"/>
    </xf>
    <xf numFmtId="0" fontId="42" fillId="0" borderId="1" xfId="32" applyFont="1" applyBorder="1" applyAlignment="1">
      <alignment horizontal="center" vertical="center" wrapText="1"/>
    </xf>
    <xf numFmtId="0" fontId="23" fillId="0" borderId="0" xfId="32" applyFont="1" applyAlignment="1">
      <alignment horizontal="center" vertical="center"/>
    </xf>
    <xf numFmtId="0" fontId="24" fillId="0" borderId="0" xfId="32" applyFont="1" applyAlignment="1">
      <alignment horizontal="center" vertical="center"/>
    </xf>
    <xf numFmtId="0" fontId="23" fillId="0" borderId="1" xfId="32" applyFont="1" applyBorder="1" applyAlignment="1">
      <alignment horizontal="center" vertical="center"/>
    </xf>
    <xf numFmtId="0" fontId="24" fillId="0" borderId="1" xfId="32" applyFont="1" applyBorder="1" applyAlignment="1">
      <alignment horizontal="center" vertical="center"/>
    </xf>
    <xf numFmtId="0" fontId="54" fillId="0" borderId="0" xfId="32" applyFont="1" applyAlignment="1">
      <alignment horizontal="left" vertical="center"/>
    </xf>
    <xf numFmtId="0" fontId="53" fillId="3" borderId="1" xfId="32" applyFont="1" applyFill="1" applyBorder="1" applyAlignment="1">
      <alignment horizontal="center" vertical="center"/>
    </xf>
    <xf numFmtId="0" fontId="23" fillId="0" borderId="9" xfId="15" applyFont="1" applyBorder="1" applyAlignment="1">
      <alignment horizontal="center" vertical="center"/>
    </xf>
    <xf numFmtId="0" fontId="13" fillId="0" borderId="7" xfId="15" applyFont="1" applyBorder="1" applyAlignment="1">
      <alignment horizontal="center" vertical="center"/>
    </xf>
    <xf numFmtId="0" fontId="13" fillId="0" borderId="4" xfId="15" applyFont="1" applyBorder="1" applyAlignment="1">
      <alignment horizontal="center" vertical="center"/>
    </xf>
    <xf numFmtId="0" fontId="23" fillId="0" borderId="0" xfId="15" applyFont="1" applyAlignment="1">
      <alignment horizontal="center" vertical="center"/>
    </xf>
    <xf numFmtId="0" fontId="42" fillId="0" borderId="1" xfId="24" applyFont="1" applyBorder="1" applyAlignment="1">
      <alignment horizontal="center" vertical="center" wrapText="1"/>
    </xf>
    <xf numFmtId="0" fontId="42" fillId="0" borderId="1" xfId="31" applyFont="1" applyBorder="1" applyAlignment="1">
      <alignment horizontal="center" vertical="center"/>
    </xf>
    <xf numFmtId="0" fontId="56" fillId="0" borderId="0" xfId="31" applyFont="1" applyAlignment="1">
      <alignment horizontal="center" vertical="center"/>
    </xf>
    <xf numFmtId="0" fontId="41" fillId="0" borderId="0" xfId="32" applyFont="1" applyAlignment="1">
      <alignment horizontal="center" vertical="center"/>
    </xf>
    <xf numFmtId="0" fontId="45" fillId="2" borderId="1" xfId="7" applyFont="1" applyFill="1" applyBorder="1" applyAlignment="1">
      <alignment horizontal="center" vertical="center" wrapText="1"/>
    </xf>
    <xf numFmtId="0" fontId="45" fillId="0" borderId="1" xfId="7" applyFont="1" applyBorder="1" applyAlignment="1">
      <alignment horizontal="center" vertical="center" wrapText="1"/>
    </xf>
    <xf numFmtId="3" fontId="3" fillId="0" borderId="1" xfId="19" applyNumberFormat="1" applyFont="1" applyBorder="1" applyAlignment="1">
      <alignment horizontal="center" vertical="center"/>
    </xf>
    <xf numFmtId="3" fontId="5" fillId="0" borderId="1" xfId="19" applyNumberFormat="1" applyFont="1" applyBorder="1" applyAlignment="1">
      <alignment horizontal="center" vertical="center"/>
    </xf>
    <xf numFmtId="0" fontId="45" fillId="2" borderId="2" xfId="6" applyFont="1" applyFill="1" applyBorder="1" applyAlignment="1">
      <alignment horizontal="center" vertical="center" wrapText="1"/>
    </xf>
    <xf numFmtId="0" fontId="45" fillId="2" borderId="1" xfId="6" applyFont="1" applyFill="1" applyBorder="1" applyAlignment="1">
      <alignment horizontal="center" vertical="center" wrapText="1"/>
    </xf>
    <xf numFmtId="0" fontId="42" fillId="0" borderId="1" xfId="7" applyFont="1" applyBorder="1" applyAlignment="1">
      <alignment horizontal="center" vertical="center" wrapText="1"/>
    </xf>
    <xf numFmtId="0" fontId="42" fillId="0" borderId="0" xfId="7" applyFont="1" applyAlignment="1">
      <alignment vertical="center"/>
    </xf>
    <xf numFmtId="0" fontId="36" fillId="0" borderId="0" xfId="7" applyFont="1" applyAlignment="1">
      <alignment vertical="center"/>
    </xf>
    <xf numFmtId="0" fontId="57" fillId="0" borderId="0" xfId="9" applyFont="1" applyAlignment="1">
      <alignment vertical="center"/>
    </xf>
    <xf numFmtId="0" fontId="42" fillId="0" borderId="0" xfId="9" applyFont="1" applyAlignment="1">
      <alignment vertical="center"/>
    </xf>
    <xf numFmtId="0" fontId="19" fillId="3" borderId="0" xfId="3" applyFont="1" applyFill="1" applyAlignment="1">
      <alignment vertical="center"/>
    </xf>
    <xf numFmtId="0" fontId="57" fillId="0" borderId="0" xfId="0" applyFont="1"/>
    <xf numFmtId="0" fontId="23" fillId="8" borderId="1" xfId="10" applyFont="1" applyFill="1" applyBorder="1" applyAlignment="1">
      <alignment horizontal="center" vertical="center"/>
    </xf>
    <xf numFmtId="0" fontId="6" fillId="0" borderId="1" xfId="31" applyFont="1" applyBorder="1" applyAlignment="1">
      <alignment horizontal="left" vertical="center" wrapText="1"/>
    </xf>
    <xf numFmtId="0" fontId="5" fillId="5" borderId="1" xfId="7" applyFont="1" applyFill="1" applyBorder="1" applyAlignment="1">
      <alignment horizontal="center" vertical="center" wrapText="1"/>
    </xf>
    <xf numFmtId="166" fontId="5" fillId="5" borderId="1" xfId="1" applyNumberFormat="1" applyFont="1" applyFill="1" applyBorder="1" applyAlignment="1">
      <alignment horizontal="center" vertical="center"/>
    </xf>
    <xf numFmtId="0" fontId="11" fillId="0" borderId="0" xfId="7" applyFont="1" applyAlignment="1">
      <alignment horizontal="right" vertical="top"/>
    </xf>
    <xf numFmtId="164" fontId="3" fillId="0" borderId="0" xfId="7" applyNumberFormat="1" applyFont="1"/>
    <xf numFmtId="164" fontId="5" fillId="0" borderId="0" xfId="7" applyNumberFormat="1" applyFont="1" applyAlignment="1">
      <alignment horizontal="right" vertical="top"/>
    </xf>
    <xf numFmtId="0" fontId="12" fillId="0" borderId="0" xfId="7" applyFont="1" applyAlignment="1">
      <alignment horizontal="right" vertical="top"/>
    </xf>
    <xf numFmtId="0" fontId="5" fillId="0" borderId="0" xfId="10" applyFont="1" applyAlignment="1">
      <alignment horizontal="right" vertical="top" wrapText="1"/>
    </xf>
    <xf numFmtId="0" fontId="6" fillId="3" borderId="3" xfId="9" applyFont="1" applyFill="1" applyBorder="1" applyAlignment="1">
      <alignment horizontal="center" vertical="center"/>
    </xf>
    <xf numFmtId="167" fontId="24" fillId="0" borderId="2" xfId="6" applyNumberFormat="1" applyFont="1" applyBorder="1" applyAlignment="1">
      <alignment horizontal="center" vertical="center"/>
    </xf>
    <xf numFmtId="0" fontId="3" fillId="0" borderId="0" xfId="10" applyFont="1" applyAlignment="1">
      <alignment horizontal="center" vertical="top"/>
    </xf>
    <xf numFmtId="0" fontId="5" fillId="0" borderId="0" xfId="10" applyFont="1" applyAlignment="1">
      <alignment horizontal="right"/>
    </xf>
    <xf numFmtId="166" fontId="3" fillId="0" borderId="0" xfId="1" applyNumberFormat="1" applyFont="1" applyFill="1" applyBorder="1" applyAlignment="1">
      <alignment vertical="top"/>
    </xf>
    <xf numFmtId="0" fontId="42" fillId="0" borderId="1" xfId="11" applyFont="1" applyBorder="1" applyAlignment="1">
      <alignment horizontal="center" vertical="center" wrapText="1"/>
    </xf>
    <xf numFmtId="0" fontId="8" fillId="0" borderId="0" xfId="9" applyFont="1" applyAlignment="1">
      <alignment horizontal="center" vertical="center"/>
    </xf>
    <xf numFmtId="164" fontId="8" fillId="0" borderId="0" xfId="9" applyNumberFormat="1" applyFont="1" applyAlignment="1">
      <alignment horizontal="center" vertical="center"/>
    </xf>
    <xf numFmtId="1" fontId="23" fillId="0" borderId="0" xfId="23" applyNumberFormat="1" applyFont="1"/>
    <xf numFmtId="1" fontId="23" fillId="0" borderId="1" xfId="23" applyNumberFormat="1" applyFont="1" applyBorder="1" applyAlignment="1">
      <alignment vertical="center" wrapText="1"/>
    </xf>
    <xf numFmtId="166" fontId="24" fillId="0" borderId="1" xfId="1" applyNumberFormat="1" applyFont="1" applyBorder="1" applyAlignment="1">
      <alignment vertical="center"/>
    </xf>
    <xf numFmtId="166" fontId="23" fillId="0" borderId="1" xfId="1" applyNumberFormat="1" applyFont="1" applyBorder="1" applyAlignment="1">
      <alignment vertical="center"/>
    </xf>
    <xf numFmtId="3" fontId="23" fillId="0" borderId="1" xfId="24" applyNumberFormat="1" applyFont="1" applyBorder="1" applyAlignment="1">
      <alignment horizontal="right" vertical="center"/>
    </xf>
    <xf numFmtId="0" fontId="24" fillId="0" borderId="1" xfId="24" applyFont="1" applyBorder="1" applyAlignment="1">
      <alignment horizontal="right" vertical="center"/>
    </xf>
    <xf numFmtId="0" fontId="42" fillId="0" borderId="1" xfId="25" applyFont="1" applyBorder="1" applyAlignment="1">
      <alignment horizontal="center" vertical="center"/>
    </xf>
    <xf numFmtId="0" fontId="42" fillId="0" borderId="1" xfId="25" applyFont="1" applyBorder="1" applyAlignment="1">
      <alignment horizontal="center"/>
    </xf>
    <xf numFmtId="3" fontId="23" fillId="0" borderId="1" xfId="25" applyNumberFormat="1" applyFont="1" applyBorder="1" applyAlignment="1">
      <alignment horizontal="right"/>
    </xf>
    <xf numFmtId="3" fontId="24" fillId="0" borderId="1" xfId="25" applyNumberFormat="1" applyFont="1" applyBorder="1" applyAlignment="1">
      <alignment horizontal="right"/>
    </xf>
    <xf numFmtId="0" fontId="24" fillId="0" borderId="1" xfId="27" applyFont="1" applyBorder="1" applyAlignment="1">
      <alignment horizontal="right" vertical="center"/>
    </xf>
    <xf numFmtId="3" fontId="23" fillId="0" borderId="1" xfId="27" applyNumberFormat="1" applyFont="1" applyBorder="1" applyAlignment="1">
      <alignment horizontal="right" vertical="center"/>
    </xf>
    <xf numFmtId="3" fontId="24" fillId="0" borderId="1" xfId="27" applyNumberFormat="1" applyFont="1" applyBorder="1" applyAlignment="1">
      <alignment horizontal="right" vertical="center"/>
    </xf>
    <xf numFmtId="3" fontId="17" fillId="0" borderId="1" xfId="7" applyNumberFormat="1" applyFont="1" applyBorder="1" applyAlignment="1">
      <alignment horizontal="right" vertical="center"/>
    </xf>
    <xf numFmtId="3" fontId="17" fillId="0" borderId="1" xfId="10" applyNumberFormat="1" applyFont="1" applyBorder="1" applyAlignment="1">
      <alignment horizontal="right" vertical="center"/>
    </xf>
    <xf numFmtId="3" fontId="30" fillId="2" borderId="1" xfId="10" applyNumberFormat="1" applyFont="1" applyFill="1" applyBorder="1" applyAlignment="1">
      <alignment horizontal="right" vertical="center" wrapText="1"/>
    </xf>
    <xf numFmtId="3" fontId="24" fillId="0" borderId="1" xfId="28" applyNumberFormat="1" applyFont="1" applyBorder="1" applyAlignment="1">
      <alignment horizontal="right" vertical="center"/>
    </xf>
    <xf numFmtId="168" fontId="23" fillId="0" borderId="1" xfId="27" applyNumberFormat="1" applyFont="1" applyBorder="1" applyAlignment="1">
      <alignment horizontal="right" vertical="center"/>
    </xf>
    <xf numFmtId="168" fontId="24" fillId="0" borderId="1" xfId="27" applyNumberFormat="1" applyFont="1" applyBorder="1" applyAlignment="1">
      <alignment horizontal="right" vertical="center"/>
    </xf>
    <xf numFmtId="168" fontId="17" fillId="0" borderId="1" xfId="29" applyNumberFormat="1" applyFont="1" applyBorder="1" applyAlignment="1">
      <alignment horizontal="right" vertical="center"/>
    </xf>
    <xf numFmtId="168" fontId="17" fillId="0" borderId="1" xfId="7" applyNumberFormat="1" applyFont="1" applyBorder="1" applyAlignment="1">
      <alignment horizontal="right" vertical="center"/>
    </xf>
    <xf numFmtId="0" fontId="8" fillId="0" borderId="1" xfId="31" applyFont="1" applyBorder="1" applyAlignment="1">
      <alignment horizontal="right" vertical="center"/>
    </xf>
    <xf numFmtId="167" fontId="8" fillId="0" borderId="1" xfId="31" applyNumberFormat="1" applyFont="1" applyBorder="1" applyAlignment="1">
      <alignment horizontal="right" vertical="center"/>
    </xf>
    <xf numFmtId="167" fontId="3" fillId="0" borderId="1" xfId="6" applyNumberFormat="1" applyFont="1" applyBorder="1" applyAlignment="1">
      <alignment horizontal="right" vertical="center"/>
    </xf>
    <xf numFmtId="2" fontId="6" fillId="0" borderId="1" xfId="27" applyNumberFormat="1" applyFont="1" applyBorder="1" applyAlignment="1">
      <alignment horizontal="right" vertical="center"/>
    </xf>
    <xf numFmtId="2" fontId="8" fillId="0" borderId="1" xfId="27" applyNumberFormat="1" applyFont="1" applyBorder="1" applyAlignment="1">
      <alignment horizontal="right" vertical="center" wrapText="1"/>
    </xf>
    <xf numFmtId="2" fontId="8" fillId="0" borderId="1" xfId="27" applyNumberFormat="1" applyFont="1" applyBorder="1" applyAlignment="1">
      <alignment horizontal="right" vertical="center"/>
    </xf>
    <xf numFmtId="164" fontId="20" fillId="0" borderId="1" xfId="14" applyNumberFormat="1" applyFont="1" applyBorder="1" applyAlignment="1">
      <alignment horizontal="right" vertical="center"/>
    </xf>
    <xf numFmtId="164" fontId="17" fillId="0" borderId="1" xfId="14" applyNumberFormat="1" applyFont="1" applyBorder="1" applyAlignment="1">
      <alignment horizontal="right" vertical="center"/>
    </xf>
    <xf numFmtId="0" fontId="24" fillId="0" borderId="1" xfId="32" applyFont="1" applyBorder="1" applyAlignment="1">
      <alignment horizontal="right" vertical="center"/>
    </xf>
    <xf numFmtId="3" fontId="24" fillId="0" borderId="1" xfId="32" applyNumberFormat="1" applyFont="1" applyBorder="1" applyAlignment="1">
      <alignment horizontal="right" vertical="center"/>
    </xf>
    <xf numFmtId="3" fontId="17" fillId="0" borderId="1" xfId="17" applyNumberFormat="1" applyFont="1" applyBorder="1" applyAlignment="1">
      <alignment horizontal="right" vertical="center"/>
    </xf>
    <xf numFmtId="3" fontId="30" fillId="2" borderId="1" xfId="7" applyNumberFormat="1" applyFont="1" applyFill="1" applyBorder="1" applyAlignment="1">
      <alignment horizontal="right" vertical="center" wrapText="1"/>
    </xf>
    <xf numFmtId="167" fontId="23" fillId="0" borderId="1" xfId="6" applyNumberFormat="1" applyFont="1" applyBorder="1" applyAlignment="1">
      <alignment horizontal="center" vertical="center"/>
    </xf>
    <xf numFmtId="2" fontId="5" fillId="0" borderId="1" xfId="12" applyNumberFormat="1" applyFont="1" applyBorder="1" applyAlignment="1">
      <alignment horizontal="center" vertical="center"/>
    </xf>
    <xf numFmtId="3" fontId="6" fillId="0" borderId="1" xfId="27" applyNumberFormat="1" applyFont="1" applyBorder="1" applyAlignment="1">
      <alignment horizontal="right" vertical="center"/>
    </xf>
    <xf numFmtId="3" fontId="20" fillId="0" borderId="1" xfId="7" applyNumberFormat="1" applyFont="1" applyBorder="1" applyAlignment="1">
      <alignment horizontal="right" vertical="center"/>
    </xf>
    <xf numFmtId="3" fontId="20" fillId="0" borderId="1" xfId="10" applyNumberFormat="1" applyFont="1" applyBorder="1" applyAlignment="1">
      <alignment horizontal="right" vertical="center"/>
    </xf>
    <xf numFmtId="3" fontId="34" fillId="2" borderId="1" xfId="10" applyNumberFormat="1" applyFont="1" applyFill="1" applyBorder="1" applyAlignment="1">
      <alignment horizontal="right" vertical="center" wrapText="1"/>
    </xf>
    <xf numFmtId="3" fontId="23" fillId="0" borderId="1" xfId="28" applyNumberFormat="1" applyFont="1" applyBorder="1" applyAlignment="1">
      <alignment horizontal="right" vertical="center"/>
    </xf>
    <xf numFmtId="3" fontId="6" fillId="0" borderId="1" xfId="28" applyNumberFormat="1" applyFont="1" applyBorder="1" applyAlignment="1">
      <alignment horizontal="right" vertical="center"/>
    </xf>
    <xf numFmtId="167" fontId="6" fillId="0" borderId="1" xfId="31" applyNumberFormat="1" applyFont="1" applyBorder="1" applyAlignment="1">
      <alignment horizontal="right" vertical="center"/>
    </xf>
    <xf numFmtId="167" fontId="6" fillId="0" borderId="1" xfId="6" applyNumberFormat="1" applyFont="1" applyBorder="1" applyAlignment="1">
      <alignment horizontal="right" vertical="center"/>
    </xf>
    <xf numFmtId="167" fontId="5" fillId="0" borderId="1" xfId="6" applyNumberFormat="1" applyFont="1" applyBorder="1" applyAlignment="1">
      <alignment horizontal="right" vertical="center"/>
    </xf>
    <xf numFmtId="164" fontId="6" fillId="0" borderId="1" xfId="14" applyNumberFormat="1" applyFont="1" applyBorder="1" applyAlignment="1">
      <alignment horizontal="right" vertical="center"/>
    </xf>
    <xf numFmtId="3" fontId="23" fillId="0" borderId="1" xfId="32" applyNumberFormat="1" applyFont="1" applyBorder="1" applyAlignment="1">
      <alignment horizontal="right" vertical="center"/>
    </xf>
    <xf numFmtId="3" fontId="6" fillId="0" borderId="1" xfId="32" applyNumberFormat="1" applyFont="1" applyBorder="1" applyAlignment="1">
      <alignment horizontal="right" vertical="center"/>
    </xf>
    <xf numFmtId="3" fontId="34" fillId="2" borderId="1" xfId="7" applyNumberFormat="1" applyFont="1" applyFill="1" applyBorder="1" applyAlignment="1">
      <alignment horizontal="right" vertical="center" wrapText="1"/>
    </xf>
    <xf numFmtId="0" fontId="6" fillId="0" borderId="1" xfId="5" applyFont="1" applyBorder="1" applyAlignment="1">
      <alignment horizontal="center" vertical="center"/>
    </xf>
    <xf numFmtId="3" fontId="6" fillId="0" borderId="1" xfId="5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vertical="center"/>
    </xf>
    <xf numFmtId="164" fontId="10" fillId="0" borderId="0" xfId="7" applyNumberFormat="1" applyFont="1" applyAlignment="1">
      <alignment horizontal="center" vertical="center"/>
    </xf>
    <xf numFmtId="0" fontId="20" fillId="0" borderId="1" xfId="12" applyFont="1" applyBorder="1" applyAlignment="1">
      <alignment horizontal="center" vertical="center"/>
    </xf>
    <xf numFmtId="166" fontId="13" fillId="0" borderId="1" xfId="1" applyNumberFormat="1" applyFont="1" applyBorder="1" applyAlignment="1"/>
    <xf numFmtId="166" fontId="13" fillId="0" borderId="1" xfId="1" applyNumberFormat="1" applyFont="1" applyBorder="1" applyAlignment="1">
      <alignment horizontal="left" vertical="center" wrapText="1"/>
    </xf>
    <xf numFmtId="0" fontId="6" fillId="0" borderId="0" xfId="25" applyFont="1" applyAlignment="1">
      <alignment horizontal="right" vertical="center" wrapText="1"/>
    </xf>
    <xf numFmtId="164" fontId="23" fillId="0" borderId="1" xfId="25" applyNumberFormat="1" applyFont="1" applyBorder="1" applyAlignment="1">
      <alignment horizontal="center" vertical="center"/>
    </xf>
    <xf numFmtId="164" fontId="17" fillId="0" borderId="1" xfId="6" applyNumberFormat="1" applyFont="1" applyBorder="1" applyAlignment="1">
      <alignment horizontal="center" vertical="center"/>
    </xf>
    <xf numFmtId="164" fontId="24" fillId="0" borderId="1" xfId="25" applyNumberFormat="1" applyFont="1" applyBorder="1" applyAlignment="1">
      <alignment horizontal="center" vertical="center"/>
    </xf>
    <xf numFmtId="168" fontId="23" fillId="0" borderId="1" xfId="27" applyNumberFormat="1" applyFont="1" applyBorder="1" applyAlignment="1">
      <alignment horizontal="right" vertical="center" wrapText="1"/>
    </xf>
    <xf numFmtId="168" fontId="24" fillId="0" borderId="1" xfId="27" applyNumberFormat="1" applyFont="1" applyBorder="1" applyAlignment="1">
      <alignment horizontal="right" vertical="center" wrapText="1"/>
    </xf>
    <xf numFmtId="0" fontId="5" fillId="5" borderId="1" xfId="31" applyFont="1" applyFill="1" applyBorder="1" applyAlignment="1">
      <alignment horizontal="center" vertical="center" wrapText="1"/>
    </xf>
    <xf numFmtId="0" fontId="6" fillId="0" borderId="1" xfId="27" applyFont="1" applyBorder="1" applyAlignment="1">
      <alignment horizontal="center" vertical="center"/>
    </xf>
    <xf numFmtId="0" fontId="20" fillId="5" borderId="1" xfId="32" applyFont="1" applyFill="1" applyBorder="1" applyAlignment="1">
      <alignment horizontal="center" vertical="center" wrapText="1"/>
    </xf>
    <xf numFmtId="0" fontId="24" fillId="0" borderId="0" xfId="32" applyFont="1" applyAlignment="1">
      <alignment horizontal="left" vertical="center"/>
    </xf>
    <xf numFmtId="166" fontId="5" fillId="0" borderId="0" xfId="1" applyNumberFormat="1" applyFont="1" applyAlignment="1">
      <alignment horizontal="right" vertical="center"/>
    </xf>
    <xf numFmtId="0" fontId="12" fillId="3" borderId="1" xfId="32" applyFont="1" applyFill="1" applyBorder="1" applyAlignment="1">
      <alignment horizontal="center" vertical="center"/>
    </xf>
    <xf numFmtId="0" fontId="19" fillId="0" borderId="0" xfId="3" applyFont="1" applyAlignment="1">
      <alignment horizontal="right"/>
    </xf>
    <xf numFmtId="0" fontId="36" fillId="0" borderId="0" xfId="11" applyFont="1" applyAlignment="1">
      <alignment horizontal="right"/>
    </xf>
    <xf numFmtId="0" fontId="17" fillId="0" borderId="0" xfId="18" applyFont="1" applyAlignment="1">
      <alignment horizontal="right" vertical="center"/>
    </xf>
    <xf numFmtId="3" fontId="3" fillId="0" borderId="1" xfId="6" applyNumberFormat="1" applyFont="1" applyBorder="1" applyAlignment="1">
      <alignment horizontal="center" vertical="center"/>
    </xf>
    <xf numFmtId="3" fontId="5" fillId="0" borderId="1" xfId="6" applyNumberFormat="1" applyFont="1" applyBorder="1" applyAlignment="1">
      <alignment horizontal="center" vertical="center"/>
    </xf>
    <xf numFmtId="0" fontId="6" fillId="0" borderId="6" xfId="31" applyFont="1" applyBorder="1" applyAlignment="1">
      <alignment vertical="center"/>
    </xf>
    <xf numFmtId="0" fontId="6" fillId="0" borderId="1" xfId="31" applyFont="1" applyBorder="1" applyAlignment="1">
      <alignment vertical="center"/>
    </xf>
    <xf numFmtId="0" fontId="0" fillId="0" borderId="1" xfId="0" applyBorder="1" applyAlignment="1">
      <alignment vertical="center"/>
    </xf>
    <xf numFmtId="0" fontId="58" fillId="0" borderId="1" xfId="0" applyFont="1" applyBorder="1" applyAlignment="1">
      <alignment vertical="center"/>
    </xf>
    <xf numFmtId="9" fontId="5" fillId="0" borderId="1" xfId="4" applyFont="1" applyBorder="1" applyAlignment="1">
      <alignment horizontal="center" vertical="center"/>
    </xf>
    <xf numFmtId="0" fontId="59" fillId="0" borderId="1" xfId="3" applyFont="1" applyBorder="1" applyAlignment="1">
      <alignment horizontal="center" vertical="center" wrapText="1"/>
    </xf>
    <xf numFmtId="0" fontId="23" fillId="0" borderId="4" xfId="32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3" fillId="0" borderId="7" xfId="32" applyFont="1" applyBorder="1" applyAlignment="1">
      <alignment horizontal="left" vertical="center"/>
    </xf>
    <xf numFmtId="0" fontId="23" fillId="0" borderId="5" xfId="32" applyFont="1" applyBorder="1" applyAlignment="1">
      <alignment horizontal="left" vertical="center"/>
    </xf>
    <xf numFmtId="0" fontId="6" fillId="0" borderId="6" xfId="32" applyFont="1" applyBorder="1" applyAlignment="1">
      <alignment horizontal="center" vertical="center"/>
    </xf>
    <xf numFmtId="0" fontId="24" fillId="0" borderId="1" xfId="27" applyFont="1" applyBorder="1" applyAlignment="1">
      <alignment horizontal="center" vertical="center"/>
    </xf>
    <xf numFmtId="0" fontId="53" fillId="3" borderId="1" xfId="27" applyFont="1" applyFill="1" applyBorder="1" applyAlignment="1">
      <alignment horizontal="center" vertical="center" wrapText="1"/>
    </xf>
    <xf numFmtId="0" fontId="55" fillId="3" borderId="1" xfId="32" applyFont="1" applyFill="1" applyBorder="1" applyAlignment="1">
      <alignment horizontal="center" vertical="center"/>
    </xf>
    <xf numFmtId="0" fontId="55" fillId="3" borderId="1" xfId="32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9" fillId="0" borderId="0" xfId="3" applyFont="1" applyAlignment="1">
      <alignment horizontal="left" wrapText="1"/>
    </xf>
    <xf numFmtId="0" fontId="4" fillId="2" borderId="6" xfId="3" applyFont="1" applyFill="1" applyBorder="1" applyAlignment="1">
      <alignment horizontal="center" vertical="center"/>
    </xf>
    <xf numFmtId="0" fontId="11" fillId="0" borderId="6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9" fillId="0" borderId="0" xfId="3" applyFont="1" applyAlignment="1">
      <alignment horizontal="left" vertical="center" wrapText="1"/>
    </xf>
    <xf numFmtId="0" fontId="12" fillId="3" borderId="1" xfId="3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/>
    </xf>
    <xf numFmtId="0" fontId="14" fillId="2" borderId="0" xfId="3" applyFont="1" applyFill="1" applyAlignment="1">
      <alignment horizontal="left" vertical="top" wrapText="1"/>
    </xf>
    <xf numFmtId="0" fontId="4" fillId="0" borderId="1" xfId="3" applyFont="1" applyBorder="1" applyAlignment="1">
      <alignment horizontal="center" vertical="center" wrapText="1"/>
    </xf>
    <xf numFmtId="0" fontId="14" fillId="2" borderId="0" xfId="3" applyFont="1" applyFill="1" applyAlignment="1">
      <alignment horizontal="right" vertical="top"/>
    </xf>
    <xf numFmtId="0" fontId="4" fillId="2" borderId="0" xfId="3" applyFont="1" applyFill="1" applyAlignment="1">
      <alignment horizontal="center" vertical="top" wrapText="1"/>
    </xf>
    <xf numFmtId="0" fontId="5" fillId="5" borderId="1" xfId="3" applyFont="1" applyFill="1" applyBorder="1" applyAlignment="1">
      <alignment horizontal="center" vertical="center" wrapText="1"/>
    </xf>
    <xf numFmtId="0" fontId="5" fillId="5" borderId="1" xfId="7" applyFont="1" applyFill="1" applyBorder="1" applyAlignment="1">
      <alignment horizontal="center" vertical="center"/>
    </xf>
    <xf numFmtId="0" fontId="6" fillId="5" borderId="1" xfId="20" applyFont="1" applyFill="1" applyBorder="1" applyAlignment="1">
      <alignment horizontal="center"/>
    </xf>
    <xf numFmtId="0" fontId="5" fillId="0" borderId="1" xfId="19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0" xfId="6" applyFont="1" applyAlignment="1">
      <alignment horizontal="center" vertical="center" wrapText="1"/>
    </xf>
    <xf numFmtId="0" fontId="5" fillId="3" borderId="2" xfId="7" applyFont="1" applyFill="1" applyBorder="1" applyAlignment="1">
      <alignment horizontal="center" vertical="center"/>
    </xf>
    <xf numFmtId="0" fontId="5" fillId="3" borderId="3" xfId="7" applyFont="1" applyFill="1" applyBorder="1" applyAlignment="1">
      <alignment horizontal="center" vertical="center"/>
    </xf>
    <xf numFmtId="0" fontId="5" fillId="5" borderId="1" xfId="6" applyFont="1" applyFill="1" applyBorder="1" applyAlignment="1">
      <alignment horizontal="center" vertical="center" wrapText="1"/>
    </xf>
    <xf numFmtId="0" fontId="5" fillId="5" borderId="2" xfId="6" applyFont="1" applyFill="1" applyBorder="1" applyAlignment="1">
      <alignment horizontal="center" vertical="center" wrapText="1"/>
    </xf>
    <xf numFmtId="0" fontId="5" fillId="5" borderId="3" xfId="6" applyFont="1" applyFill="1" applyBorder="1" applyAlignment="1">
      <alignment horizontal="center" vertical="center" wrapText="1"/>
    </xf>
    <xf numFmtId="166" fontId="15" fillId="4" borderId="1" xfId="1" applyNumberFormat="1" applyFont="1" applyFill="1" applyBorder="1" applyAlignment="1">
      <alignment horizontal="center" vertical="center"/>
    </xf>
    <xf numFmtId="166" fontId="5" fillId="0" borderId="0" xfId="1" applyNumberFormat="1" applyFont="1" applyBorder="1" applyAlignment="1">
      <alignment horizontal="right" vertical="top"/>
    </xf>
    <xf numFmtId="166" fontId="5" fillId="0" borderId="0" xfId="1" applyNumberFormat="1" applyFont="1" applyBorder="1" applyAlignment="1">
      <alignment horizontal="center" vertical="top" wrapText="1"/>
    </xf>
    <xf numFmtId="0" fontId="5" fillId="0" borderId="1" xfId="6" applyFont="1" applyBorder="1" applyAlignment="1">
      <alignment horizontal="center" vertical="center"/>
    </xf>
    <xf numFmtId="166" fontId="12" fillId="3" borderId="1" xfId="1" applyNumberFormat="1" applyFont="1" applyFill="1" applyBorder="1" applyAlignment="1">
      <alignment horizontal="center" vertical="center" wrapText="1"/>
    </xf>
    <xf numFmtId="166" fontId="12" fillId="3" borderId="1" xfId="1" applyNumberFormat="1" applyFont="1" applyFill="1" applyBorder="1" applyAlignment="1">
      <alignment horizontal="center" vertical="center"/>
    </xf>
    <xf numFmtId="166" fontId="15" fillId="4" borderId="1" xfId="1" applyNumberFormat="1" applyFont="1" applyFill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center"/>
    </xf>
    <xf numFmtId="0" fontId="5" fillId="0" borderId="6" xfId="7" applyFont="1" applyBorder="1" applyAlignment="1">
      <alignment horizontal="center" vertical="center"/>
    </xf>
    <xf numFmtId="0" fontId="5" fillId="3" borderId="1" xfId="7" applyFont="1" applyFill="1" applyBorder="1" applyAlignment="1">
      <alignment horizontal="center" vertical="center"/>
    </xf>
    <xf numFmtId="0" fontId="5" fillId="3" borderId="1" xfId="7" applyFont="1" applyFill="1" applyBorder="1" applyAlignment="1">
      <alignment horizontal="center" vertical="center" wrapText="1"/>
    </xf>
    <xf numFmtId="0" fontId="5" fillId="0" borderId="6" xfId="7" applyFont="1" applyBorder="1" applyAlignment="1">
      <alignment horizontal="right" vertical="top"/>
    </xf>
    <xf numFmtId="166" fontId="5" fillId="0" borderId="1" xfId="1" applyNumberFormat="1" applyFont="1" applyBorder="1" applyAlignment="1">
      <alignment horizontal="center" vertical="center"/>
    </xf>
    <xf numFmtId="166" fontId="5" fillId="0" borderId="4" xfId="1" applyNumberFormat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center" vertical="center"/>
    </xf>
    <xf numFmtId="166" fontId="5" fillId="5" borderId="2" xfId="1" applyNumberFormat="1" applyFont="1" applyFill="1" applyBorder="1" applyAlignment="1">
      <alignment horizontal="center" vertical="center" wrapText="1"/>
    </xf>
    <xf numFmtId="166" fontId="5" fillId="5" borderId="3" xfId="1" applyNumberFormat="1" applyFont="1" applyFill="1" applyBorder="1" applyAlignment="1">
      <alignment horizontal="center" vertical="center" wrapText="1"/>
    </xf>
    <xf numFmtId="166" fontId="5" fillId="5" borderId="1" xfId="1" applyNumberFormat="1" applyFont="1" applyFill="1" applyBorder="1" applyAlignment="1">
      <alignment horizontal="center" vertical="center" wrapText="1"/>
    </xf>
    <xf numFmtId="166" fontId="5" fillId="5" borderId="4" xfId="1" applyNumberFormat="1" applyFont="1" applyFill="1" applyBorder="1" applyAlignment="1">
      <alignment horizontal="center" vertical="center" wrapText="1"/>
    </xf>
    <xf numFmtId="166" fontId="5" fillId="5" borderId="7" xfId="1" applyNumberFormat="1" applyFont="1" applyFill="1" applyBorder="1" applyAlignment="1">
      <alignment horizontal="center" vertical="center" wrapText="1"/>
    </xf>
    <xf numFmtId="166" fontId="5" fillId="5" borderId="5" xfId="1" applyNumberFormat="1" applyFont="1" applyFill="1" applyBorder="1" applyAlignment="1">
      <alignment horizontal="center" vertical="center" wrapText="1"/>
    </xf>
    <xf numFmtId="0" fontId="11" fillId="0" borderId="0" xfId="7" applyFont="1" applyAlignment="1">
      <alignment horizontal="center" vertical="top" wrapText="1"/>
    </xf>
    <xf numFmtId="0" fontId="11" fillId="3" borderId="1" xfId="7" applyFont="1" applyFill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/>
    </xf>
    <xf numFmtId="166" fontId="5" fillId="0" borderId="5" xfId="1" applyNumberFormat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vertical="center" wrapText="1"/>
    </xf>
    <xf numFmtId="166" fontId="5" fillId="3" borderId="3" xfId="1" applyNumberFormat="1" applyFont="1" applyFill="1" applyBorder="1" applyAlignment="1">
      <alignment vertical="center" wrapText="1"/>
    </xf>
    <xf numFmtId="166" fontId="5" fillId="3" borderId="1" xfId="1" applyNumberFormat="1" applyFont="1" applyFill="1" applyBorder="1" applyAlignment="1">
      <alignment horizontal="center" vertical="center" wrapText="1"/>
    </xf>
    <xf numFmtId="166" fontId="5" fillId="3" borderId="4" xfId="1" applyNumberFormat="1" applyFont="1" applyFill="1" applyBorder="1" applyAlignment="1">
      <alignment horizontal="center" vertical="center" wrapText="1"/>
    </xf>
    <xf numFmtId="166" fontId="5" fillId="3" borderId="7" xfId="1" applyNumberFormat="1" applyFont="1" applyFill="1" applyBorder="1" applyAlignment="1">
      <alignment horizontal="center" vertical="center" wrapText="1"/>
    </xf>
    <xf numFmtId="166" fontId="5" fillId="3" borderId="5" xfId="1" applyNumberFormat="1" applyFont="1" applyFill="1" applyBorder="1" applyAlignment="1">
      <alignment horizontal="center" vertical="center" wrapText="1"/>
    </xf>
    <xf numFmtId="164" fontId="5" fillId="0" borderId="0" xfId="7" applyNumberFormat="1" applyFont="1" applyAlignment="1">
      <alignment horizontal="center" vertical="top" wrapText="1"/>
    </xf>
    <xf numFmtId="164" fontId="5" fillId="0" borderId="1" xfId="7" applyNumberFormat="1" applyFont="1" applyBorder="1" applyAlignment="1">
      <alignment horizontal="center" vertical="center"/>
    </xf>
    <xf numFmtId="164" fontId="5" fillId="3" borderId="1" xfId="7" applyNumberFormat="1" applyFont="1" applyFill="1" applyBorder="1" applyAlignment="1">
      <alignment horizontal="center" vertical="center" wrapText="1"/>
    </xf>
    <xf numFmtId="0" fontId="21" fillId="0" borderId="0" xfId="6" applyFont="1" applyAlignment="1">
      <alignment horizontal="left"/>
    </xf>
    <xf numFmtId="0" fontId="12" fillId="0" borderId="6" xfId="7" applyFont="1" applyBorder="1" applyAlignment="1">
      <alignment horizontal="center" vertical="center" wrapText="1"/>
    </xf>
    <xf numFmtId="0" fontId="5" fillId="3" borderId="2" xfId="6" applyFont="1" applyFill="1" applyBorder="1" applyAlignment="1">
      <alignment horizontal="center" vertical="center" wrapText="1"/>
    </xf>
    <xf numFmtId="0" fontId="5" fillId="3" borderId="3" xfId="6" applyFont="1" applyFill="1" applyBorder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 wrapText="1"/>
    </xf>
    <xf numFmtId="0" fontId="5" fillId="3" borderId="4" xfId="6" applyFont="1" applyFill="1" applyBorder="1" applyAlignment="1">
      <alignment horizontal="center" vertical="center" wrapText="1"/>
    </xf>
    <xf numFmtId="0" fontId="5" fillId="3" borderId="7" xfId="6" applyFont="1" applyFill="1" applyBorder="1" applyAlignment="1">
      <alignment horizontal="center" vertical="center" wrapText="1"/>
    </xf>
    <xf numFmtId="0" fontId="5" fillId="3" borderId="5" xfId="6" applyFont="1" applyFill="1" applyBorder="1" applyAlignment="1">
      <alignment horizontal="center" vertical="center" wrapText="1"/>
    </xf>
    <xf numFmtId="0" fontId="12" fillId="3" borderId="1" xfId="7" applyFont="1" applyFill="1" applyBorder="1" applyAlignment="1">
      <alignment horizontal="center" vertical="center" wrapText="1"/>
    </xf>
    <xf numFmtId="0" fontId="16" fillId="3" borderId="1" xfId="7" applyFont="1" applyFill="1" applyBorder="1" applyAlignment="1">
      <alignment horizontal="center" vertical="center" wrapText="1"/>
    </xf>
    <xf numFmtId="0" fontId="12" fillId="0" borderId="0" xfId="8" applyFont="1" applyAlignment="1">
      <alignment horizontal="center" vertical="top" wrapText="1"/>
    </xf>
    <xf numFmtId="0" fontId="12" fillId="0" borderId="0" xfId="8" applyFont="1" applyAlignment="1">
      <alignment horizontal="center" vertical="top"/>
    </xf>
    <xf numFmtId="0" fontId="5" fillId="0" borderId="0" xfId="7" applyFont="1" applyAlignment="1">
      <alignment horizontal="center" vertical="center" wrapText="1"/>
    </xf>
    <xf numFmtId="0" fontId="5" fillId="3" borderId="1" xfId="7" applyFont="1" applyFill="1" applyBorder="1" applyAlignment="1">
      <alignment horizontal="center" vertical="center" textRotation="90" wrapText="1"/>
    </xf>
    <xf numFmtId="166" fontId="5" fillId="0" borderId="6" xfId="1" applyNumberFormat="1" applyFont="1" applyBorder="1" applyAlignment="1">
      <alignment horizontal="center" vertical="top" wrapText="1"/>
    </xf>
    <xf numFmtId="0" fontId="20" fillId="0" borderId="6" xfId="8" applyFont="1" applyBorder="1" applyAlignment="1">
      <alignment horizontal="center" vertical="center"/>
    </xf>
    <xf numFmtId="0" fontId="5" fillId="3" borderId="2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0" fontId="5" fillId="3" borderId="4" xfId="3" applyFont="1" applyFill="1" applyBorder="1" applyAlignment="1">
      <alignment horizontal="center" vertical="center" wrapText="1"/>
    </xf>
    <xf numFmtId="0" fontId="5" fillId="3" borderId="7" xfId="3" applyFont="1" applyFill="1" applyBorder="1" applyAlignment="1">
      <alignment horizontal="center" vertical="center" wrapText="1"/>
    </xf>
    <xf numFmtId="0" fontId="5" fillId="3" borderId="5" xfId="3" applyFont="1" applyFill="1" applyBorder="1" applyAlignment="1">
      <alignment horizontal="center" vertical="center" wrapText="1"/>
    </xf>
    <xf numFmtId="166" fontId="6" fillId="0" borderId="0" xfId="1" applyNumberFormat="1" applyFont="1" applyBorder="1" applyAlignment="1">
      <alignment horizontal="center" vertical="center" wrapText="1"/>
    </xf>
    <xf numFmtId="166" fontId="23" fillId="0" borderId="1" xfId="1" applyNumberFormat="1" applyFont="1" applyBorder="1" applyAlignment="1">
      <alignment horizontal="center" vertical="center"/>
    </xf>
    <xf numFmtId="166" fontId="20" fillId="3" borderId="1" xfId="1" applyNumberFormat="1" applyFont="1" applyFill="1" applyBorder="1" applyAlignment="1">
      <alignment horizontal="center" vertical="center"/>
    </xf>
    <xf numFmtId="166" fontId="23" fillId="3" borderId="1" xfId="1" applyNumberFormat="1" applyFont="1" applyFill="1" applyBorder="1" applyAlignment="1">
      <alignment horizontal="center" vertical="center"/>
    </xf>
    <xf numFmtId="166" fontId="23" fillId="3" borderId="1" xfId="1" applyNumberFormat="1" applyFont="1" applyFill="1" applyBorder="1" applyAlignment="1">
      <alignment horizontal="center" vertical="center" wrapText="1"/>
    </xf>
    <xf numFmtId="166" fontId="20" fillId="3" borderId="1" xfId="1" applyNumberFormat="1" applyFont="1" applyFill="1" applyBorder="1" applyAlignment="1">
      <alignment horizontal="center" vertical="center" wrapText="1"/>
    </xf>
    <xf numFmtId="166" fontId="6" fillId="0" borderId="6" xfId="1" applyNumberFormat="1" applyFont="1" applyBorder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6" fillId="3" borderId="1" xfId="1" applyNumberFormat="1" applyFont="1" applyFill="1" applyBorder="1" applyAlignment="1">
      <alignment horizontal="center" vertical="center"/>
    </xf>
    <xf numFmtId="166" fontId="6" fillId="3" borderId="1" xfId="1" applyNumberFormat="1" applyFont="1" applyFill="1" applyBorder="1" applyAlignment="1">
      <alignment horizontal="center" vertical="center" wrapText="1"/>
    </xf>
    <xf numFmtId="166" fontId="6" fillId="0" borderId="4" xfId="1" applyNumberFormat="1" applyFont="1" applyBorder="1" applyAlignment="1">
      <alignment horizontal="center" vertical="center" wrapText="1"/>
    </xf>
    <xf numFmtId="166" fontId="6" fillId="0" borderId="5" xfId="1" applyNumberFormat="1" applyFont="1" applyBorder="1" applyAlignment="1">
      <alignment horizontal="center" vertical="center" wrapText="1"/>
    </xf>
    <xf numFmtId="0" fontId="20" fillId="0" borderId="0" xfId="10" applyFont="1" applyAlignment="1">
      <alignment horizontal="right" vertical="center"/>
    </xf>
    <xf numFmtId="0" fontId="23" fillId="0" borderId="0" xfId="9" applyFont="1" applyAlignment="1">
      <alignment horizontal="center" vertical="center" wrapText="1"/>
    </xf>
    <xf numFmtId="0" fontId="17" fillId="0" borderId="0" xfId="10" applyFont="1" applyAlignment="1">
      <alignment horizontal="center" vertical="center"/>
    </xf>
    <xf numFmtId="0" fontId="20" fillId="3" borderId="1" xfId="9" applyFont="1" applyFill="1" applyBorder="1" applyAlignment="1">
      <alignment horizontal="center" vertical="center" wrapText="1"/>
    </xf>
    <xf numFmtId="0" fontId="23" fillId="3" borderId="1" xfId="9" applyFont="1" applyFill="1" applyBorder="1" applyAlignment="1">
      <alignment horizontal="center" vertical="center" wrapText="1"/>
    </xf>
    <xf numFmtId="0" fontId="20" fillId="3" borderId="1" xfId="10" applyFont="1" applyFill="1" applyBorder="1" applyAlignment="1">
      <alignment horizontal="center" vertical="center" wrapText="1"/>
    </xf>
    <xf numFmtId="0" fontId="6" fillId="0" borderId="6" xfId="9" applyFont="1" applyBorder="1" applyAlignment="1">
      <alignment horizontal="center" vertical="center" wrapText="1"/>
    </xf>
    <xf numFmtId="0" fontId="6" fillId="8" borderId="1" xfId="9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0" xfId="9" applyFont="1" applyAlignment="1">
      <alignment horizontal="center" vertical="center" wrapText="1"/>
    </xf>
    <xf numFmtId="0" fontId="23" fillId="3" borderId="1" xfId="9" applyFont="1" applyFill="1" applyBorder="1" applyAlignment="1">
      <alignment horizontal="center" vertical="center"/>
    </xf>
    <xf numFmtId="0" fontId="12" fillId="5" borderId="1" xfId="11" applyFont="1" applyFill="1" applyBorder="1" applyAlignment="1">
      <alignment horizontal="center" vertical="center"/>
    </xf>
    <xf numFmtId="0" fontId="12" fillId="5" borderId="4" xfId="11" applyFont="1" applyFill="1" applyBorder="1" applyAlignment="1">
      <alignment horizontal="center" vertical="center"/>
    </xf>
    <xf numFmtId="0" fontId="12" fillId="5" borderId="7" xfId="11" applyFont="1" applyFill="1" applyBorder="1" applyAlignment="1">
      <alignment horizontal="center" vertical="center"/>
    </xf>
    <xf numFmtId="0" fontId="12" fillId="5" borderId="5" xfId="11" applyFont="1" applyFill="1" applyBorder="1" applyAlignment="1">
      <alignment horizontal="center" vertical="center"/>
    </xf>
    <xf numFmtId="0" fontId="5" fillId="0" borderId="1" xfId="11" applyFont="1" applyBorder="1" applyAlignment="1">
      <alignment horizontal="center" vertical="center"/>
    </xf>
    <xf numFmtId="0" fontId="12" fillId="0" borderId="6" xfId="10" applyFont="1" applyBorder="1" applyAlignment="1">
      <alignment horizontal="center" vertical="center"/>
    </xf>
    <xf numFmtId="0" fontId="12" fillId="0" borderId="0" xfId="10" applyFont="1" applyAlignment="1">
      <alignment horizontal="center" vertical="center"/>
    </xf>
    <xf numFmtId="0" fontId="12" fillId="3" borderId="2" xfId="11" applyFont="1" applyFill="1" applyBorder="1" applyAlignment="1">
      <alignment horizontal="center" vertical="center" wrapText="1"/>
    </xf>
    <xf numFmtId="0" fontId="12" fillId="3" borderId="3" xfId="11" applyFont="1" applyFill="1" applyBorder="1" applyAlignment="1">
      <alignment horizontal="center" vertical="center" wrapText="1"/>
    </xf>
    <xf numFmtId="0" fontId="12" fillId="3" borderId="1" xfId="11" applyFont="1" applyFill="1" applyBorder="1" applyAlignment="1">
      <alignment horizontal="center" vertical="center" wrapText="1"/>
    </xf>
    <xf numFmtId="0" fontId="12" fillId="3" borderId="4" xfId="11" applyFont="1" applyFill="1" applyBorder="1" applyAlignment="1">
      <alignment horizontal="center" vertical="center" wrapText="1"/>
    </xf>
    <xf numFmtId="0" fontId="12" fillId="3" borderId="7" xfId="11" applyFont="1" applyFill="1" applyBorder="1" applyAlignment="1">
      <alignment horizontal="center" vertical="center" wrapText="1"/>
    </xf>
    <xf numFmtId="0" fontId="12" fillId="3" borderId="5" xfId="11" applyFont="1" applyFill="1" applyBorder="1" applyAlignment="1">
      <alignment horizontal="center" vertical="center" wrapText="1"/>
    </xf>
    <xf numFmtId="0" fontId="5" fillId="0" borderId="0" xfId="9" applyFont="1" applyAlignment="1">
      <alignment horizontal="center" vertical="top" wrapText="1"/>
    </xf>
    <xf numFmtId="0" fontId="20" fillId="3" borderId="1" xfId="9" applyFont="1" applyFill="1" applyBorder="1" applyAlignment="1">
      <alignment horizontal="center"/>
    </xf>
    <xf numFmtId="0" fontId="5" fillId="0" borderId="1" xfId="9" applyFont="1" applyBorder="1" applyAlignment="1">
      <alignment horizontal="center" vertical="center"/>
    </xf>
    <xf numFmtId="0" fontId="5" fillId="0" borderId="0" xfId="9" applyFont="1" applyAlignment="1">
      <alignment horizontal="center" vertical="top"/>
    </xf>
    <xf numFmtId="0" fontId="5" fillId="3" borderId="1" xfId="9" applyFont="1" applyFill="1" applyBorder="1" applyAlignment="1">
      <alignment horizontal="center" vertical="center" wrapText="1"/>
    </xf>
    <xf numFmtId="0" fontId="5" fillId="3" borderId="1" xfId="9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 wrapText="1"/>
    </xf>
    <xf numFmtId="0" fontId="6" fillId="0" borderId="6" xfId="9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 wrapText="1"/>
    </xf>
    <xf numFmtId="0" fontId="20" fillId="3" borderId="1" xfId="6" applyFont="1" applyFill="1" applyBorder="1" applyAlignment="1">
      <alignment horizontal="center" vertical="center" wrapText="1"/>
    </xf>
    <xf numFmtId="0" fontId="5" fillId="0" borderId="1" xfId="12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4" fillId="3" borderId="10" xfId="3" applyFont="1" applyFill="1" applyBorder="1" applyAlignment="1">
      <alignment horizontal="center" vertical="center" wrapText="1"/>
    </xf>
    <xf numFmtId="0" fontId="4" fillId="3" borderId="9" xfId="3" applyFont="1" applyFill="1" applyBorder="1" applyAlignment="1">
      <alignment horizontal="center" vertical="center" wrapText="1"/>
    </xf>
    <xf numFmtId="0" fontId="4" fillId="3" borderId="11" xfId="3" applyFont="1" applyFill="1" applyBorder="1" applyAlignment="1">
      <alignment horizontal="center" vertical="center" wrapText="1"/>
    </xf>
    <xf numFmtId="0" fontId="4" fillId="3" borderId="1" xfId="13" applyFont="1" applyFill="1" applyBorder="1" applyAlignment="1">
      <alignment horizontal="center" vertical="center" wrapText="1"/>
    </xf>
    <xf numFmtId="0" fontId="3" fillId="3" borderId="1" xfId="13" applyFont="1" applyFill="1" applyBorder="1" applyAlignment="1">
      <alignment vertical="center"/>
    </xf>
    <xf numFmtId="0" fontId="5" fillId="0" borderId="6" xfId="10" applyFont="1" applyBorder="1" applyAlignment="1">
      <alignment horizontal="center" vertical="top" wrapText="1"/>
    </xf>
    <xf numFmtId="0" fontId="4" fillId="3" borderId="1" xfId="3" applyFont="1" applyFill="1" applyBorder="1" applyAlignment="1">
      <alignment horizontal="center" vertical="center" wrapText="1"/>
    </xf>
    <xf numFmtId="0" fontId="3" fillId="3" borderId="1" xfId="3" applyFont="1" applyFill="1" applyBorder="1" applyAlignment="1">
      <alignment vertical="center"/>
    </xf>
    <xf numFmtId="0" fontId="5" fillId="0" borderId="6" xfId="10" applyFont="1" applyBorder="1" applyAlignment="1">
      <alignment horizontal="center" vertical="center" wrapText="1"/>
    </xf>
    <xf numFmtId="0" fontId="32" fillId="3" borderId="10" xfId="3" applyFont="1" applyFill="1" applyBorder="1" applyAlignment="1">
      <alignment horizontal="center" vertical="center" wrapText="1"/>
    </xf>
    <xf numFmtId="0" fontId="32" fillId="3" borderId="9" xfId="3" applyFont="1" applyFill="1" applyBorder="1" applyAlignment="1">
      <alignment horizontal="center" vertical="center" wrapText="1"/>
    </xf>
    <xf numFmtId="0" fontId="32" fillId="3" borderId="11" xfId="3" applyFont="1" applyFill="1" applyBorder="1" applyAlignment="1">
      <alignment horizontal="center" vertical="center" wrapText="1"/>
    </xf>
    <xf numFmtId="0" fontId="32" fillId="3" borderId="1" xfId="13" applyFont="1" applyFill="1" applyBorder="1" applyAlignment="1">
      <alignment horizontal="center" vertical="center" wrapText="1"/>
    </xf>
    <xf numFmtId="0" fontId="33" fillId="3" borderId="1" xfId="13" applyFont="1" applyFill="1" applyBorder="1" applyAlignment="1">
      <alignment vertical="center"/>
    </xf>
    <xf numFmtId="0" fontId="12" fillId="0" borderId="6" xfId="10" applyFont="1" applyBorder="1" applyAlignment="1">
      <alignment horizontal="center" vertical="center" wrapText="1"/>
    </xf>
    <xf numFmtId="0" fontId="20" fillId="3" borderId="1" xfId="16" applyFont="1" applyFill="1" applyBorder="1" applyAlignment="1">
      <alignment horizontal="center" vertical="center" wrapText="1"/>
    </xf>
    <xf numFmtId="0" fontId="32" fillId="3" borderId="1" xfId="3" applyFont="1" applyFill="1" applyBorder="1" applyAlignment="1">
      <alignment horizontal="center" vertical="center" wrapText="1"/>
    </xf>
    <xf numFmtId="0" fontId="33" fillId="3" borderId="1" xfId="3" applyFont="1" applyFill="1" applyBorder="1" applyAlignment="1">
      <alignment vertical="center"/>
    </xf>
    <xf numFmtId="0" fontId="35" fillId="3" borderId="1" xfId="13" applyFont="1" applyFill="1" applyBorder="1" applyAlignment="1">
      <alignment horizontal="center" vertical="center" wrapText="1"/>
    </xf>
    <xf numFmtId="0" fontId="13" fillId="3" borderId="1" xfId="13" applyFont="1" applyFill="1" applyBorder="1" applyAlignment="1">
      <alignment horizontal="center" vertical="center"/>
    </xf>
    <xf numFmtId="0" fontId="5" fillId="0" borderId="4" xfId="15" applyFont="1" applyBorder="1" applyAlignment="1">
      <alignment horizontal="center" vertical="center" wrapText="1"/>
    </xf>
    <xf numFmtId="0" fontId="5" fillId="0" borderId="5" xfId="15" applyFont="1" applyBorder="1" applyAlignment="1">
      <alignment horizontal="center" vertical="center" wrapText="1"/>
    </xf>
    <xf numFmtId="0" fontId="12" fillId="3" borderId="1" xfId="16" applyFont="1" applyFill="1" applyBorder="1" applyAlignment="1">
      <alignment horizontal="center" vertical="center" wrapText="1"/>
    </xf>
    <xf numFmtId="0" fontId="35" fillId="3" borderId="1" xfId="16" applyFont="1" applyFill="1" applyBorder="1" applyAlignment="1">
      <alignment horizontal="center" vertical="center" wrapText="1"/>
    </xf>
    <xf numFmtId="0" fontId="35" fillId="3" borderId="1" xfId="3" applyFont="1" applyFill="1" applyBorder="1" applyAlignment="1">
      <alignment horizontal="center" vertical="center" wrapText="1"/>
    </xf>
    <xf numFmtId="0" fontId="13" fillId="3" borderId="1" xfId="3" applyFont="1" applyFill="1" applyBorder="1" applyAlignment="1">
      <alignment horizontal="center" vertical="center"/>
    </xf>
    <xf numFmtId="0" fontId="35" fillId="3" borderId="10" xfId="3" applyFont="1" applyFill="1" applyBorder="1" applyAlignment="1">
      <alignment horizontal="center" vertical="center" wrapText="1"/>
    </xf>
    <xf numFmtId="0" fontId="35" fillId="3" borderId="9" xfId="3" applyFont="1" applyFill="1" applyBorder="1" applyAlignment="1">
      <alignment horizontal="center" vertical="center" wrapText="1"/>
    </xf>
    <xf numFmtId="0" fontId="35" fillId="3" borderId="11" xfId="3" applyFont="1" applyFill="1" applyBorder="1" applyAlignment="1">
      <alignment horizontal="center" vertical="center" wrapText="1"/>
    </xf>
    <xf numFmtId="0" fontId="4" fillId="2" borderId="1" xfId="10" applyFont="1" applyFill="1" applyBorder="1" applyAlignment="1">
      <alignment horizontal="center" vertical="center" wrapText="1"/>
    </xf>
    <xf numFmtId="0" fontId="34" fillId="3" borderId="10" xfId="10" applyFont="1" applyFill="1" applyBorder="1" applyAlignment="1">
      <alignment horizontal="center" vertical="center" wrapText="1"/>
    </xf>
    <xf numFmtId="0" fontId="34" fillId="3" borderId="9" xfId="10" applyFont="1" applyFill="1" applyBorder="1" applyAlignment="1">
      <alignment horizontal="center" vertical="center" wrapText="1"/>
    </xf>
    <xf numFmtId="0" fontId="34" fillId="3" borderId="11" xfId="10" applyFont="1" applyFill="1" applyBorder="1" applyAlignment="1">
      <alignment horizontal="center" vertical="center" wrapText="1"/>
    </xf>
    <xf numFmtId="0" fontId="34" fillId="3" borderId="2" xfId="10" applyFont="1" applyFill="1" applyBorder="1" applyAlignment="1">
      <alignment horizontal="center" vertical="center" wrapText="1"/>
    </xf>
    <xf numFmtId="0" fontId="34" fillId="3" borderId="3" xfId="10" applyFont="1" applyFill="1" applyBorder="1" applyAlignment="1">
      <alignment horizontal="center" vertical="center" wrapText="1"/>
    </xf>
    <xf numFmtId="0" fontId="34" fillId="3" borderId="1" xfId="10" applyFont="1" applyFill="1" applyBorder="1" applyAlignment="1">
      <alignment horizontal="center" vertical="center" wrapText="1"/>
    </xf>
    <xf numFmtId="0" fontId="17" fillId="3" borderId="1" xfId="10" applyFont="1" applyFill="1" applyBorder="1" applyAlignment="1">
      <alignment vertical="center"/>
    </xf>
    <xf numFmtId="0" fontId="5" fillId="0" borderId="1" xfId="10" applyFont="1" applyBorder="1" applyAlignment="1">
      <alignment horizontal="center" vertical="center" wrapText="1"/>
    </xf>
    <xf numFmtId="0" fontId="5" fillId="0" borderId="0" xfId="10" applyFont="1" applyAlignment="1">
      <alignment horizontal="center" vertical="top" wrapText="1"/>
    </xf>
    <xf numFmtId="0" fontId="5" fillId="0" borderId="0" xfId="10" applyFont="1" applyAlignment="1">
      <alignment horizontal="center" vertical="top"/>
    </xf>
    <xf numFmtId="0" fontId="5" fillId="0" borderId="0" xfId="14" applyFont="1" applyAlignment="1">
      <alignment horizontal="center" vertical="center" wrapText="1"/>
    </xf>
    <xf numFmtId="0" fontId="20" fillId="3" borderId="2" xfId="14" applyFont="1" applyFill="1" applyBorder="1" applyAlignment="1">
      <alignment horizontal="center" vertical="center" wrapText="1"/>
    </xf>
    <xf numFmtId="0" fontId="20" fillId="3" borderId="3" xfId="14" applyFont="1" applyFill="1" applyBorder="1" applyAlignment="1">
      <alignment horizontal="center" vertical="center" wrapText="1"/>
    </xf>
    <xf numFmtId="0" fontId="20" fillId="3" borderId="4" xfId="14" applyFont="1" applyFill="1" applyBorder="1" applyAlignment="1">
      <alignment horizontal="center" vertical="center" wrapText="1"/>
    </xf>
    <xf numFmtId="0" fontId="20" fillId="3" borderId="5" xfId="14" applyFont="1" applyFill="1" applyBorder="1" applyAlignment="1">
      <alignment horizontal="center" vertical="center" wrapText="1"/>
    </xf>
    <xf numFmtId="0" fontId="5" fillId="0" borderId="1" xfId="14" applyFont="1" applyBorder="1" applyAlignment="1">
      <alignment horizontal="center" vertical="center"/>
    </xf>
    <xf numFmtId="0" fontId="5" fillId="3" borderId="1" xfId="10" applyFont="1" applyFill="1" applyBorder="1" applyAlignment="1">
      <alignment horizontal="center" vertical="center" wrapText="1"/>
    </xf>
    <xf numFmtId="166" fontId="5" fillId="0" borderId="1" xfId="1" applyNumberFormat="1" applyFont="1" applyBorder="1" applyAlignment="1">
      <alignment horizontal="center" vertical="center" wrapText="1"/>
    </xf>
    <xf numFmtId="0" fontId="5" fillId="0" borderId="0" xfId="10" applyFont="1" applyAlignment="1">
      <alignment horizontal="right" vertical="top"/>
    </xf>
    <xf numFmtId="164" fontId="5" fillId="0" borderId="0" xfId="10" applyNumberFormat="1" applyFont="1" applyAlignment="1">
      <alignment horizontal="center" vertical="center" wrapText="1"/>
    </xf>
    <xf numFmtId="0" fontId="20" fillId="3" borderId="1" xfId="18" applyFont="1" applyFill="1" applyBorder="1" applyAlignment="1">
      <alignment horizontal="center" vertical="center" wrapText="1"/>
    </xf>
    <xf numFmtId="0" fontId="20" fillId="3" borderId="1" xfId="14" applyFont="1" applyFill="1" applyBorder="1" applyAlignment="1">
      <alignment horizontal="center" vertical="center" wrapText="1"/>
    </xf>
    <xf numFmtId="0" fontId="35" fillId="2" borderId="1" xfId="18" applyFont="1" applyFill="1" applyBorder="1" applyAlignment="1">
      <alignment horizontal="center" vertical="center" wrapText="1"/>
    </xf>
    <xf numFmtId="0" fontId="34" fillId="2" borderId="4" xfId="18" applyFont="1" applyFill="1" applyBorder="1" applyAlignment="1">
      <alignment horizontal="center" vertical="center" wrapText="1"/>
    </xf>
    <xf numFmtId="0" fontId="34" fillId="2" borderId="5" xfId="18" applyFont="1" applyFill="1" applyBorder="1" applyAlignment="1">
      <alignment horizontal="center" vertical="center" wrapText="1"/>
    </xf>
    <xf numFmtId="166" fontId="5" fillId="0" borderId="0" xfId="1" applyNumberFormat="1" applyFont="1" applyFill="1" applyBorder="1" applyAlignment="1">
      <alignment horizontal="center" vertical="center" wrapText="1"/>
    </xf>
    <xf numFmtId="166" fontId="4" fillId="3" borderId="1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/>
    </xf>
    <xf numFmtId="166" fontId="4" fillId="3" borderId="10" xfId="1" applyNumberFormat="1" applyFont="1" applyFill="1" applyBorder="1" applyAlignment="1">
      <alignment horizontal="center" vertical="center" wrapText="1"/>
    </xf>
    <xf numFmtId="166" fontId="4" fillId="3" borderId="9" xfId="1" applyNumberFormat="1" applyFont="1" applyFill="1" applyBorder="1" applyAlignment="1">
      <alignment horizontal="center" vertical="center" wrapText="1"/>
    </xf>
    <xf numFmtId="166" fontId="4" fillId="3" borderId="11" xfId="1" applyNumberFormat="1" applyFont="1" applyFill="1" applyBorder="1" applyAlignment="1">
      <alignment horizontal="center" vertical="center" wrapText="1"/>
    </xf>
    <xf numFmtId="166" fontId="5" fillId="0" borderId="0" xfId="1" applyNumberFormat="1" applyFont="1" applyFill="1" applyBorder="1" applyAlignment="1">
      <alignment horizontal="right" vertical="top"/>
    </xf>
    <xf numFmtId="166" fontId="38" fillId="7" borderId="1" xfId="1" applyNumberFormat="1" applyFont="1" applyFill="1" applyBorder="1" applyAlignment="1">
      <alignment horizontal="center" vertical="center" wrapText="1"/>
    </xf>
    <xf numFmtId="0" fontId="5" fillId="0" borderId="0" xfId="10" applyFont="1" applyAlignment="1">
      <alignment horizontal="center" vertical="center" wrapText="1"/>
    </xf>
    <xf numFmtId="0" fontId="5" fillId="3" borderId="1" xfId="13" applyFont="1" applyFill="1" applyBorder="1" applyAlignment="1">
      <alignment horizontal="center" vertical="center" wrapText="1"/>
    </xf>
    <xf numFmtId="0" fontId="4" fillId="2" borderId="1" xfId="13" applyFont="1" applyFill="1" applyBorder="1" applyAlignment="1">
      <alignment horizontal="center" vertical="center" wrapText="1"/>
    </xf>
    <xf numFmtId="0" fontId="6" fillId="0" borderId="4" xfId="10" applyFont="1" applyBorder="1" applyAlignment="1">
      <alignment horizontal="center" vertical="center"/>
    </xf>
    <xf numFmtId="0" fontId="6" fillId="0" borderId="5" xfId="10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horizontal="center" wrapText="1"/>
    </xf>
    <xf numFmtId="0" fontId="5" fillId="0" borderId="6" xfId="10" applyFont="1" applyBorder="1" applyAlignment="1">
      <alignment horizontal="left" vertical="top" wrapText="1"/>
    </xf>
    <xf numFmtId="0" fontId="5" fillId="3" borderId="4" xfId="22" applyFont="1" applyFill="1" applyBorder="1" applyAlignment="1">
      <alignment horizontal="center" vertical="center" wrapText="1"/>
    </xf>
    <xf numFmtId="0" fontId="5" fillId="3" borderId="7" xfId="22" applyFont="1" applyFill="1" applyBorder="1" applyAlignment="1">
      <alignment horizontal="center" vertical="center" wrapText="1"/>
    </xf>
    <xf numFmtId="0" fontId="5" fillId="3" borderId="5" xfId="22" applyFont="1" applyFill="1" applyBorder="1" applyAlignment="1">
      <alignment horizontal="center" vertical="center" wrapText="1"/>
    </xf>
    <xf numFmtId="0" fontId="12" fillId="3" borderId="2" xfId="10" applyFont="1" applyFill="1" applyBorder="1" applyAlignment="1">
      <alignment horizontal="center" vertical="center" wrapText="1"/>
    </xf>
    <xf numFmtId="0" fontId="12" fillId="3" borderId="3" xfId="10" applyFont="1" applyFill="1" applyBorder="1" applyAlignment="1">
      <alignment horizontal="center" vertical="center" wrapText="1"/>
    </xf>
    <xf numFmtId="0" fontId="12" fillId="3" borderId="1" xfId="10" applyFont="1" applyFill="1" applyBorder="1" applyAlignment="1">
      <alignment horizontal="center" vertical="center" wrapText="1"/>
    </xf>
    <xf numFmtId="0" fontId="12" fillId="3" borderId="4" xfId="10" applyFont="1" applyFill="1" applyBorder="1" applyAlignment="1">
      <alignment horizontal="center" vertical="center" wrapText="1"/>
    </xf>
    <xf numFmtId="0" fontId="12" fillId="3" borderId="7" xfId="10" applyFont="1" applyFill="1" applyBorder="1" applyAlignment="1">
      <alignment horizontal="center" vertical="center" wrapText="1"/>
    </xf>
    <xf numFmtId="0" fontId="12" fillId="3" borderId="5" xfId="10" applyFont="1" applyFill="1" applyBorder="1" applyAlignment="1">
      <alignment horizontal="center" vertical="center" wrapText="1"/>
    </xf>
    <xf numFmtId="0" fontId="5" fillId="0" borderId="4" xfId="11" applyFont="1" applyBorder="1" applyAlignment="1">
      <alignment horizontal="center" vertical="center"/>
    </xf>
    <xf numFmtId="0" fontId="5" fillId="0" borderId="5" xfId="11" applyFont="1" applyBorder="1" applyAlignment="1">
      <alignment horizontal="center" vertical="center"/>
    </xf>
    <xf numFmtId="0" fontId="5" fillId="0" borderId="6" xfId="10" applyFont="1" applyBorder="1" applyAlignment="1">
      <alignment horizontal="center" vertical="center"/>
    </xf>
    <xf numFmtId="0" fontId="20" fillId="3" borderId="2" xfId="11" applyFont="1" applyFill="1" applyBorder="1" applyAlignment="1">
      <alignment horizontal="center" vertical="center" wrapText="1"/>
    </xf>
    <xf numFmtId="0" fontId="20" fillId="3" borderId="3" xfId="11" applyFont="1" applyFill="1" applyBorder="1" applyAlignment="1">
      <alignment horizontal="center" vertical="center" wrapText="1"/>
    </xf>
    <xf numFmtId="0" fontId="20" fillId="3" borderId="1" xfId="11" applyFont="1" applyFill="1" applyBorder="1" applyAlignment="1">
      <alignment horizontal="center" vertical="center" wrapText="1"/>
    </xf>
    <xf numFmtId="0" fontId="20" fillId="3" borderId="4" xfId="11" applyFont="1" applyFill="1" applyBorder="1" applyAlignment="1">
      <alignment horizontal="center" vertical="center" wrapText="1"/>
    </xf>
    <xf numFmtId="0" fontId="20" fillId="3" borderId="7" xfId="11" applyFont="1" applyFill="1" applyBorder="1" applyAlignment="1">
      <alignment horizontal="center" vertical="center" wrapText="1"/>
    </xf>
    <xf numFmtId="0" fontId="20" fillId="3" borderId="5" xfId="11" applyFont="1" applyFill="1" applyBorder="1" applyAlignment="1">
      <alignment horizontal="center" vertical="center" wrapText="1"/>
    </xf>
    <xf numFmtId="166" fontId="20" fillId="0" borderId="0" xfId="1" applyNumberFormat="1" applyFont="1" applyBorder="1" applyAlignment="1">
      <alignment horizontal="center" vertical="center" wrapText="1"/>
    </xf>
    <xf numFmtId="0" fontId="15" fillId="0" borderId="4" xfId="1" applyNumberFormat="1" applyFont="1" applyBorder="1" applyAlignment="1">
      <alignment horizontal="center" vertical="center"/>
    </xf>
    <xf numFmtId="0" fontId="15" fillId="0" borderId="5" xfId="1" applyNumberFormat="1" applyFont="1" applyBorder="1" applyAlignment="1">
      <alignment horizontal="center" vertical="center"/>
    </xf>
    <xf numFmtId="166" fontId="15" fillId="0" borderId="4" xfId="1" applyNumberFormat="1" applyFont="1" applyBorder="1" applyAlignment="1">
      <alignment horizontal="center"/>
    </xf>
    <xf numFmtId="166" fontId="15" fillId="0" borderId="5" xfId="1" applyNumberFormat="1" applyFont="1" applyBorder="1" applyAlignment="1">
      <alignment horizontal="center"/>
    </xf>
    <xf numFmtId="166" fontId="12" fillId="0" borderId="0" xfId="1" applyNumberFormat="1" applyFont="1" applyBorder="1" applyAlignment="1">
      <alignment horizontal="right" vertical="center"/>
    </xf>
    <xf numFmtId="166" fontId="15" fillId="0" borderId="0" xfId="1" applyNumberFormat="1" applyFont="1" applyBorder="1" applyAlignment="1">
      <alignment horizontal="center" vertical="center" wrapText="1"/>
    </xf>
    <xf numFmtId="166" fontId="12" fillId="0" borderId="0" xfId="1" applyNumberFormat="1" applyFont="1" applyBorder="1" applyAlignment="1">
      <alignment horizontal="center" vertical="center"/>
    </xf>
    <xf numFmtId="166" fontId="15" fillId="0" borderId="0" xfId="1" applyNumberFormat="1" applyFont="1" applyBorder="1" applyAlignment="1">
      <alignment horizontal="center" vertical="center"/>
    </xf>
    <xf numFmtId="166" fontId="15" fillId="3" borderId="1" xfId="1" applyNumberFormat="1" applyFont="1" applyFill="1" applyBorder="1" applyAlignment="1">
      <alignment horizontal="center" vertical="center"/>
    </xf>
    <xf numFmtId="166" fontId="15" fillId="3" borderId="1" xfId="1" applyNumberFormat="1" applyFont="1" applyFill="1" applyBorder="1" applyAlignment="1">
      <alignment horizontal="center" vertical="center" wrapText="1"/>
    </xf>
    <xf numFmtId="0" fontId="6" fillId="3" borderId="3" xfId="9" applyFont="1" applyFill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/>
    </xf>
    <xf numFmtId="166" fontId="6" fillId="0" borderId="1" xfId="1" applyNumberFormat="1" applyFont="1" applyBorder="1" applyAlignment="1">
      <alignment horizontal="left" vertical="center"/>
    </xf>
    <xf numFmtId="164" fontId="6" fillId="0" borderId="0" xfId="9" applyNumberFormat="1" applyFont="1" applyAlignment="1">
      <alignment horizontal="center" vertical="center" wrapText="1"/>
    </xf>
    <xf numFmtId="164" fontId="8" fillId="3" borderId="1" xfId="9" applyNumberFormat="1" applyFont="1" applyFill="1" applyBorder="1" applyAlignment="1">
      <alignment horizontal="center" vertical="center" wrapText="1"/>
    </xf>
    <xf numFmtId="164" fontId="6" fillId="3" borderId="1" xfId="9" applyNumberFormat="1" applyFont="1" applyFill="1" applyBorder="1" applyAlignment="1">
      <alignment horizontal="center" vertical="center"/>
    </xf>
    <xf numFmtId="164" fontId="6" fillId="3" borderId="1" xfId="9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6" fillId="0" borderId="1" xfId="23" applyNumberFormat="1" applyFont="1" applyBorder="1" applyAlignment="1">
      <alignment horizontal="center" vertical="center"/>
    </xf>
    <xf numFmtId="1" fontId="20" fillId="0" borderId="6" xfId="13" applyNumberFormat="1" applyFont="1" applyBorder="1" applyAlignment="1">
      <alignment horizontal="center" vertical="center" wrapText="1"/>
    </xf>
    <xf numFmtId="1" fontId="20" fillId="0" borderId="6" xfId="13" applyNumberFormat="1" applyFont="1" applyBorder="1" applyAlignment="1">
      <alignment horizontal="center" vertical="center"/>
    </xf>
    <xf numFmtId="1" fontId="20" fillId="3" borderId="2" xfId="13" applyNumberFormat="1" applyFont="1" applyFill="1" applyBorder="1" applyAlignment="1">
      <alignment horizontal="center" vertical="center" wrapText="1"/>
    </xf>
    <xf numFmtId="1" fontId="20" fillId="3" borderId="3" xfId="13" applyNumberFormat="1" applyFont="1" applyFill="1" applyBorder="1" applyAlignment="1">
      <alignment horizontal="center" vertical="center" wrapText="1"/>
    </xf>
    <xf numFmtId="1" fontId="20" fillId="3" borderId="1" xfId="13" applyNumberFormat="1" applyFont="1" applyFill="1" applyBorder="1" applyAlignment="1">
      <alignment horizontal="center" vertical="center" wrapText="1"/>
    </xf>
    <xf numFmtId="1" fontId="20" fillId="3" borderId="4" xfId="13" applyNumberFormat="1" applyFont="1" applyFill="1" applyBorder="1" applyAlignment="1">
      <alignment horizontal="center" vertical="center" wrapText="1"/>
    </xf>
    <xf numFmtId="0" fontId="23" fillId="8" borderId="1" xfId="10" applyFont="1" applyFill="1" applyBorder="1" applyAlignment="1">
      <alignment horizontal="center" vertical="center"/>
    </xf>
    <xf numFmtId="0" fontId="23" fillId="8" borderId="1" xfId="10" applyFont="1" applyFill="1" applyBorder="1" applyAlignment="1">
      <alignment horizontal="center" vertical="center" wrapText="1"/>
    </xf>
    <xf numFmtId="0" fontId="20" fillId="0" borderId="6" xfId="10" applyFont="1" applyBorder="1" applyAlignment="1">
      <alignment horizontal="center" vertical="center" wrapText="1"/>
    </xf>
    <xf numFmtId="0" fontId="5" fillId="0" borderId="4" xfId="10" applyFont="1" applyBorder="1" applyAlignment="1">
      <alignment horizontal="center" vertical="center"/>
    </xf>
    <xf numFmtId="0" fontId="5" fillId="0" borderId="5" xfId="10" applyFont="1" applyBorder="1" applyAlignment="1">
      <alignment horizontal="center" vertical="center"/>
    </xf>
    <xf numFmtId="0" fontId="20" fillId="8" borderId="2" xfId="10" applyFont="1" applyFill="1" applyBorder="1" applyAlignment="1">
      <alignment horizontal="center" vertical="center" wrapText="1"/>
    </xf>
    <xf numFmtId="0" fontId="20" fillId="8" borderId="3" xfId="10" applyFont="1" applyFill="1" applyBorder="1" applyAlignment="1">
      <alignment horizontal="center" vertical="center" wrapText="1"/>
    </xf>
    <xf numFmtId="0" fontId="20" fillId="8" borderId="1" xfId="10" applyFont="1" applyFill="1" applyBorder="1" applyAlignment="1">
      <alignment horizontal="center" vertical="center" wrapText="1"/>
    </xf>
    <xf numFmtId="0" fontId="6" fillId="0" borderId="6" xfId="24" applyFont="1" applyBorder="1" applyAlignment="1">
      <alignment horizontal="center" vertical="center"/>
    </xf>
    <xf numFmtId="0" fontId="23" fillId="0" borderId="1" xfId="25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4" fillId="0" borderId="1" xfId="25" applyFont="1" applyBorder="1" applyAlignment="1">
      <alignment horizontal="center" vertical="top"/>
    </xf>
    <xf numFmtId="0" fontId="6" fillId="0" borderId="6" xfId="25" applyFont="1" applyBorder="1" applyAlignment="1">
      <alignment horizontal="center" vertical="center"/>
    </xf>
    <xf numFmtId="0" fontId="24" fillId="0" borderId="1" xfId="25" applyFont="1" applyBorder="1" applyAlignment="1">
      <alignment horizontal="center"/>
    </xf>
    <xf numFmtId="0" fontId="5" fillId="3" borderId="1" xfId="25" applyFont="1" applyFill="1" applyBorder="1" applyAlignment="1">
      <alignment horizontal="center" vertical="center" wrapText="1"/>
    </xf>
    <xf numFmtId="0" fontId="20" fillId="3" borderId="1" xfId="25" applyFont="1" applyFill="1" applyBorder="1" applyAlignment="1">
      <alignment horizontal="center" vertical="center" wrapText="1"/>
    </xf>
    <xf numFmtId="0" fontId="6" fillId="0" borderId="0" xfId="25" applyFont="1" applyAlignment="1">
      <alignment horizontal="center" vertical="center" wrapText="1"/>
    </xf>
    <xf numFmtId="0" fontId="23" fillId="0" borderId="1" xfId="25" applyFont="1" applyBorder="1" applyAlignment="1">
      <alignment horizontal="left"/>
    </xf>
    <xf numFmtId="0" fontId="0" fillId="0" borderId="1" xfId="0" applyBorder="1" applyAlignment="1">
      <alignment horizontal="left"/>
    </xf>
    <xf numFmtId="0" fontId="20" fillId="0" borderId="1" xfId="10" applyFont="1" applyBorder="1" applyAlignment="1">
      <alignment horizontal="left"/>
    </xf>
    <xf numFmtId="0" fontId="20" fillId="3" borderId="1" xfId="25" applyFont="1" applyFill="1" applyBorder="1" applyAlignment="1">
      <alignment horizontal="center" wrapText="1"/>
    </xf>
    <xf numFmtId="0" fontId="53" fillId="3" borderId="1" xfId="25" applyFont="1" applyFill="1" applyBorder="1" applyAlignment="1">
      <alignment horizontal="center" vertical="center" wrapText="1"/>
    </xf>
    <xf numFmtId="0" fontId="20" fillId="3" borderId="1" xfId="25" applyFont="1" applyFill="1" applyBorder="1" applyAlignment="1">
      <alignment horizontal="center"/>
    </xf>
    <xf numFmtId="0" fontId="20" fillId="3" borderId="1" xfId="25" applyFont="1" applyFill="1" applyBorder="1" applyAlignment="1">
      <alignment horizontal="center" vertical="center"/>
    </xf>
    <xf numFmtId="0" fontId="6" fillId="0" borderId="6" xfId="25" applyFont="1" applyBorder="1" applyAlignment="1">
      <alignment horizontal="center" vertical="center" wrapText="1"/>
    </xf>
    <xf numFmtId="0" fontId="23" fillId="0" borderId="1" xfId="27" applyFont="1" applyBorder="1" applyAlignment="1">
      <alignment horizontal="left" vertical="center"/>
    </xf>
    <xf numFmtId="0" fontId="20" fillId="0" borderId="1" xfId="10" applyFont="1" applyBorder="1" applyAlignment="1">
      <alignment horizontal="left" vertical="center"/>
    </xf>
    <xf numFmtId="0" fontId="20" fillId="3" borderId="1" xfId="27" applyFont="1" applyFill="1" applyBorder="1" applyAlignment="1">
      <alignment horizontal="center" vertical="center" wrapText="1"/>
    </xf>
    <xf numFmtId="0" fontId="20" fillId="3" borderId="1" xfId="27" applyFont="1" applyFill="1" applyBorder="1" applyAlignment="1">
      <alignment horizontal="center" vertical="center"/>
    </xf>
    <xf numFmtId="0" fontId="23" fillId="0" borderId="6" xfId="27" applyFont="1" applyBorder="1" applyAlignment="1">
      <alignment horizontal="left" vertical="center"/>
    </xf>
    <xf numFmtId="0" fontId="6" fillId="0" borderId="6" xfId="27" applyFont="1" applyBorder="1" applyAlignment="1">
      <alignment horizontal="center" vertical="center"/>
    </xf>
    <xf numFmtId="0" fontId="6" fillId="0" borderId="6" xfId="27" applyFont="1" applyBorder="1" applyAlignment="1">
      <alignment horizontal="center" vertical="center" wrapText="1"/>
    </xf>
    <xf numFmtId="0" fontId="8" fillId="0" borderId="1" xfId="30" applyFont="1" applyBorder="1" applyAlignment="1">
      <alignment horizontal="center" vertical="center"/>
    </xf>
    <xf numFmtId="0" fontId="5" fillId="5" borderId="4" xfId="31" applyFont="1" applyFill="1" applyBorder="1" applyAlignment="1">
      <alignment horizontal="center" vertical="center" wrapText="1"/>
    </xf>
    <xf numFmtId="0" fontId="5" fillId="5" borderId="7" xfId="31" applyFont="1" applyFill="1" applyBorder="1" applyAlignment="1">
      <alignment horizontal="center" vertical="center" wrapText="1"/>
    </xf>
    <xf numFmtId="0" fontId="5" fillId="5" borderId="5" xfId="31" applyFont="1" applyFill="1" applyBorder="1" applyAlignment="1">
      <alignment horizontal="center" vertical="center" wrapText="1"/>
    </xf>
    <xf numFmtId="0" fontId="6" fillId="0" borderId="4" xfId="31" applyFont="1" applyBorder="1" applyAlignment="1">
      <alignment horizontal="left" vertical="center"/>
    </xf>
    <xf numFmtId="0" fontId="6" fillId="0" borderId="7" xfId="31" applyFont="1" applyBorder="1" applyAlignment="1">
      <alignment horizontal="left" vertical="center"/>
    </xf>
    <xf numFmtId="0" fontId="6" fillId="0" borderId="5" xfId="31" applyFont="1" applyBorder="1" applyAlignment="1">
      <alignment horizontal="left" vertical="center"/>
    </xf>
    <xf numFmtId="0" fontId="5" fillId="5" borderId="2" xfId="30" applyFont="1" applyFill="1" applyBorder="1" applyAlignment="1">
      <alignment horizontal="center" vertical="center" wrapText="1"/>
    </xf>
    <xf numFmtId="0" fontId="5" fillId="5" borderId="3" xfId="30" applyFont="1" applyFill="1" applyBorder="1" applyAlignment="1">
      <alignment horizontal="center" vertical="center" wrapText="1"/>
    </xf>
    <xf numFmtId="0" fontId="5" fillId="5" borderId="2" xfId="31" applyFont="1" applyFill="1" applyBorder="1" applyAlignment="1">
      <alignment horizontal="center" vertical="center"/>
    </xf>
    <xf numFmtId="0" fontId="5" fillId="5" borderId="3" xfId="31" applyFont="1" applyFill="1" applyBorder="1" applyAlignment="1">
      <alignment horizontal="center" vertical="center"/>
    </xf>
    <xf numFmtId="0" fontId="55" fillId="0" borderId="2" xfId="27" applyFont="1" applyBorder="1" applyAlignment="1">
      <alignment horizontal="center" vertical="center"/>
    </xf>
    <xf numFmtId="0" fontId="55" fillId="0" borderId="3" xfId="27" applyFont="1" applyBorder="1" applyAlignment="1">
      <alignment horizontal="center" vertical="center"/>
    </xf>
    <xf numFmtId="0" fontId="55" fillId="0" borderId="7" xfId="27" applyFont="1" applyBorder="1" applyAlignment="1">
      <alignment horizontal="center" vertical="center"/>
    </xf>
    <xf numFmtId="0" fontId="15" fillId="0" borderId="4" xfId="27" applyFont="1" applyBorder="1" applyAlignment="1">
      <alignment horizontal="left" vertical="center"/>
    </xf>
    <xf numFmtId="0" fontId="15" fillId="0" borderId="4" xfId="32" applyFont="1" applyBorder="1" applyAlignment="1">
      <alignment horizontal="left" vertical="center"/>
    </xf>
    <xf numFmtId="0" fontId="24" fillId="0" borderId="2" xfId="27" applyFont="1" applyBorder="1" applyAlignment="1">
      <alignment horizontal="center" vertical="center"/>
    </xf>
    <xf numFmtId="0" fontId="24" fillId="0" borderId="8" xfId="27" applyFont="1" applyBorder="1" applyAlignment="1">
      <alignment horizontal="center" vertical="center"/>
    </xf>
    <xf numFmtId="0" fontId="20" fillId="3" borderId="1" xfId="32" applyFont="1" applyFill="1" applyBorder="1" applyAlignment="1">
      <alignment horizontal="center" vertical="center"/>
    </xf>
    <xf numFmtId="0" fontId="15" fillId="0" borderId="7" xfId="32" applyFont="1" applyBorder="1" applyAlignment="1">
      <alignment horizontal="left" vertical="center"/>
    </xf>
    <xf numFmtId="0" fontId="15" fillId="0" borderId="5" xfId="32" applyFont="1" applyBorder="1" applyAlignment="1">
      <alignment horizontal="left" vertical="center"/>
    </xf>
    <xf numFmtId="0" fontId="29" fillId="0" borderId="9" xfId="32" applyFont="1" applyBorder="1" applyAlignment="1">
      <alignment horizontal="left" vertical="center"/>
    </xf>
    <xf numFmtId="0" fontId="20" fillId="3" borderId="1" xfId="32" applyFont="1" applyFill="1" applyBorder="1" applyAlignment="1">
      <alignment horizontal="center" vertical="center" wrapText="1"/>
    </xf>
    <xf numFmtId="0" fontId="6" fillId="0" borderId="1" xfId="32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0" fontId="53" fillId="5" borderId="1" xfId="27" applyFont="1" applyFill="1" applyBorder="1" applyAlignment="1">
      <alignment horizontal="center" vertical="center" wrapText="1"/>
    </xf>
    <xf numFmtId="0" fontId="20" fillId="5" borderId="1" xfId="32" applyFont="1" applyFill="1" applyBorder="1" applyAlignment="1">
      <alignment horizontal="center" vertical="center"/>
    </xf>
    <xf numFmtId="0" fontId="20" fillId="5" borderId="1" xfId="32" applyFont="1" applyFill="1" applyBorder="1" applyAlignment="1">
      <alignment horizontal="center" vertical="center" wrapText="1"/>
    </xf>
  </cellXfs>
  <cellStyles count="39">
    <cellStyle name="Comma" xfId="1" builtinId="3"/>
    <cellStyle name="Comma 2" xfId="36" xr:uid="{2B9E1655-1E97-4EA3-99EB-400DEB738E3E}"/>
    <cellStyle name="Comma 2 2" xfId="38" xr:uid="{3CDCA4A6-36CF-4639-95C9-F4CE2F6C05B7}"/>
    <cellStyle name="Comma 3" xfId="37" xr:uid="{BA2B6ED4-DD62-4474-B7F6-ECB09869B063}"/>
    <cellStyle name="Normal" xfId="0" builtinId="0"/>
    <cellStyle name="Normal 10 2" xfId="15" xr:uid="{2125954D-0693-40E6-9265-5F0072AC2C3E}"/>
    <cellStyle name="Normal 13" xfId="19" xr:uid="{93EA7950-0AEA-4E68-85BF-63F582AAB0FF}"/>
    <cellStyle name="Normal 14" xfId="21" xr:uid="{CD4A2EFA-B51D-4E0F-9E1E-F89590241DFC}"/>
    <cellStyle name="Normal 14 2 2 2 2" xfId="26" xr:uid="{62AE6007-4BFC-497E-BB5A-240F400FC30D}"/>
    <cellStyle name="Normal 14 2 2 2 2 2 2 2 2" xfId="32" xr:uid="{869A990B-ADAA-46E8-A97F-C396D4F44596}"/>
    <cellStyle name="Normal 14 2 2 2 2 2 2 2 2 2" xfId="33" xr:uid="{A93F59F7-B51E-41E6-8BD4-6E0150677F37}"/>
    <cellStyle name="Normal 14 2 2 3 2 2 2 2 2" xfId="27" xr:uid="{CA0A8934-FCCE-4DE7-979A-1BC4CE011C23}"/>
    <cellStyle name="Normal 14 2 2 3 2 2 2 2 3" xfId="28" xr:uid="{7C895039-B0B5-4664-B1F3-5504D3FAB181}"/>
    <cellStyle name="Normal 14 2 2 3 2 2 2 2 4" xfId="31" xr:uid="{97F3B93A-CDBE-4FF7-ABB9-1021F943BF4B}"/>
    <cellStyle name="Normal 14 2 2 3 2 2 2 3" xfId="25" xr:uid="{84584820-498F-440B-A4AB-D18D6774C009}"/>
    <cellStyle name="Normal 14 2 2 3 2 2 2 4" xfId="24" xr:uid="{2F32BB6E-1CB7-44DA-AB33-6DAAC39AD096}"/>
    <cellStyle name="Normal 14 2 2 3 2 2 2 5" xfId="30" xr:uid="{F679588A-36DC-4E7D-A805-52B0F1EF9999}"/>
    <cellStyle name="Normal 15" xfId="23" xr:uid="{DF7077A6-5999-4C35-A92D-453888BFE848}"/>
    <cellStyle name="Normal 18" xfId="5" xr:uid="{16692B48-7A24-4883-897D-8F09185F0B1B}"/>
    <cellStyle name="Normal 2" xfId="3" xr:uid="{F1E094C5-A141-4F65-8AFA-A404359FF315}"/>
    <cellStyle name="Normal 2 2" xfId="7" xr:uid="{EB82936A-F75F-4B3D-A9F3-F3D022C3B4D5}"/>
    <cellStyle name="Normal 2 2 2" xfId="10" xr:uid="{52A3CFAD-DA3E-4BDE-B417-41617098B056}"/>
    <cellStyle name="Normal 2 3" xfId="8" xr:uid="{E3B4AE2D-AD14-41A4-AB90-EF10538D30C4}"/>
    <cellStyle name="Normal 2 4" xfId="17" xr:uid="{5C15A0FE-C14D-4000-ADD5-5B2B7177EA01}"/>
    <cellStyle name="Normal 2 7" xfId="11" xr:uid="{BFC5C974-2D3E-4F26-894C-2EFB46BF2E3E}"/>
    <cellStyle name="Normal 2 7 2" xfId="29" xr:uid="{DB85D7D4-7687-4B64-AAD3-EDACCB5D2784}"/>
    <cellStyle name="Normal 3 2 2" xfId="6" xr:uid="{3D518DC2-90BC-4F56-8952-84756635D8B4}"/>
    <cellStyle name="Normal 3 2 2 2" xfId="13" xr:uid="{3041DA2F-3D71-4829-A0AB-33AEB102CAFD}"/>
    <cellStyle name="Normal 3 2 3 4" xfId="20" xr:uid="{972A8076-789B-4C4C-A9BD-F643166ECA48}"/>
    <cellStyle name="Normal 3 3 2" xfId="18" xr:uid="{BEBBA63C-B31A-4693-8B09-682CBC12327D}"/>
    <cellStyle name="Normal 3 3 2 2" xfId="22" xr:uid="{B47686EC-3D28-41CC-84DB-EB321FFCFEC8}"/>
    <cellStyle name="Normal 3 4 2" xfId="16" xr:uid="{8393DFA6-C438-4706-9C98-5AF5188EE867}"/>
    <cellStyle name="Normal 4 2" xfId="12" xr:uid="{1A9332B6-0BFD-4E9B-95BC-B371EBB14E76}"/>
    <cellStyle name="Normal 4 2 2" xfId="14" xr:uid="{E5DED0C6-7AE7-4301-8B96-453A924B672A}"/>
    <cellStyle name="Normal 5 2 2 2 2 2 2 2 2 2" xfId="35" xr:uid="{8235E9B0-3CD2-4E17-96F0-35B6F5091B52}"/>
    <cellStyle name="Normal 5 2 3 2 2 2 2 2 2" xfId="34" xr:uid="{0528C66F-3D68-43F6-8BFC-2848518EDF8F}"/>
    <cellStyle name="Normal 7 3 2" xfId="9" xr:uid="{7BDBD6AD-8545-4D4D-AF6A-9E10902CEDA4}"/>
    <cellStyle name="Per cent" xfId="2" builtinId="5"/>
    <cellStyle name="Percent 2" xfId="4" xr:uid="{B0C89395-1461-4CE4-8CEE-977A67DE976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able14.xlsx" TargetMode="External"/><Relationship Id="rId2" Type="http://schemas.openxmlformats.org/officeDocument/2006/relationships/externalLinkPath" Target="file:///C:\Users\HP\Downloads\Table14.xlsx" TargetMode="External"/><Relationship Id="rId1" Type="http://schemas.openxmlformats.org/officeDocument/2006/relationships/externalLinkPath" Target="/Users/HP/Downloads/Table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A2" t="str">
            <v>A &amp; N Islands</v>
          </cell>
          <cell r="B2">
            <v>3507</v>
          </cell>
          <cell r="C2">
            <v>3621</v>
          </cell>
          <cell r="D2">
            <v>7128</v>
          </cell>
          <cell r="E2">
            <v>54</v>
          </cell>
          <cell r="F2">
            <v>15</v>
          </cell>
          <cell r="G2">
            <v>69</v>
          </cell>
          <cell r="H2">
            <v>66</v>
          </cell>
          <cell r="I2">
            <v>117</v>
          </cell>
          <cell r="J2">
            <v>183</v>
          </cell>
          <cell r="K2">
            <v>1026</v>
          </cell>
          <cell r="L2">
            <v>1084</v>
          </cell>
          <cell r="M2">
            <v>2110</v>
          </cell>
          <cell r="N2">
            <v>82</v>
          </cell>
          <cell r="O2">
            <v>89</v>
          </cell>
          <cell r="P2">
            <v>171</v>
          </cell>
          <cell r="Q2">
            <v>95</v>
          </cell>
          <cell r="R2">
            <v>116</v>
          </cell>
          <cell r="S2">
            <v>211</v>
          </cell>
          <cell r="T2">
            <v>100</v>
          </cell>
          <cell r="U2">
            <v>105</v>
          </cell>
          <cell r="V2">
            <v>205</v>
          </cell>
          <cell r="W2">
            <v>16</v>
          </cell>
          <cell r="X2">
            <v>13</v>
          </cell>
          <cell r="Y2">
            <v>29</v>
          </cell>
        </row>
        <row r="3">
          <cell r="A3" t="str">
            <v>Andhra Pradesh</v>
          </cell>
          <cell r="B3">
            <v>929105</v>
          </cell>
          <cell r="C3">
            <v>875263</v>
          </cell>
          <cell r="D3">
            <v>1804368</v>
          </cell>
          <cell r="E3">
            <v>155637</v>
          </cell>
          <cell r="F3">
            <v>155847</v>
          </cell>
          <cell r="G3">
            <v>311484</v>
          </cell>
          <cell r="H3">
            <v>44867</v>
          </cell>
          <cell r="I3">
            <v>45684</v>
          </cell>
          <cell r="J3">
            <v>90551</v>
          </cell>
          <cell r="K3">
            <v>441835</v>
          </cell>
          <cell r="L3">
            <v>393268</v>
          </cell>
          <cell r="M3">
            <v>835104</v>
          </cell>
          <cell r="N3">
            <v>27946</v>
          </cell>
          <cell r="O3">
            <v>24815</v>
          </cell>
          <cell r="P3">
            <v>52761</v>
          </cell>
          <cell r="Q3">
            <v>6382</v>
          </cell>
          <cell r="R3">
            <v>5796</v>
          </cell>
          <cell r="S3">
            <v>12179</v>
          </cell>
          <cell r="T3">
            <v>30027</v>
          </cell>
          <cell r="U3">
            <v>28989</v>
          </cell>
          <cell r="V3">
            <v>59016</v>
          </cell>
          <cell r="W3">
            <v>2051.9</v>
          </cell>
          <cell r="X3">
            <v>1182.25</v>
          </cell>
          <cell r="Y3">
            <v>3234.15</v>
          </cell>
        </row>
        <row r="4">
          <cell r="A4" t="str">
            <v>Arunachal Pradesh</v>
          </cell>
          <cell r="B4">
            <v>31387</v>
          </cell>
          <cell r="C4">
            <v>29061</v>
          </cell>
          <cell r="D4">
            <v>60448</v>
          </cell>
          <cell r="E4">
            <v>607</v>
          </cell>
          <cell r="F4">
            <v>437</v>
          </cell>
          <cell r="G4">
            <v>1044</v>
          </cell>
          <cell r="H4">
            <v>22121</v>
          </cell>
          <cell r="I4">
            <v>22966</v>
          </cell>
          <cell r="J4">
            <v>45087</v>
          </cell>
          <cell r="K4">
            <v>1652</v>
          </cell>
          <cell r="L4">
            <v>1218</v>
          </cell>
          <cell r="M4">
            <v>2870</v>
          </cell>
          <cell r="N4">
            <v>69</v>
          </cell>
          <cell r="O4">
            <v>64</v>
          </cell>
          <cell r="P4">
            <v>133</v>
          </cell>
          <cell r="Q4">
            <v>5039</v>
          </cell>
          <cell r="R4">
            <v>4266</v>
          </cell>
          <cell r="S4">
            <v>9305</v>
          </cell>
          <cell r="T4">
            <v>321</v>
          </cell>
          <cell r="U4">
            <v>186</v>
          </cell>
          <cell r="V4">
            <v>507</v>
          </cell>
          <cell r="W4">
            <v>25</v>
          </cell>
          <cell r="X4">
            <v>13</v>
          </cell>
          <cell r="Y4">
            <v>38</v>
          </cell>
        </row>
        <row r="5">
          <cell r="A5" t="str">
            <v>Assam</v>
          </cell>
          <cell r="B5">
            <v>368298</v>
          </cell>
          <cell r="C5">
            <v>425162</v>
          </cell>
          <cell r="D5">
            <v>793460</v>
          </cell>
          <cell r="E5">
            <v>35211</v>
          </cell>
          <cell r="F5">
            <v>38879</v>
          </cell>
          <cell r="G5">
            <v>74090</v>
          </cell>
          <cell r="H5">
            <v>66646</v>
          </cell>
          <cell r="I5">
            <v>77001</v>
          </cell>
          <cell r="J5">
            <v>143646</v>
          </cell>
          <cell r="K5">
            <v>96171</v>
          </cell>
          <cell r="L5">
            <v>115236</v>
          </cell>
          <cell r="M5">
            <v>211407</v>
          </cell>
          <cell r="N5">
            <v>54450</v>
          </cell>
          <cell r="O5">
            <v>59427</v>
          </cell>
          <cell r="P5">
            <v>113876</v>
          </cell>
          <cell r="Q5">
            <v>8074</v>
          </cell>
          <cell r="R5">
            <v>9206</v>
          </cell>
          <cell r="S5">
            <v>17280</v>
          </cell>
          <cell r="T5">
            <v>13436</v>
          </cell>
          <cell r="U5">
            <v>13058</v>
          </cell>
          <cell r="V5">
            <v>26494</v>
          </cell>
          <cell r="W5">
            <v>825.2</v>
          </cell>
          <cell r="X5">
            <v>515.25</v>
          </cell>
          <cell r="Y5">
            <v>1340.45</v>
          </cell>
        </row>
        <row r="6">
          <cell r="A6" t="str">
            <v>Bihar</v>
          </cell>
          <cell r="B6">
            <v>1364804</v>
          </cell>
          <cell r="C6">
            <v>1395066</v>
          </cell>
          <cell r="D6">
            <v>2759870</v>
          </cell>
          <cell r="E6">
            <v>208807</v>
          </cell>
          <cell r="F6">
            <v>186472</v>
          </cell>
          <cell r="G6">
            <v>395279</v>
          </cell>
          <cell r="H6">
            <v>24587</v>
          </cell>
          <cell r="I6">
            <v>24849</v>
          </cell>
          <cell r="J6">
            <v>49436</v>
          </cell>
          <cell r="K6">
            <v>760117</v>
          </cell>
          <cell r="L6">
            <v>779012</v>
          </cell>
          <cell r="M6">
            <v>1539129</v>
          </cell>
          <cell r="N6">
            <v>58324</v>
          </cell>
          <cell r="O6">
            <v>74943</v>
          </cell>
          <cell r="P6">
            <v>133267</v>
          </cell>
          <cell r="Q6">
            <v>12163</v>
          </cell>
          <cell r="R6">
            <v>11323</v>
          </cell>
          <cell r="S6">
            <v>23486</v>
          </cell>
          <cell r="T6">
            <v>35156</v>
          </cell>
          <cell r="U6">
            <v>31936</v>
          </cell>
          <cell r="V6">
            <v>67092</v>
          </cell>
          <cell r="W6">
            <v>1364.5</v>
          </cell>
          <cell r="X6">
            <v>660</v>
          </cell>
          <cell r="Y6">
            <v>2024.5</v>
          </cell>
        </row>
        <row r="7">
          <cell r="A7" t="str">
            <v>Chandigarh</v>
          </cell>
          <cell r="B7">
            <v>50520</v>
          </cell>
          <cell r="C7">
            <v>54194</v>
          </cell>
          <cell r="D7">
            <v>104714</v>
          </cell>
          <cell r="E7">
            <v>7786</v>
          </cell>
          <cell r="F7">
            <v>7259</v>
          </cell>
          <cell r="G7">
            <v>15045</v>
          </cell>
          <cell r="H7">
            <v>1340</v>
          </cell>
          <cell r="I7">
            <v>1221</v>
          </cell>
          <cell r="J7">
            <v>2561</v>
          </cell>
          <cell r="K7">
            <v>4831</v>
          </cell>
          <cell r="L7">
            <v>3436</v>
          </cell>
          <cell r="M7">
            <v>8267</v>
          </cell>
          <cell r="N7">
            <v>307</v>
          </cell>
          <cell r="O7">
            <v>411</v>
          </cell>
          <cell r="P7">
            <v>718</v>
          </cell>
          <cell r="Q7">
            <v>1605</v>
          </cell>
          <cell r="R7">
            <v>2360</v>
          </cell>
          <cell r="S7">
            <v>3965</v>
          </cell>
          <cell r="T7">
            <v>1290</v>
          </cell>
          <cell r="U7">
            <v>775</v>
          </cell>
          <cell r="V7">
            <v>2065</v>
          </cell>
          <cell r="W7">
            <v>258</v>
          </cell>
          <cell r="X7">
            <v>147</v>
          </cell>
          <cell r="Y7">
            <v>405</v>
          </cell>
        </row>
        <row r="8">
          <cell r="A8" t="str">
            <v>Chhattisgarh</v>
          </cell>
          <cell r="B8">
            <v>360305</v>
          </cell>
          <cell r="C8">
            <v>461803</v>
          </cell>
          <cell r="D8">
            <v>822108</v>
          </cell>
          <cell r="E8">
            <v>51295</v>
          </cell>
          <cell r="F8">
            <v>61488</v>
          </cell>
          <cell r="G8">
            <v>112783</v>
          </cell>
          <cell r="H8">
            <v>63295</v>
          </cell>
          <cell r="I8">
            <v>102114</v>
          </cell>
          <cell r="J8">
            <v>165409</v>
          </cell>
          <cell r="K8">
            <v>166280</v>
          </cell>
          <cell r="L8">
            <v>206963</v>
          </cell>
          <cell r="M8">
            <v>373243</v>
          </cell>
          <cell r="N8">
            <v>2307</v>
          </cell>
          <cell r="O8">
            <v>2382</v>
          </cell>
          <cell r="P8">
            <v>4689</v>
          </cell>
          <cell r="Q8">
            <v>3551</v>
          </cell>
          <cell r="R8">
            <v>4209</v>
          </cell>
          <cell r="S8">
            <v>7760</v>
          </cell>
          <cell r="T8">
            <v>1818</v>
          </cell>
          <cell r="U8">
            <v>1866</v>
          </cell>
          <cell r="V8">
            <v>3684</v>
          </cell>
          <cell r="W8">
            <v>466.59999999999997</v>
          </cell>
          <cell r="X8">
            <v>241.2</v>
          </cell>
          <cell r="Y8">
            <v>707.8</v>
          </cell>
        </row>
        <row r="9">
          <cell r="A9" t="str">
            <v>Delhi</v>
          </cell>
          <cell r="B9">
            <v>620257</v>
          </cell>
          <cell r="C9">
            <v>614701</v>
          </cell>
          <cell r="D9">
            <v>1234958</v>
          </cell>
          <cell r="E9">
            <v>84131</v>
          </cell>
          <cell r="F9">
            <v>83545</v>
          </cell>
          <cell r="G9">
            <v>167676</v>
          </cell>
          <cell r="H9">
            <v>11190</v>
          </cell>
          <cell r="I9">
            <v>10299</v>
          </cell>
          <cell r="J9">
            <v>21489</v>
          </cell>
          <cell r="K9">
            <v>107114</v>
          </cell>
          <cell r="L9">
            <v>89966</v>
          </cell>
          <cell r="M9">
            <v>197079</v>
          </cell>
          <cell r="N9">
            <v>15515</v>
          </cell>
          <cell r="O9">
            <v>14240</v>
          </cell>
          <cell r="P9">
            <v>29756</v>
          </cell>
          <cell r="Q9">
            <v>5235</v>
          </cell>
          <cell r="R9">
            <v>6414</v>
          </cell>
          <cell r="S9">
            <v>11650</v>
          </cell>
          <cell r="T9">
            <v>24701</v>
          </cell>
          <cell r="U9">
            <v>20051</v>
          </cell>
          <cell r="V9">
            <v>44752</v>
          </cell>
          <cell r="W9">
            <v>3488.8</v>
          </cell>
          <cell r="X9">
            <v>1946.3</v>
          </cell>
          <cell r="Y9">
            <v>5435.1</v>
          </cell>
        </row>
        <row r="10">
          <cell r="A10" t="str">
            <v>Goa</v>
          </cell>
          <cell r="B10">
            <v>32630</v>
          </cell>
          <cell r="C10">
            <v>32001</v>
          </cell>
          <cell r="D10">
            <v>64631</v>
          </cell>
          <cell r="E10">
            <v>786</v>
          </cell>
          <cell r="F10">
            <v>670</v>
          </cell>
          <cell r="G10">
            <v>1456</v>
          </cell>
          <cell r="H10">
            <v>1924</v>
          </cell>
          <cell r="I10">
            <v>2948</v>
          </cell>
          <cell r="J10">
            <v>4872</v>
          </cell>
          <cell r="K10">
            <v>4959</v>
          </cell>
          <cell r="L10">
            <v>6062</v>
          </cell>
          <cell r="M10">
            <v>11021</v>
          </cell>
          <cell r="N10">
            <v>1563</v>
          </cell>
          <cell r="O10">
            <v>1738</v>
          </cell>
          <cell r="P10">
            <v>3301</v>
          </cell>
          <cell r="Q10">
            <v>3984</v>
          </cell>
          <cell r="R10">
            <v>5832</v>
          </cell>
          <cell r="S10">
            <v>9816</v>
          </cell>
          <cell r="T10">
            <v>649</v>
          </cell>
          <cell r="U10">
            <v>622</v>
          </cell>
          <cell r="V10">
            <v>1271</v>
          </cell>
          <cell r="W10">
            <v>41</v>
          </cell>
          <cell r="X10">
            <v>19</v>
          </cell>
          <cell r="Y10">
            <v>60</v>
          </cell>
        </row>
        <row r="11">
          <cell r="A11" t="str">
            <v>Gujarat</v>
          </cell>
          <cell r="B11">
            <v>1053498</v>
          </cell>
          <cell r="C11">
            <v>888760</v>
          </cell>
          <cell r="D11">
            <v>1942258</v>
          </cell>
          <cell r="E11">
            <v>96587</v>
          </cell>
          <cell r="F11">
            <v>88484</v>
          </cell>
          <cell r="G11">
            <v>185071</v>
          </cell>
          <cell r="H11">
            <v>109408</v>
          </cell>
          <cell r="I11">
            <v>123580</v>
          </cell>
          <cell r="J11">
            <v>232988</v>
          </cell>
          <cell r="K11">
            <v>356627</v>
          </cell>
          <cell r="L11">
            <v>282160</v>
          </cell>
          <cell r="M11">
            <v>638787</v>
          </cell>
          <cell r="N11">
            <v>21981</v>
          </cell>
          <cell r="O11">
            <v>20243</v>
          </cell>
          <cell r="P11">
            <v>42224</v>
          </cell>
          <cell r="Q11">
            <v>9045</v>
          </cell>
          <cell r="R11">
            <v>9178</v>
          </cell>
          <cell r="S11">
            <v>18223</v>
          </cell>
          <cell r="T11">
            <v>47694</v>
          </cell>
          <cell r="U11">
            <v>37403</v>
          </cell>
          <cell r="V11">
            <v>85097</v>
          </cell>
          <cell r="W11">
            <v>1336.2999999999997</v>
          </cell>
          <cell r="X11">
            <v>839.15</v>
          </cell>
          <cell r="Y11">
            <v>2175.4499999999998</v>
          </cell>
        </row>
        <row r="12">
          <cell r="A12" t="str">
            <v>Haryana</v>
          </cell>
          <cell r="B12">
            <v>547441</v>
          </cell>
          <cell r="C12">
            <v>599948</v>
          </cell>
          <cell r="D12">
            <v>1147389</v>
          </cell>
          <cell r="E12">
            <v>87241</v>
          </cell>
          <cell r="F12">
            <v>104609</v>
          </cell>
          <cell r="G12">
            <v>191850</v>
          </cell>
          <cell r="H12">
            <v>3047</v>
          </cell>
          <cell r="I12">
            <v>3364</v>
          </cell>
          <cell r="J12">
            <v>6411</v>
          </cell>
          <cell r="K12">
            <v>126838</v>
          </cell>
          <cell r="L12">
            <v>136989</v>
          </cell>
          <cell r="M12">
            <v>263827</v>
          </cell>
          <cell r="N12">
            <v>7121</v>
          </cell>
          <cell r="O12">
            <v>3821</v>
          </cell>
          <cell r="P12">
            <v>10942</v>
          </cell>
          <cell r="Q12">
            <v>5884</v>
          </cell>
          <cell r="R12">
            <v>6877</v>
          </cell>
          <cell r="S12">
            <v>12761</v>
          </cell>
          <cell r="T12">
            <v>9830</v>
          </cell>
          <cell r="U12">
            <v>7895</v>
          </cell>
          <cell r="V12">
            <v>17725</v>
          </cell>
          <cell r="W12">
            <v>424.45000000000005</v>
          </cell>
          <cell r="X12">
            <v>192.75</v>
          </cell>
          <cell r="Y12">
            <v>617.20000000000005</v>
          </cell>
        </row>
        <row r="13">
          <cell r="A13" t="str">
            <v>Himachal Pradesh</v>
          </cell>
          <cell r="B13">
            <v>154430</v>
          </cell>
          <cell r="C13">
            <v>181742</v>
          </cell>
          <cell r="D13">
            <v>336172</v>
          </cell>
          <cell r="E13">
            <v>32217</v>
          </cell>
          <cell r="F13">
            <v>39315</v>
          </cell>
          <cell r="G13">
            <v>71532</v>
          </cell>
          <cell r="H13">
            <v>8803</v>
          </cell>
          <cell r="I13">
            <v>10799</v>
          </cell>
          <cell r="J13">
            <v>19601</v>
          </cell>
          <cell r="K13">
            <v>20515</v>
          </cell>
          <cell r="L13">
            <v>25985</v>
          </cell>
          <cell r="M13">
            <v>46500</v>
          </cell>
          <cell r="N13">
            <v>791</v>
          </cell>
          <cell r="O13">
            <v>540</v>
          </cell>
          <cell r="P13">
            <v>1331</v>
          </cell>
          <cell r="Q13">
            <v>597</v>
          </cell>
          <cell r="R13">
            <v>943</v>
          </cell>
          <cell r="S13">
            <v>1540</v>
          </cell>
          <cell r="T13">
            <v>3541</v>
          </cell>
          <cell r="U13">
            <v>3630</v>
          </cell>
          <cell r="V13">
            <v>7171</v>
          </cell>
          <cell r="W13">
            <v>220.1</v>
          </cell>
          <cell r="X13">
            <v>82.35</v>
          </cell>
          <cell r="Y13">
            <v>302.45</v>
          </cell>
        </row>
        <row r="14">
          <cell r="A14" t="str">
            <v>Jammu and Kashmir</v>
          </cell>
          <cell r="B14">
            <v>161207</v>
          </cell>
          <cell r="C14">
            <v>191280</v>
          </cell>
          <cell r="D14">
            <v>352487</v>
          </cell>
          <cell r="E14">
            <v>10229</v>
          </cell>
          <cell r="F14">
            <v>12454</v>
          </cell>
          <cell r="G14">
            <v>22683</v>
          </cell>
          <cell r="H14">
            <v>14001</v>
          </cell>
          <cell r="I14">
            <v>12368</v>
          </cell>
          <cell r="J14">
            <v>26369</v>
          </cell>
          <cell r="K14">
            <v>15258</v>
          </cell>
          <cell r="L14">
            <v>12473</v>
          </cell>
          <cell r="M14">
            <v>27731</v>
          </cell>
          <cell r="N14">
            <v>55870</v>
          </cell>
          <cell r="O14">
            <v>62975</v>
          </cell>
          <cell r="P14">
            <v>118845</v>
          </cell>
          <cell r="Q14">
            <v>2331</v>
          </cell>
          <cell r="R14">
            <v>2842</v>
          </cell>
          <cell r="S14">
            <v>5173</v>
          </cell>
          <cell r="T14">
            <v>3158</v>
          </cell>
          <cell r="U14">
            <v>2410</v>
          </cell>
          <cell r="V14">
            <v>5568</v>
          </cell>
          <cell r="W14">
            <v>194.7</v>
          </cell>
          <cell r="X14">
            <v>122.5</v>
          </cell>
          <cell r="Y14">
            <v>317.2</v>
          </cell>
        </row>
        <row r="15">
          <cell r="A15" t="str">
            <v>Jharkhand</v>
          </cell>
          <cell r="B15">
            <v>451726</v>
          </cell>
          <cell r="C15">
            <v>470129</v>
          </cell>
          <cell r="D15">
            <v>921855</v>
          </cell>
          <cell r="E15">
            <v>44953</v>
          </cell>
          <cell r="F15">
            <v>41610</v>
          </cell>
          <cell r="G15">
            <v>86563</v>
          </cell>
          <cell r="H15">
            <v>81026</v>
          </cell>
          <cell r="I15">
            <v>108555</v>
          </cell>
          <cell r="J15">
            <v>189581</v>
          </cell>
          <cell r="K15">
            <v>199030</v>
          </cell>
          <cell r="L15">
            <v>197385</v>
          </cell>
          <cell r="M15">
            <v>396415</v>
          </cell>
          <cell r="N15">
            <v>19748</v>
          </cell>
          <cell r="O15">
            <v>20904</v>
          </cell>
          <cell r="P15">
            <v>40652</v>
          </cell>
          <cell r="Q15">
            <v>10015</v>
          </cell>
          <cell r="R15">
            <v>12623</v>
          </cell>
          <cell r="S15">
            <v>22638</v>
          </cell>
          <cell r="T15">
            <v>5870</v>
          </cell>
          <cell r="U15">
            <v>3380</v>
          </cell>
          <cell r="V15">
            <v>9250</v>
          </cell>
          <cell r="W15">
            <v>375.90000000000003</v>
          </cell>
          <cell r="X15">
            <v>201.7</v>
          </cell>
          <cell r="Y15">
            <v>577.6</v>
          </cell>
        </row>
        <row r="16">
          <cell r="A16" t="str">
            <v>Karnataka</v>
          </cell>
          <cell r="B16">
            <v>1395420</v>
          </cell>
          <cell r="C16">
            <v>1364513</v>
          </cell>
          <cell r="D16">
            <v>2759933</v>
          </cell>
          <cell r="E16">
            <v>199423</v>
          </cell>
          <cell r="F16">
            <v>184949</v>
          </cell>
          <cell r="G16">
            <v>384372</v>
          </cell>
          <cell r="H16">
            <v>81382</v>
          </cell>
          <cell r="I16">
            <v>77524</v>
          </cell>
          <cell r="J16">
            <v>158907</v>
          </cell>
          <cell r="K16">
            <v>705547</v>
          </cell>
          <cell r="L16">
            <v>685146</v>
          </cell>
          <cell r="M16">
            <v>1390693</v>
          </cell>
          <cell r="N16">
            <v>90375</v>
          </cell>
          <cell r="O16">
            <v>82887</v>
          </cell>
          <cell r="P16">
            <v>173262</v>
          </cell>
          <cell r="Q16">
            <v>50570</v>
          </cell>
          <cell r="R16">
            <v>61456</v>
          </cell>
          <cell r="S16">
            <v>112026</v>
          </cell>
          <cell r="T16">
            <v>20184</v>
          </cell>
          <cell r="U16">
            <v>42264</v>
          </cell>
          <cell r="V16">
            <v>62448</v>
          </cell>
          <cell r="W16">
            <v>2116.1</v>
          </cell>
          <cell r="X16">
            <v>1445.6</v>
          </cell>
          <cell r="Y16">
            <v>3561.7</v>
          </cell>
        </row>
        <row r="17">
          <cell r="A17" t="str">
            <v>Kerala</v>
          </cell>
          <cell r="B17">
            <v>538142</v>
          </cell>
          <cell r="C17">
            <v>738706</v>
          </cell>
          <cell r="D17">
            <v>1276848</v>
          </cell>
          <cell r="E17">
            <v>33610</v>
          </cell>
          <cell r="F17">
            <v>53950</v>
          </cell>
          <cell r="G17">
            <v>87560</v>
          </cell>
          <cell r="H17">
            <v>5547</v>
          </cell>
          <cell r="I17">
            <v>8164</v>
          </cell>
          <cell r="J17">
            <v>13711</v>
          </cell>
          <cell r="K17">
            <v>282171</v>
          </cell>
          <cell r="L17">
            <v>417317</v>
          </cell>
          <cell r="M17">
            <v>699489</v>
          </cell>
          <cell r="N17">
            <v>108526</v>
          </cell>
          <cell r="O17">
            <v>154878</v>
          </cell>
          <cell r="P17">
            <v>263404</v>
          </cell>
          <cell r="Q17">
            <v>57747</v>
          </cell>
          <cell r="R17">
            <v>69878</v>
          </cell>
          <cell r="S17">
            <v>127626</v>
          </cell>
          <cell r="T17">
            <v>11940</v>
          </cell>
          <cell r="U17">
            <v>17777</v>
          </cell>
          <cell r="V17">
            <v>29717</v>
          </cell>
          <cell r="W17">
            <v>2031.1</v>
          </cell>
          <cell r="X17">
            <v>1703.35</v>
          </cell>
          <cell r="Y17">
            <v>3734.45</v>
          </cell>
        </row>
        <row r="18">
          <cell r="A18" t="str">
            <v>Ladakh</v>
          </cell>
          <cell r="B18">
            <v>1728</v>
          </cell>
          <cell r="C18">
            <v>3037</v>
          </cell>
          <cell r="D18">
            <v>4765</v>
          </cell>
          <cell r="E18">
            <v>0</v>
          </cell>
          <cell r="F18">
            <v>0</v>
          </cell>
          <cell r="G18">
            <v>0</v>
          </cell>
          <cell r="H18">
            <v>1676</v>
          </cell>
          <cell r="I18">
            <v>2931</v>
          </cell>
          <cell r="J18">
            <v>4607</v>
          </cell>
          <cell r="K18">
            <v>0</v>
          </cell>
          <cell r="L18">
            <v>0</v>
          </cell>
          <cell r="M18">
            <v>0</v>
          </cell>
          <cell r="N18">
            <v>998</v>
          </cell>
          <cell r="O18">
            <v>1671</v>
          </cell>
          <cell r="P18">
            <v>2669</v>
          </cell>
          <cell r="Q18">
            <v>506</v>
          </cell>
          <cell r="R18">
            <v>1023</v>
          </cell>
          <cell r="S18">
            <v>1530</v>
          </cell>
          <cell r="T18">
            <v>0</v>
          </cell>
          <cell r="U18">
            <v>0</v>
          </cell>
          <cell r="V18">
            <v>0</v>
          </cell>
          <cell r="W18">
            <v>1</v>
          </cell>
          <cell r="X18">
            <v>0</v>
          </cell>
          <cell r="Y18">
            <v>1</v>
          </cell>
        </row>
        <row r="19">
          <cell r="A19" t="str">
            <v>Lakshadweep</v>
          </cell>
          <cell r="B19">
            <v>199</v>
          </cell>
          <cell r="C19">
            <v>393</v>
          </cell>
          <cell r="D19">
            <v>592</v>
          </cell>
          <cell r="E19">
            <v>0</v>
          </cell>
          <cell r="F19">
            <v>1</v>
          </cell>
          <cell r="G19">
            <v>1</v>
          </cell>
          <cell r="H19">
            <v>193</v>
          </cell>
          <cell r="I19">
            <v>356</v>
          </cell>
          <cell r="J19">
            <v>549</v>
          </cell>
          <cell r="K19">
            <v>5</v>
          </cell>
          <cell r="L19">
            <v>19</v>
          </cell>
          <cell r="M19">
            <v>24</v>
          </cell>
          <cell r="N19">
            <v>49</v>
          </cell>
          <cell r="O19">
            <v>178</v>
          </cell>
          <cell r="P19">
            <v>227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A20" t="str">
            <v>Madhya Pradesh</v>
          </cell>
          <cell r="B20">
            <v>1444525</v>
          </cell>
          <cell r="C20">
            <v>1329902</v>
          </cell>
          <cell r="D20">
            <v>2774428</v>
          </cell>
          <cell r="E20">
            <v>215084</v>
          </cell>
          <cell r="F20">
            <v>198571</v>
          </cell>
          <cell r="G20">
            <v>413655</v>
          </cell>
          <cell r="H20">
            <v>150956</v>
          </cell>
          <cell r="I20">
            <v>170129</v>
          </cell>
          <cell r="J20">
            <v>321085</v>
          </cell>
          <cell r="K20">
            <v>575266</v>
          </cell>
          <cell r="L20">
            <v>553923</v>
          </cell>
          <cell r="M20">
            <v>1129189</v>
          </cell>
          <cell r="N20">
            <v>23510</v>
          </cell>
          <cell r="O20">
            <v>18191</v>
          </cell>
          <cell r="P20">
            <v>41702</v>
          </cell>
          <cell r="Q20">
            <v>9910</v>
          </cell>
          <cell r="R20">
            <v>8805</v>
          </cell>
          <cell r="S20">
            <v>18715</v>
          </cell>
          <cell r="T20">
            <v>16790</v>
          </cell>
          <cell r="U20">
            <v>11749</v>
          </cell>
          <cell r="V20">
            <v>28538</v>
          </cell>
          <cell r="W20">
            <v>1075.25</v>
          </cell>
          <cell r="X20">
            <v>508.8</v>
          </cell>
          <cell r="Y20">
            <v>1584.05</v>
          </cell>
        </row>
        <row r="21">
          <cell r="A21" t="str">
            <v>Maharashtra</v>
          </cell>
          <cell r="B21">
            <v>2473058</v>
          </cell>
          <cell r="C21">
            <v>2180511</v>
          </cell>
          <cell r="D21">
            <v>4653569</v>
          </cell>
          <cell r="E21">
            <v>291044</v>
          </cell>
          <cell r="F21">
            <v>287160</v>
          </cell>
          <cell r="G21">
            <v>578204</v>
          </cell>
          <cell r="H21">
            <v>117818</v>
          </cell>
          <cell r="I21">
            <v>106857</v>
          </cell>
          <cell r="J21">
            <v>224674</v>
          </cell>
          <cell r="K21">
            <v>775512</v>
          </cell>
          <cell r="L21">
            <v>680919</v>
          </cell>
          <cell r="M21">
            <v>1456431</v>
          </cell>
          <cell r="N21">
            <v>79995</v>
          </cell>
          <cell r="O21">
            <v>79938</v>
          </cell>
          <cell r="P21">
            <v>159933</v>
          </cell>
          <cell r="Q21">
            <v>62434</v>
          </cell>
          <cell r="R21">
            <v>66520</v>
          </cell>
          <cell r="S21">
            <v>128955</v>
          </cell>
          <cell r="T21">
            <v>64513</v>
          </cell>
          <cell r="U21">
            <v>52820</v>
          </cell>
          <cell r="V21">
            <v>117332</v>
          </cell>
          <cell r="W21">
            <v>3202.2</v>
          </cell>
          <cell r="X21">
            <v>1694.55</v>
          </cell>
          <cell r="Y21">
            <v>4896.75</v>
          </cell>
        </row>
        <row r="22">
          <cell r="A22" t="str">
            <v>Manipur</v>
          </cell>
          <cell r="B22">
            <v>55808</v>
          </cell>
          <cell r="C22">
            <v>56573</v>
          </cell>
          <cell r="D22">
            <v>112381</v>
          </cell>
          <cell r="E22">
            <v>3996</v>
          </cell>
          <cell r="F22">
            <v>3761</v>
          </cell>
          <cell r="G22">
            <v>7757</v>
          </cell>
          <cell r="H22">
            <v>17784</v>
          </cell>
          <cell r="I22">
            <v>18659</v>
          </cell>
          <cell r="J22">
            <v>36443</v>
          </cell>
          <cell r="K22">
            <v>19968</v>
          </cell>
          <cell r="L22">
            <v>21506</v>
          </cell>
          <cell r="M22">
            <v>41474</v>
          </cell>
          <cell r="N22">
            <v>2491</v>
          </cell>
          <cell r="O22">
            <v>2044</v>
          </cell>
          <cell r="P22">
            <v>4535</v>
          </cell>
          <cell r="Q22">
            <v>1691</v>
          </cell>
          <cell r="R22">
            <v>1820</v>
          </cell>
          <cell r="S22">
            <v>3511</v>
          </cell>
          <cell r="T22">
            <v>487</v>
          </cell>
          <cell r="U22">
            <v>201</v>
          </cell>
          <cell r="V22">
            <v>688</v>
          </cell>
          <cell r="W22">
            <v>21.45</v>
          </cell>
          <cell r="X22">
            <v>12.55</v>
          </cell>
          <cell r="Y22">
            <v>34</v>
          </cell>
        </row>
        <row r="23">
          <cell r="A23" t="str">
            <v>Meghalaya</v>
          </cell>
          <cell r="B23">
            <v>48325</v>
          </cell>
          <cell r="C23">
            <v>61490</v>
          </cell>
          <cell r="D23">
            <v>109816</v>
          </cell>
          <cell r="E23">
            <v>1868</v>
          </cell>
          <cell r="F23">
            <v>1676</v>
          </cell>
          <cell r="G23">
            <v>3544</v>
          </cell>
          <cell r="H23">
            <v>33154</v>
          </cell>
          <cell r="I23">
            <v>47584</v>
          </cell>
          <cell r="J23">
            <v>80738</v>
          </cell>
          <cell r="K23">
            <v>2077</v>
          </cell>
          <cell r="L23">
            <v>2111</v>
          </cell>
          <cell r="M23">
            <v>4188</v>
          </cell>
          <cell r="N23">
            <v>3538</v>
          </cell>
          <cell r="O23">
            <v>2731</v>
          </cell>
          <cell r="P23">
            <v>6269</v>
          </cell>
          <cell r="Q23">
            <v>14322</v>
          </cell>
          <cell r="R23">
            <v>18583</v>
          </cell>
          <cell r="S23">
            <v>32905</v>
          </cell>
          <cell r="T23">
            <v>2299</v>
          </cell>
          <cell r="U23">
            <v>2012</v>
          </cell>
          <cell r="V23">
            <v>4311</v>
          </cell>
          <cell r="W23">
            <v>158.75</v>
          </cell>
          <cell r="X23">
            <v>148.5</v>
          </cell>
          <cell r="Y23">
            <v>307.25</v>
          </cell>
        </row>
        <row r="24">
          <cell r="A24" t="str">
            <v>Mizoram</v>
          </cell>
          <cell r="B24">
            <v>22495</v>
          </cell>
          <cell r="C24">
            <v>22882</v>
          </cell>
          <cell r="D24">
            <v>45377</v>
          </cell>
          <cell r="E24">
            <v>249</v>
          </cell>
          <cell r="F24">
            <v>128</v>
          </cell>
          <cell r="G24">
            <v>377</v>
          </cell>
          <cell r="H24">
            <v>21006</v>
          </cell>
          <cell r="I24">
            <v>21941</v>
          </cell>
          <cell r="J24">
            <v>42947</v>
          </cell>
          <cell r="K24">
            <v>412</v>
          </cell>
          <cell r="L24">
            <v>287</v>
          </cell>
          <cell r="M24">
            <v>699</v>
          </cell>
          <cell r="N24">
            <v>65</v>
          </cell>
          <cell r="O24">
            <v>25</v>
          </cell>
          <cell r="P24">
            <v>90</v>
          </cell>
          <cell r="Q24">
            <v>5852</v>
          </cell>
          <cell r="R24">
            <v>5356</v>
          </cell>
          <cell r="S24">
            <v>11208</v>
          </cell>
          <cell r="T24">
            <v>66</v>
          </cell>
          <cell r="U24">
            <v>36</v>
          </cell>
          <cell r="V24">
            <v>102</v>
          </cell>
          <cell r="W24">
            <v>14</v>
          </cell>
          <cell r="X24">
            <v>9</v>
          </cell>
          <cell r="Y24">
            <v>23</v>
          </cell>
        </row>
        <row r="25">
          <cell r="A25" t="str">
            <v>Nagaland</v>
          </cell>
          <cell r="B25">
            <v>22483</v>
          </cell>
          <cell r="C25">
            <v>27441</v>
          </cell>
          <cell r="D25">
            <v>49924</v>
          </cell>
          <cell r="E25">
            <v>322</v>
          </cell>
          <cell r="F25">
            <v>243</v>
          </cell>
          <cell r="G25">
            <v>565</v>
          </cell>
          <cell r="H25">
            <v>19540</v>
          </cell>
          <cell r="I25">
            <v>24708</v>
          </cell>
          <cell r="J25">
            <v>44248</v>
          </cell>
          <cell r="K25">
            <v>760</v>
          </cell>
          <cell r="L25">
            <v>659</v>
          </cell>
          <cell r="M25">
            <v>1419</v>
          </cell>
          <cell r="N25">
            <v>74</v>
          </cell>
          <cell r="O25">
            <v>136</v>
          </cell>
          <cell r="P25">
            <v>210</v>
          </cell>
          <cell r="Q25">
            <v>10559</v>
          </cell>
          <cell r="R25">
            <v>12333</v>
          </cell>
          <cell r="S25">
            <v>22892</v>
          </cell>
          <cell r="T25">
            <v>89</v>
          </cell>
          <cell r="U25">
            <v>74</v>
          </cell>
          <cell r="V25">
            <v>163</v>
          </cell>
          <cell r="W25">
            <v>2</v>
          </cell>
          <cell r="X25">
            <v>3</v>
          </cell>
          <cell r="Y25">
            <v>5</v>
          </cell>
        </row>
        <row r="26">
          <cell r="A26" t="str">
            <v>Odisha</v>
          </cell>
          <cell r="B26">
            <v>615536</v>
          </cell>
          <cell r="C26">
            <v>570395</v>
          </cell>
          <cell r="D26">
            <v>1185931</v>
          </cell>
          <cell r="E26">
            <v>111802</v>
          </cell>
          <cell r="F26">
            <v>98887</v>
          </cell>
          <cell r="G26">
            <v>210689</v>
          </cell>
          <cell r="H26">
            <v>90661</v>
          </cell>
          <cell r="I26">
            <v>91937</v>
          </cell>
          <cell r="J26">
            <v>182598</v>
          </cell>
          <cell r="K26">
            <v>151854</v>
          </cell>
          <cell r="L26">
            <v>153948</v>
          </cell>
          <cell r="M26">
            <v>305802</v>
          </cell>
          <cell r="N26">
            <v>4876</v>
          </cell>
          <cell r="O26">
            <v>4406</v>
          </cell>
          <cell r="P26">
            <v>9282</v>
          </cell>
          <cell r="Q26">
            <v>2497</v>
          </cell>
          <cell r="R26">
            <v>2788</v>
          </cell>
          <cell r="S26">
            <v>5285</v>
          </cell>
          <cell r="T26">
            <v>8562</v>
          </cell>
          <cell r="U26">
            <v>6864</v>
          </cell>
          <cell r="V26">
            <v>15426</v>
          </cell>
          <cell r="W26">
            <v>1055.8499999999999</v>
          </cell>
          <cell r="X26">
            <v>652.9</v>
          </cell>
          <cell r="Y26">
            <v>1708.75</v>
          </cell>
        </row>
        <row r="27">
          <cell r="A27" t="str">
            <v>Puducherry</v>
          </cell>
          <cell r="B27">
            <v>55780</v>
          </cell>
          <cell r="C27">
            <v>60254</v>
          </cell>
          <cell r="D27">
            <v>116034</v>
          </cell>
          <cell r="E27">
            <v>7180</v>
          </cell>
          <cell r="F27">
            <v>7646</v>
          </cell>
          <cell r="G27">
            <v>14826</v>
          </cell>
          <cell r="H27">
            <v>705</v>
          </cell>
          <cell r="I27">
            <v>523</v>
          </cell>
          <cell r="J27">
            <v>1228</v>
          </cell>
          <cell r="K27">
            <v>29437</v>
          </cell>
          <cell r="L27">
            <v>34942</v>
          </cell>
          <cell r="M27">
            <v>64378</v>
          </cell>
          <cell r="N27">
            <v>2210</v>
          </cell>
          <cell r="O27">
            <v>2568</v>
          </cell>
          <cell r="P27">
            <v>4778</v>
          </cell>
          <cell r="Q27">
            <v>1592</v>
          </cell>
          <cell r="R27">
            <v>2474</v>
          </cell>
          <cell r="S27">
            <v>4066</v>
          </cell>
          <cell r="T27">
            <v>749</v>
          </cell>
          <cell r="U27">
            <v>530</v>
          </cell>
          <cell r="V27">
            <v>1279</v>
          </cell>
          <cell r="W27">
            <v>125</v>
          </cell>
          <cell r="X27">
            <v>68</v>
          </cell>
          <cell r="Y27">
            <v>193</v>
          </cell>
        </row>
        <row r="28">
          <cell r="A28" t="str">
            <v>Punjab</v>
          </cell>
          <cell r="B28">
            <v>463374</v>
          </cell>
          <cell r="C28">
            <v>470290</v>
          </cell>
          <cell r="D28">
            <v>933664</v>
          </cell>
          <cell r="E28">
            <v>104946</v>
          </cell>
          <cell r="F28">
            <v>132587</v>
          </cell>
          <cell r="G28">
            <v>237533</v>
          </cell>
          <cell r="H28">
            <v>2940</v>
          </cell>
          <cell r="I28">
            <v>2385</v>
          </cell>
          <cell r="J28">
            <v>5325</v>
          </cell>
          <cell r="K28">
            <v>60495</v>
          </cell>
          <cell r="L28">
            <v>65971</v>
          </cell>
          <cell r="M28">
            <v>126466</v>
          </cell>
          <cell r="N28">
            <v>12613</v>
          </cell>
          <cell r="O28">
            <v>6072</v>
          </cell>
          <cell r="P28">
            <v>18685</v>
          </cell>
          <cell r="Q28">
            <v>58539</v>
          </cell>
          <cell r="R28">
            <v>64550</v>
          </cell>
          <cell r="S28">
            <v>123089</v>
          </cell>
          <cell r="T28">
            <v>5797</v>
          </cell>
          <cell r="U28">
            <v>6985</v>
          </cell>
          <cell r="V28">
            <v>12782</v>
          </cell>
          <cell r="W28">
            <v>545</v>
          </cell>
          <cell r="X28">
            <v>296</v>
          </cell>
          <cell r="Y28">
            <v>841</v>
          </cell>
        </row>
        <row r="29">
          <cell r="A29" t="str">
            <v>Rajasthan</v>
          </cell>
          <cell r="B29">
            <v>1395612</v>
          </cell>
          <cell r="C29">
            <v>1342114</v>
          </cell>
          <cell r="D29">
            <v>2737725</v>
          </cell>
          <cell r="E29">
            <v>245797</v>
          </cell>
          <cell r="F29">
            <v>235202</v>
          </cell>
          <cell r="G29">
            <v>480999</v>
          </cell>
          <cell r="H29">
            <v>167819</v>
          </cell>
          <cell r="I29">
            <v>173793</v>
          </cell>
          <cell r="J29">
            <v>341612</v>
          </cell>
          <cell r="K29">
            <v>599487</v>
          </cell>
          <cell r="L29">
            <v>579410</v>
          </cell>
          <cell r="M29">
            <v>1178897</v>
          </cell>
          <cell r="N29">
            <v>26136</v>
          </cell>
          <cell r="O29">
            <v>23588</v>
          </cell>
          <cell r="P29">
            <v>49724</v>
          </cell>
          <cell r="Q29">
            <v>10529</v>
          </cell>
          <cell r="R29">
            <v>9941</v>
          </cell>
          <cell r="S29">
            <v>20470</v>
          </cell>
          <cell r="T29">
            <v>52365</v>
          </cell>
          <cell r="U29">
            <v>51950</v>
          </cell>
          <cell r="V29">
            <v>104315</v>
          </cell>
          <cell r="W29">
            <v>2677.5</v>
          </cell>
          <cell r="X29">
            <v>1234.75</v>
          </cell>
          <cell r="Y29">
            <v>3912.25</v>
          </cell>
        </row>
        <row r="30">
          <cell r="A30" t="str">
            <v>Sikkim</v>
          </cell>
          <cell r="B30">
            <v>18123</v>
          </cell>
          <cell r="C30">
            <v>18798</v>
          </cell>
          <cell r="D30">
            <v>36921</v>
          </cell>
          <cell r="E30">
            <v>1149</v>
          </cell>
          <cell r="F30">
            <v>1012</v>
          </cell>
          <cell r="G30">
            <v>2161</v>
          </cell>
          <cell r="H30">
            <v>4846</v>
          </cell>
          <cell r="I30">
            <v>6120</v>
          </cell>
          <cell r="J30">
            <v>10966</v>
          </cell>
          <cell r="K30">
            <v>4950</v>
          </cell>
          <cell r="L30">
            <v>5332</v>
          </cell>
          <cell r="M30">
            <v>10282</v>
          </cell>
          <cell r="N30">
            <v>46</v>
          </cell>
          <cell r="O30">
            <v>36</v>
          </cell>
          <cell r="P30">
            <v>82</v>
          </cell>
          <cell r="Q30">
            <v>538</v>
          </cell>
          <cell r="R30">
            <v>571</v>
          </cell>
          <cell r="S30">
            <v>1109</v>
          </cell>
          <cell r="T30">
            <v>124</v>
          </cell>
          <cell r="U30">
            <v>124</v>
          </cell>
          <cell r="V30">
            <v>248</v>
          </cell>
          <cell r="W30">
            <v>21</v>
          </cell>
          <cell r="X30">
            <v>13</v>
          </cell>
          <cell r="Y30">
            <v>34</v>
          </cell>
        </row>
        <row r="31">
          <cell r="A31" t="str">
            <v>Tamil Nadu</v>
          </cell>
          <cell r="B31">
            <v>1816574</v>
          </cell>
          <cell r="C31">
            <v>1760473</v>
          </cell>
          <cell r="D31">
            <v>3577047</v>
          </cell>
          <cell r="E31">
            <v>332376</v>
          </cell>
          <cell r="F31">
            <v>333092</v>
          </cell>
          <cell r="G31">
            <v>665468</v>
          </cell>
          <cell r="H31">
            <v>18642</v>
          </cell>
          <cell r="I31">
            <v>14819</v>
          </cell>
          <cell r="J31">
            <v>33461</v>
          </cell>
          <cell r="K31">
            <v>1220564</v>
          </cell>
          <cell r="L31">
            <v>1201738</v>
          </cell>
          <cell r="M31">
            <v>2422302</v>
          </cell>
          <cell r="N31">
            <v>76986</v>
          </cell>
          <cell r="O31">
            <v>64906</v>
          </cell>
          <cell r="P31">
            <v>141892</v>
          </cell>
          <cell r="Q31">
            <v>114657</v>
          </cell>
          <cell r="R31">
            <v>126665</v>
          </cell>
          <cell r="S31">
            <v>241322</v>
          </cell>
          <cell r="T31">
            <v>20906</v>
          </cell>
          <cell r="U31">
            <v>15378</v>
          </cell>
          <cell r="V31">
            <v>36284</v>
          </cell>
          <cell r="W31">
            <v>3151.3500000000008</v>
          </cell>
          <cell r="X31">
            <v>2345.1</v>
          </cell>
          <cell r="Y31">
            <v>5496.4500000000007</v>
          </cell>
        </row>
        <row r="32">
          <cell r="A32" t="str">
            <v>Telangana</v>
          </cell>
          <cell r="B32">
            <v>874244</v>
          </cell>
          <cell r="C32">
            <v>913216</v>
          </cell>
          <cell r="D32">
            <v>1787460</v>
          </cell>
          <cell r="E32">
            <v>131980</v>
          </cell>
          <cell r="F32">
            <v>152738</v>
          </cell>
          <cell r="G32">
            <v>284718</v>
          </cell>
          <cell r="H32">
            <v>82088</v>
          </cell>
          <cell r="I32">
            <v>77499</v>
          </cell>
          <cell r="J32">
            <v>159587</v>
          </cell>
          <cell r="K32">
            <v>416022</v>
          </cell>
          <cell r="L32">
            <v>441208</v>
          </cell>
          <cell r="M32">
            <v>857230</v>
          </cell>
          <cell r="N32">
            <v>82430</v>
          </cell>
          <cell r="O32">
            <v>81036</v>
          </cell>
          <cell r="P32">
            <v>163466</v>
          </cell>
          <cell r="Q32">
            <v>4441</v>
          </cell>
          <cell r="R32">
            <v>7491</v>
          </cell>
          <cell r="S32">
            <v>11932</v>
          </cell>
          <cell r="T32">
            <v>14925</v>
          </cell>
          <cell r="U32">
            <v>14396</v>
          </cell>
          <cell r="V32">
            <v>29321</v>
          </cell>
          <cell r="W32">
            <v>1036.6499999999999</v>
          </cell>
          <cell r="X32">
            <v>668.55</v>
          </cell>
          <cell r="Y32">
            <v>1705.1999999999998</v>
          </cell>
        </row>
        <row r="33">
          <cell r="A33" t="str">
            <v>D &amp; N Haveli and Daman &amp; Diu</v>
          </cell>
          <cell r="B33">
            <v>6410</v>
          </cell>
          <cell r="C33">
            <v>6210</v>
          </cell>
          <cell r="D33">
            <v>12620</v>
          </cell>
          <cell r="E33">
            <v>278</v>
          </cell>
          <cell r="F33">
            <v>249</v>
          </cell>
          <cell r="G33">
            <v>527</v>
          </cell>
          <cell r="H33">
            <v>893</v>
          </cell>
          <cell r="I33">
            <v>1222</v>
          </cell>
          <cell r="J33">
            <v>2115</v>
          </cell>
          <cell r="K33">
            <v>1345</v>
          </cell>
          <cell r="L33">
            <v>1187</v>
          </cell>
          <cell r="M33">
            <v>2532</v>
          </cell>
          <cell r="N33">
            <v>128</v>
          </cell>
          <cell r="O33">
            <v>121</v>
          </cell>
          <cell r="P33">
            <v>249</v>
          </cell>
          <cell r="Q33">
            <v>24</v>
          </cell>
          <cell r="R33">
            <v>64</v>
          </cell>
          <cell r="S33">
            <v>88</v>
          </cell>
          <cell r="T33">
            <v>82</v>
          </cell>
          <cell r="U33">
            <v>47</v>
          </cell>
          <cell r="V33">
            <v>129</v>
          </cell>
          <cell r="W33">
            <v>7</v>
          </cell>
          <cell r="X33">
            <v>4</v>
          </cell>
          <cell r="Y33">
            <v>11</v>
          </cell>
        </row>
        <row r="34">
          <cell r="A34" t="str">
            <v>Tripura</v>
          </cell>
          <cell r="B34">
            <v>55043</v>
          </cell>
          <cell r="C34">
            <v>55326</v>
          </cell>
          <cell r="D34">
            <v>110369</v>
          </cell>
          <cell r="E34">
            <v>9986</v>
          </cell>
          <cell r="F34">
            <v>9852</v>
          </cell>
          <cell r="G34">
            <v>19838</v>
          </cell>
          <cell r="H34">
            <v>16508</v>
          </cell>
          <cell r="I34">
            <v>17719</v>
          </cell>
          <cell r="J34">
            <v>34227</v>
          </cell>
          <cell r="K34">
            <v>9660</v>
          </cell>
          <cell r="L34">
            <v>9796</v>
          </cell>
          <cell r="M34">
            <v>19456</v>
          </cell>
          <cell r="N34">
            <v>578</v>
          </cell>
          <cell r="O34">
            <v>611</v>
          </cell>
          <cell r="P34">
            <v>1189</v>
          </cell>
          <cell r="Q34">
            <v>468</v>
          </cell>
          <cell r="R34">
            <v>349</v>
          </cell>
          <cell r="S34">
            <v>817</v>
          </cell>
          <cell r="T34">
            <v>546</v>
          </cell>
          <cell r="U34">
            <v>288</v>
          </cell>
          <cell r="V34">
            <v>834</v>
          </cell>
          <cell r="W34">
            <v>58.550000000000004</v>
          </cell>
          <cell r="X34">
            <v>24.4</v>
          </cell>
          <cell r="Y34">
            <v>82.95</v>
          </cell>
        </row>
        <row r="35">
          <cell r="A35" t="str">
            <v>Uttar Pradesh</v>
          </cell>
          <cell r="B35">
            <v>3699351</v>
          </cell>
          <cell r="C35">
            <v>3569747</v>
          </cell>
          <cell r="D35">
            <v>7269098</v>
          </cell>
          <cell r="E35">
            <v>686864</v>
          </cell>
          <cell r="F35">
            <v>697235</v>
          </cell>
          <cell r="G35">
            <v>1384099</v>
          </cell>
          <cell r="H35">
            <v>37184</v>
          </cell>
          <cell r="I35">
            <v>37696</v>
          </cell>
          <cell r="J35">
            <v>74879</v>
          </cell>
          <cell r="K35">
            <v>1585193</v>
          </cell>
          <cell r="L35">
            <v>1603108</v>
          </cell>
          <cell r="M35">
            <v>3188301</v>
          </cell>
          <cell r="N35">
            <v>163212</v>
          </cell>
          <cell r="O35">
            <v>187949</v>
          </cell>
          <cell r="P35">
            <v>351161</v>
          </cell>
          <cell r="Q35">
            <v>14781</v>
          </cell>
          <cell r="R35">
            <v>13299</v>
          </cell>
          <cell r="S35">
            <v>28080</v>
          </cell>
          <cell r="T35">
            <v>56895</v>
          </cell>
          <cell r="U35">
            <v>42522</v>
          </cell>
          <cell r="V35">
            <v>99417</v>
          </cell>
          <cell r="W35">
            <v>2809.3500000000004</v>
          </cell>
          <cell r="X35">
            <v>1442.25</v>
          </cell>
          <cell r="Y35">
            <v>4251.6000000000004</v>
          </cell>
        </row>
        <row r="36">
          <cell r="A36" t="str">
            <v>Uttarakhand</v>
          </cell>
          <cell r="B36">
            <v>317342</v>
          </cell>
          <cell r="C36">
            <v>323953</v>
          </cell>
          <cell r="D36">
            <v>641295</v>
          </cell>
          <cell r="E36">
            <v>43403</v>
          </cell>
          <cell r="F36">
            <v>51051</v>
          </cell>
          <cell r="G36">
            <v>94454</v>
          </cell>
          <cell r="H36">
            <v>8879</v>
          </cell>
          <cell r="I36">
            <v>9864</v>
          </cell>
          <cell r="J36">
            <v>18743</v>
          </cell>
          <cell r="K36">
            <v>64404</v>
          </cell>
          <cell r="L36">
            <v>64638</v>
          </cell>
          <cell r="M36">
            <v>129042</v>
          </cell>
          <cell r="N36">
            <v>8539</v>
          </cell>
          <cell r="O36">
            <v>10890</v>
          </cell>
          <cell r="P36">
            <v>19430</v>
          </cell>
          <cell r="Q36">
            <v>1762</v>
          </cell>
          <cell r="R36">
            <v>2251</v>
          </cell>
          <cell r="S36">
            <v>4012</v>
          </cell>
          <cell r="T36">
            <v>4987</v>
          </cell>
          <cell r="U36">
            <v>3329</v>
          </cell>
          <cell r="V36">
            <v>8316</v>
          </cell>
          <cell r="W36">
            <v>416.25</v>
          </cell>
          <cell r="X36">
            <v>225.15</v>
          </cell>
          <cell r="Y36">
            <v>641.4</v>
          </cell>
        </row>
        <row r="37">
          <cell r="A37" t="str">
            <v>West Bengal</v>
          </cell>
          <cell r="B37">
            <v>1199486</v>
          </cell>
          <cell r="C37">
            <v>1253994</v>
          </cell>
          <cell r="D37">
            <v>2453480</v>
          </cell>
          <cell r="E37">
            <v>226725</v>
          </cell>
          <cell r="F37">
            <v>237692</v>
          </cell>
          <cell r="G37">
            <v>464417</v>
          </cell>
          <cell r="H37">
            <v>42964</v>
          </cell>
          <cell r="I37">
            <v>49418</v>
          </cell>
          <cell r="J37">
            <v>92382</v>
          </cell>
          <cell r="K37">
            <v>222288</v>
          </cell>
          <cell r="L37">
            <v>230589</v>
          </cell>
          <cell r="M37">
            <v>452876</v>
          </cell>
          <cell r="N37">
            <v>134053</v>
          </cell>
          <cell r="O37">
            <v>153840</v>
          </cell>
          <cell r="P37">
            <v>287894</v>
          </cell>
          <cell r="Q37">
            <v>10949</v>
          </cell>
          <cell r="R37">
            <v>12995</v>
          </cell>
          <cell r="S37">
            <v>23944</v>
          </cell>
          <cell r="T37">
            <v>9413</v>
          </cell>
          <cell r="U37">
            <v>7905</v>
          </cell>
          <cell r="V37">
            <v>17318</v>
          </cell>
          <cell r="W37">
            <v>2466.25</v>
          </cell>
          <cell r="X37">
            <v>1324.65</v>
          </cell>
          <cell r="Y37">
            <v>3790.9</v>
          </cell>
        </row>
        <row r="38">
          <cell r="A38" t="str">
            <v>All</v>
          </cell>
          <cell r="B38">
            <v>22648175</v>
          </cell>
          <cell r="C38">
            <v>22352948</v>
          </cell>
          <cell r="D38">
            <v>45001123</v>
          </cell>
          <cell r="E38">
            <v>3463623</v>
          </cell>
          <cell r="F38">
            <v>3508766</v>
          </cell>
          <cell r="G38">
            <v>6972389</v>
          </cell>
          <cell r="H38">
            <v>1375506</v>
          </cell>
          <cell r="I38">
            <v>1507712</v>
          </cell>
          <cell r="J38">
            <v>2883218</v>
          </cell>
          <cell r="K38">
            <v>9029670</v>
          </cell>
          <cell r="L38">
            <v>9004991</v>
          </cell>
          <cell r="M38">
            <v>18034661</v>
          </cell>
          <cell r="N38">
            <v>1087503</v>
          </cell>
          <cell r="O38">
            <v>1165295</v>
          </cell>
          <cell r="P38">
            <v>2252799</v>
          </cell>
          <cell r="Q38">
            <v>508369</v>
          </cell>
          <cell r="R38">
            <v>571197</v>
          </cell>
          <cell r="S38">
            <v>1079566</v>
          </cell>
          <cell r="T38">
            <v>469308</v>
          </cell>
          <cell r="U38">
            <v>429558</v>
          </cell>
          <cell r="V38">
            <v>898867</v>
          </cell>
          <cell r="W38">
            <v>34080.050000000003</v>
          </cell>
          <cell r="X38">
            <v>19999.550000000003</v>
          </cell>
          <cell r="Y38">
            <v>54079.6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21E2-CF9B-42B4-86FC-D6E132C3F5D4}">
  <sheetPr>
    <pageSetUpPr fitToPage="1"/>
  </sheetPr>
  <dimension ref="A1:P41"/>
  <sheetViews>
    <sheetView showZeros="0" view="pageBreakPreview" zoomScaleNormal="100" zoomScaleSheetLayoutView="100" workbookViewId="0">
      <selection activeCell="B16" sqref="B16:M16"/>
    </sheetView>
  </sheetViews>
  <sheetFormatPr defaultColWidth="9.453125" defaultRowHeight="15.5" x14ac:dyDescent="0.35"/>
  <cols>
    <col min="1" max="1" width="7.54296875" style="1" bestFit="1" customWidth="1"/>
    <col min="2" max="2" width="19.26953125" style="1" bestFit="1" customWidth="1"/>
    <col min="3" max="13" width="7.453125" style="1" customWidth="1"/>
    <col min="14" max="14" width="10.54296875" style="1" bestFit="1" customWidth="1"/>
    <col min="15" max="16384" width="9.453125" style="1"/>
  </cols>
  <sheetData>
    <row r="1" spans="1:16" ht="33.75" customHeight="1" x14ac:dyDescent="0.35">
      <c r="A1" s="661" t="s">
        <v>980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</row>
    <row r="2" spans="1:16" s="6" customFormat="1" ht="111" x14ac:dyDescent="0.35">
      <c r="A2" s="2" t="s">
        <v>0</v>
      </c>
      <c r="B2" s="2" t="s">
        <v>885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  <c r="N2" s="5" t="s">
        <v>1047</v>
      </c>
      <c r="O2" s="6" t="s">
        <v>1048</v>
      </c>
      <c r="P2" s="6" t="s">
        <v>89</v>
      </c>
    </row>
    <row r="3" spans="1:16" s="375" customFormat="1" ht="10.5" x14ac:dyDescent="0.25">
      <c r="A3" s="373">
        <v>1</v>
      </c>
      <c r="B3" s="373">
        <v>2</v>
      </c>
      <c r="C3" s="373">
        <v>3</v>
      </c>
      <c r="D3" s="373">
        <v>4</v>
      </c>
      <c r="E3" s="373">
        <v>5</v>
      </c>
      <c r="F3" s="373">
        <v>6</v>
      </c>
      <c r="G3" s="373">
        <v>7</v>
      </c>
      <c r="H3" s="373">
        <v>8</v>
      </c>
      <c r="I3" s="373">
        <v>9</v>
      </c>
      <c r="J3" s="373">
        <v>10</v>
      </c>
      <c r="K3" s="373">
        <v>11</v>
      </c>
      <c r="L3" s="373">
        <v>12</v>
      </c>
      <c r="M3" s="373">
        <v>13</v>
      </c>
      <c r="N3" s="374"/>
    </row>
    <row r="4" spans="1:16" s="375" customFormat="1" ht="10.5" x14ac:dyDescent="0.25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4">
        <f>SUM(I4,K4:L4)</f>
        <v>0</v>
      </c>
      <c r="O4" s="375">
        <f>SUM(C4:H4,J4)</f>
        <v>0</v>
      </c>
      <c r="P4" s="375">
        <f>SUM(N4:O4)</f>
        <v>0</v>
      </c>
    </row>
    <row r="5" spans="1:16" ht="22.5" customHeight="1" x14ac:dyDescent="0.25">
      <c r="A5" s="7">
        <v>1</v>
      </c>
      <c r="B5" s="104" t="s">
        <v>13</v>
      </c>
      <c r="C5" s="305">
        <v>3</v>
      </c>
      <c r="D5" s="305"/>
      <c r="E5" s="305">
        <v>10</v>
      </c>
      <c r="F5" s="305">
        <v>27</v>
      </c>
      <c r="G5" s="305">
        <v>1</v>
      </c>
      <c r="H5" s="305"/>
      <c r="I5" s="305">
        <v>7</v>
      </c>
      <c r="J5" s="305"/>
      <c r="K5" s="305"/>
      <c r="L5" s="305">
        <v>4</v>
      </c>
      <c r="M5" s="306">
        <v>52</v>
      </c>
      <c r="N5" s="374">
        <f t="shared" ref="N5:N21" si="0">SUM(I5,K5:L5)</f>
        <v>11</v>
      </c>
      <c r="O5" s="375">
        <f t="shared" ref="O5:O21" si="1">SUM(C5:H5,J5)</f>
        <v>41</v>
      </c>
      <c r="P5" s="375">
        <f t="shared" ref="P5:P21" si="2">SUM(N5:O5)</f>
        <v>52</v>
      </c>
    </row>
    <row r="6" spans="1:16" ht="22.5" customHeight="1" x14ac:dyDescent="0.25">
      <c r="A6" s="7">
        <v>2</v>
      </c>
      <c r="B6" s="104" t="s">
        <v>14</v>
      </c>
      <c r="C6" s="305">
        <v>1</v>
      </c>
      <c r="D6" s="305"/>
      <c r="E6" s="305">
        <v>1</v>
      </c>
      <c r="F6" s="305">
        <v>1</v>
      </c>
      <c r="G6" s="305"/>
      <c r="H6" s="305"/>
      <c r="I6" s="305">
        <v>7</v>
      </c>
      <c r="J6" s="305">
        <v>1</v>
      </c>
      <c r="K6" s="305"/>
      <c r="L6" s="305"/>
      <c r="M6" s="306">
        <v>11</v>
      </c>
      <c r="N6" s="374">
        <f t="shared" si="0"/>
        <v>7</v>
      </c>
      <c r="O6" s="375">
        <f t="shared" si="1"/>
        <v>4</v>
      </c>
      <c r="P6" s="375">
        <f t="shared" si="2"/>
        <v>11</v>
      </c>
    </row>
    <row r="7" spans="1:16" ht="22.5" customHeight="1" x14ac:dyDescent="0.25">
      <c r="A7" s="7">
        <v>3</v>
      </c>
      <c r="B7" s="104" t="s">
        <v>15</v>
      </c>
      <c r="C7" s="305">
        <v>2</v>
      </c>
      <c r="D7" s="305"/>
      <c r="E7" s="305">
        <v>6</v>
      </c>
      <c r="F7" s="305">
        <v>16</v>
      </c>
      <c r="G7" s="305"/>
      <c r="H7" s="305">
        <v>1</v>
      </c>
      <c r="I7" s="305">
        <v>8</v>
      </c>
      <c r="J7" s="305">
        <v>1</v>
      </c>
      <c r="K7" s="305"/>
      <c r="L7" s="305"/>
      <c r="M7" s="306">
        <v>34</v>
      </c>
      <c r="N7" s="374">
        <f t="shared" si="0"/>
        <v>8</v>
      </c>
      <c r="O7" s="375">
        <f t="shared" si="1"/>
        <v>26</v>
      </c>
      <c r="P7" s="375">
        <f t="shared" si="2"/>
        <v>34</v>
      </c>
    </row>
    <row r="8" spans="1:16" ht="22.5" customHeight="1" x14ac:dyDescent="0.25">
      <c r="A8" s="7">
        <v>4</v>
      </c>
      <c r="B8" s="104" t="s">
        <v>16</v>
      </c>
      <c r="C8" s="305">
        <v>4</v>
      </c>
      <c r="D8" s="305"/>
      <c r="E8" s="305">
        <v>6</v>
      </c>
      <c r="F8" s="305">
        <v>19</v>
      </c>
      <c r="G8" s="305">
        <v>1</v>
      </c>
      <c r="H8" s="305">
        <v>1</v>
      </c>
      <c r="I8" s="305">
        <v>7</v>
      </c>
      <c r="J8" s="305">
        <v>1</v>
      </c>
      <c r="K8" s="305"/>
      <c r="L8" s="305"/>
      <c r="M8" s="306">
        <v>39</v>
      </c>
      <c r="N8" s="374">
        <f t="shared" si="0"/>
        <v>7</v>
      </c>
      <c r="O8" s="375">
        <f t="shared" si="1"/>
        <v>32</v>
      </c>
      <c r="P8" s="375">
        <f t="shared" si="2"/>
        <v>39</v>
      </c>
    </row>
    <row r="9" spans="1:16" ht="22.5" customHeight="1" x14ac:dyDescent="0.25">
      <c r="A9" s="7">
        <v>5</v>
      </c>
      <c r="B9" s="104" t="s">
        <v>17</v>
      </c>
      <c r="C9" s="305"/>
      <c r="D9" s="305"/>
      <c r="E9" s="305">
        <v>1</v>
      </c>
      <c r="F9" s="305">
        <v>1</v>
      </c>
      <c r="G9" s="305"/>
      <c r="H9" s="305"/>
      <c r="I9" s="305"/>
      <c r="J9" s="305">
        <v>1</v>
      </c>
      <c r="K9" s="305"/>
      <c r="L9" s="305"/>
      <c r="M9" s="306">
        <v>3</v>
      </c>
      <c r="N9" s="374">
        <f t="shared" si="0"/>
        <v>0</v>
      </c>
      <c r="O9" s="375">
        <f t="shared" si="1"/>
        <v>3</v>
      </c>
      <c r="P9" s="375">
        <f t="shared" si="2"/>
        <v>3</v>
      </c>
    </row>
    <row r="10" spans="1:16" ht="22.5" customHeight="1" x14ac:dyDescent="0.25">
      <c r="A10" s="7">
        <v>6</v>
      </c>
      <c r="B10" s="329" t="s">
        <v>18</v>
      </c>
      <c r="C10" s="305">
        <v>1</v>
      </c>
      <c r="D10" s="305"/>
      <c r="E10" s="305">
        <v>4</v>
      </c>
      <c r="F10" s="305">
        <v>15</v>
      </c>
      <c r="G10" s="305"/>
      <c r="H10" s="305">
        <v>1</v>
      </c>
      <c r="I10" s="305">
        <v>15</v>
      </c>
      <c r="J10" s="305"/>
      <c r="K10" s="305"/>
      <c r="L10" s="305"/>
      <c r="M10" s="306">
        <v>36</v>
      </c>
      <c r="N10" s="374">
        <f t="shared" si="0"/>
        <v>15</v>
      </c>
      <c r="O10" s="375">
        <f t="shared" si="1"/>
        <v>21</v>
      </c>
      <c r="P10" s="375">
        <f t="shared" si="2"/>
        <v>36</v>
      </c>
    </row>
    <row r="11" spans="1:16" ht="22.5" customHeight="1" x14ac:dyDescent="0.25">
      <c r="A11" s="7">
        <v>7</v>
      </c>
      <c r="B11" s="104" t="s">
        <v>19</v>
      </c>
      <c r="C11" s="305">
        <v>6</v>
      </c>
      <c r="D11" s="305">
        <v>1</v>
      </c>
      <c r="E11" s="305">
        <v>6</v>
      </c>
      <c r="F11" s="305">
        <v>10</v>
      </c>
      <c r="G11" s="305"/>
      <c r="H11" s="305"/>
      <c r="I11" s="305"/>
      <c r="J11" s="305">
        <v>6</v>
      </c>
      <c r="K11" s="305">
        <v>1</v>
      </c>
      <c r="L11" s="305">
        <v>1</v>
      </c>
      <c r="M11" s="306">
        <v>31</v>
      </c>
      <c r="N11" s="374">
        <f t="shared" si="0"/>
        <v>2</v>
      </c>
      <c r="O11" s="375">
        <f t="shared" si="1"/>
        <v>29</v>
      </c>
      <c r="P11" s="375">
        <f t="shared" si="2"/>
        <v>31</v>
      </c>
    </row>
    <row r="12" spans="1:16" ht="22.5" customHeight="1" x14ac:dyDescent="0.25">
      <c r="A12" s="7">
        <v>8</v>
      </c>
      <c r="B12" s="104" t="s">
        <v>20</v>
      </c>
      <c r="C12" s="307"/>
      <c r="D12" s="305"/>
      <c r="E12" s="305">
        <v>2</v>
      </c>
      <c r="F12" s="305">
        <v>1</v>
      </c>
      <c r="G12" s="305"/>
      <c r="H12" s="305"/>
      <c r="I12" s="305">
        <v>1</v>
      </c>
      <c r="J12" s="305"/>
      <c r="K12" s="305"/>
      <c r="L12" s="305"/>
      <c r="M12" s="306">
        <v>4</v>
      </c>
      <c r="N12" s="374">
        <f t="shared" si="0"/>
        <v>1</v>
      </c>
      <c r="O12" s="375">
        <f t="shared" si="1"/>
        <v>3</v>
      </c>
      <c r="P12" s="375">
        <f t="shared" si="2"/>
        <v>4</v>
      </c>
    </row>
    <row r="13" spans="1:16" ht="22.5" customHeight="1" x14ac:dyDescent="0.25">
      <c r="A13" s="7">
        <v>9</v>
      </c>
      <c r="B13" s="104" t="s">
        <v>21</v>
      </c>
      <c r="C13" s="305">
        <v>2</v>
      </c>
      <c r="D13" s="305"/>
      <c r="E13" s="305">
        <v>10</v>
      </c>
      <c r="F13" s="305">
        <v>27</v>
      </c>
      <c r="G13" s="305"/>
      <c r="H13" s="305">
        <v>1</v>
      </c>
      <c r="I13" s="305">
        <v>65</v>
      </c>
      <c r="J13" s="305"/>
      <c r="K13" s="305">
        <v>1</v>
      </c>
      <c r="L13" s="305">
        <v>1</v>
      </c>
      <c r="M13" s="306">
        <v>107</v>
      </c>
      <c r="N13" s="374">
        <f t="shared" si="0"/>
        <v>67</v>
      </c>
      <c r="O13" s="375">
        <f t="shared" si="1"/>
        <v>40</v>
      </c>
      <c r="P13" s="375">
        <f t="shared" si="2"/>
        <v>107</v>
      </c>
    </row>
    <row r="14" spans="1:16" ht="22.5" customHeight="1" x14ac:dyDescent="0.25">
      <c r="A14" s="7">
        <v>10</v>
      </c>
      <c r="B14" s="104" t="s">
        <v>22</v>
      </c>
      <c r="C14" s="305">
        <v>1</v>
      </c>
      <c r="D14" s="305"/>
      <c r="E14" s="305">
        <v>5</v>
      </c>
      <c r="F14" s="305">
        <v>21</v>
      </c>
      <c r="G14" s="305"/>
      <c r="H14" s="305"/>
      <c r="I14" s="305">
        <v>25</v>
      </c>
      <c r="J14" s="305">
        <v>3</v>
      </c>
      <c r="K14" s="305"/>
      <c r="L14" s="305">
        <v>3</v>
      </c>
      <c r="M14" s="306">
        <v>58</v>
      </c>
      <c r="N14" s="374">
        <f t="shared" si="0"/>
        <v>28</v>
      </c>
      <c r="O14" s="375">
        <f t="shared" si="1"/>
        <v>30</v>
      </c>
      <c r="P14" s="375">
        <f t="shared" si="2"/>
        <v>58</v>
      </c>
    </row>
    <row r="15" spans="1:16" ht="22.5" customHeight="1" x14ac:dyDescent="0.25">
      <c r="A15" s="7">
        <v>11</v>
      </c>
      <c r="B15" s="104" t="s">
        <v>23</v>
      </c>
      <c r="C15" s="305">
        <v>1</v>
      </c>
      <c r="D15" s="305"/>
      <c r="E15" s="305">
        <v>5</v>
      </c>
      <c r="F15" s="305">
        <v>7</v>
      </c>
      <c r="G15" s="305"/>
      <c r="H15" s="305"/>
      <c r="I15" s="305">
        <v>16</v>
      </c>
      <c r="J15" s="305"/>
      <c r="K15" s="305"/>
      <c r="L15" s="305"/>
      <c r="M15" s="306">
        <v>29</v>
      </c>
      <c r="N15" s="374">
        <f t="shared" si="0"/>
        <v>16</v>
      </c>
      <c r="O15" s="375">
        <f t="shared" si="1"/>
        <v>13</v>
      </c>
      <c r="P15" s="375">
        <f t="shared" si="2"/>
        <v>29</v>
      </c>
    </row>
    <row r="16" spans="1:16" ht="22.5" customHeight="1" x14ac:dyDescent="0.25">
      <c r="A16" s="7">
        <v>12</v>
      </c>
      <c r="B16" s="329" t="s">
        <v>24</v>
      </c>
      <c r="C16" s="305">
        <v>2</v>
      </c>
      <c r="D16" s="305"/>
      <c r="E16" s="305">
        <v>4</v>
      </c>
      <c r="F16" s="305">
        <v>9</v>
      </c>
      <c r="G16" s="305">
        <v>1</v>
      </c>
      <c r="H16" s="305"/>
      <c r="I16" s="305"/>
      <c r="J16" s="305"/>
      <c r="K16" s="305"/>
      <c r="L16" s="305"/>
      <c r="M16" s="306">
        <v>16</v>
      </c>
      <c r="N16" s="374">
        <f t="shared" si="0"/>
        <v>0</v>
      </c>
      <c r="O16" s="375">
        <f t="shared" si="1"/>
        <v>16</v>
      </c>
      <c r="P16" s="375">
        <f t="shared" si="2"/>
        <v>16</v>
      </c>
    </row>
    <row r="17" spans="1:16" ht="22.5" customHeight="1" x14ac:dyDescent="0.25">
      <c r="A17" s="7">
        <v>13</v>
      </c>
      <c r="B17" s="104" t="s">
        <v>25</v>
      </c>
      <c r="C17" s="305">
        <v>1</v>
      </c>
      <c r="D17" s="305"/>
      <c r="E17" s="305">
        <v>5</v>
      </c>
      <c r="F17" s="305">
        <v>12</v>
      </c>
      <c r="G17" s="305"/>
      <c r="H17" s="305">
        <v>1</v>
      </c>
      <c r="I17" s="305">
        <v>18</v>
      </c>
      <c r="J17" s="305"/>
      <c r="K17" s="305"/>
      <c r="L17" s="305">
        <v>1</v>
      </c>
      <c r="M17" s="306">
        <v>38</v>
      </c>
      <c r="N17" s="374">
        <f t="shared" si="0"/>
        <v>19</v>
      </c>
      <c r="O17" s="375">
        <f t="shared" si="1"/>
        <v>19</v>
      </c>
      <c r="P17" s="375">
        <f t="shared" si="2"/>
        <v>38</v>
      </c>
    </row>
    <row r="18" spans="1:16" ht="22.5" customHeight="1" x14ac:dyDescent="0.25">
      <c r="A18" s="7">
        <v>14</v>
      </c>
      <c r="B18" s="104" t="s">
        <v>26</v>
      </c>
      <c r="C18" s="305">
        <v>1</v>
      </c>
      <c r="D18" s="305"/>
      <c r="E18" s="305">
        <v>6</v>
      </c>
      <c r="F18" s="305">
        <v>41</v>
      </c>
      <c r="G18" s="305"/>
      <c r="H18" s="305">
        <v>1</v>
      </c>
      <c r="I18" s="305">
        <v>28</v>
      </c>
      <c r="J18" s="305">
        <v>2</v>
      </c>
      <c r="K18" s="305"/>
      <c r="L18" s="305">
        <v>12</v>
      </c>
      <c r="M18" s="306">
        <v>91</v>
      </c>
      <c r="N18" s="374">
        <f t="shared" si="0"/>
        <v>40</v>
      </c>
      <c r="O18" s="375">
        <f t="shared" si="1"/>
        <v>51</v>
      </c>
      <c r="P18" s="375">
        <f t="shared" si="2"/>
        <v>91</v>
      </c>
    </row>
    <row r="19" spans="1:16" ht="22.5" customHeight="1" x14ac:dyDescent="0.25">
      <c r="A19" s="7">
        <v>15</v>
      </c>
      <c r="B19" s="104" t="s">
        <v>27</v>
      </c>
      <c r="C19" s="305">
        <v>1</v>
      </c>
      <c r="D19" s="305"/>
      <c r="E19" s="305">
        <v>6</v>
      </c>
      <c r="F19" s="305">
        <v>14</v>
      </c>
      <c r="G19" s="305"/>
      <c r="H19" s="305">
        <v>1</v>
      </c>
      <c r="I19" s="305"/>
      <c r="J19" s="305">
        <v>2</v>
      </c>
      <c r="K19" s="305"/>
      <c r="L19" s="305">
        <v>1</v>
      </c>
      <c r="M19" s="306">
        <v>25</v>
      </c>
      <c r="N19" s="374">
        <f t="shared" si="0"/>
        <v>1</v>
      </c>
      <c r="O19" s="375">
        <f t="shared" si="1"/>
        <v>24</v>
      </c>
      <c r="P19" s="375">
        <f t="shared" si="2"/>
        <v>25</v>
      </c>
    </row>
    <row r="20" spans="1:16" ht="22.5" customHeight="1" x14ac:dyDescent="0.25">
      <c r="A20" s="7">
        <v>16</v>
      </c>
      <c r="B20" s="104" t="s">
        <v>28</v>
      </c>
      <c r="C20" s="305">
        <v>1</v>
      </c>
      <c r="D20" s="305"/>
      <c r="E20" s="305"/>
      <c r="F20" s="305">
        <v>1</v>
      </c>
      <c r="G20" s="305"/>
      <c r="H20" s="305"/>
      <c r="I20" s="305"/>
      <c r="J20" s="305">
        <v>1</v>
      </c>
      <c r="K20" s="305"/>
      <c r="L20" s="305"/>
      <c r="M20" s="306">
        <v>3</v>
      </c>
      <c r="N20" s="374">
        <f t="shared" si="0"/>
        <v>0</v>
      </c>
      <c r="O20" s="375">
        <f t="shared" si="1"/>
        <v>3</v>
      </c>
      <c r="P20" s="375">
        <f t="shared" si="2"/>
        <v>3</v>
      </c>
    </row>
    <row r="21" spans="1:16" ht="22.5" customHeight="1" x14ac:dyDescent="0.25">
      <c r="A21" s="7"/>
      <c r="B21" s="104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6"/>
      <c r="N21" s="374">
        <f t="shared" si="0"/>
        <v>0</v>
      </c>
      <c r="O21" s="375">
        <f t="shared" si="1"/>
        <v>0</v>
      </c>
      <c r="P21" s="375">
        <f t="shared" si="2"/>
        <v>0</v>
      </c>
    </row>
    <row r="22" spans="1:16" ht="22.5" customHeight="1" x14ac:dyDescent="0.25">
      <c r="A22" s="7">
        <v>17</v>
      </c>
      <c r="B22" s="104" t="s">
        <v>29</v>
      </c>
      <c r="C22" s="305">
        <v>2</v>
      </c>
      <c r="D22" s="305"/>
      <c r="E22" s="305">
        <v>10</v>
      </c>
      <c r="F22" s="305">
        <v>23</v>
      </c>
      <c r="G22" s="305"/>
      <c r="H22" s="305">
        <v>1</v>
      </c>
      <c r="I22" s="305">
        <v>52</v>
      </c>
      <c r="J22" s="305">
        <v>1</v>
      </c>
      <c r="K22" s="305"/>
      <c r="L22" s="305"/>
      <c r="M22" s="306">
        <v>89</v>
      </c>
      <c r="N22" s="374">
        <f t="shared" ref="N22:N40" si="3">SUM(I22,K22:L22)</f>
        <v>52</v>
      </c>
      <c r="O22" s="375">
        <f t="shared" ref="O22:O40" si="4">SUM(C22:H22,J22)</f>
        <v>37</v>
      </c>
      <c r="P22" s="375">
        <f t="shared" ref="P22:P40" si="5">SUM(N22:O22)</f>
        <v>89</v>
      </c>
    </row>
    <row r="23" spans="1:16" ht="22.5" customHeight="1" x14ac:dyDescent="0.25">
      <c r="A23" s="7">
        <v>18</v>
      </c>
      <c r="B23" s="104" t="s">
        <v>30</v>
      </c>
      <c r="C23" s="305">
        <v>1</v>
      </c>
      <c r="D23" s="305"/>
      <c r="E23" s="305">
        <v>8</v>
      </c>
      <c r="F23" s="305">
        <v>28</v>
      </c>
      <c r="G23" s="305"/>
      <c r="H23" s="305">
        <v>1</v>
      </c>
      <c r="I23" s="305">
        <v>28</v>
      </c>
      <c r="J23" s="305">
        <v>7</v>
      </c>
      <c r="K23" s="305">
        <v>3</v>
      </c>
      <c r="L23" s="305">
        <v>11</v>
      </c>
      <c r="M23" s="306">
        <v>87</v>
      </c>
      <c r="N23" s="374">
        <f t="shared" si="3"/>
        <v>42</v>
      </c>
      <c r="O23" s="375">
        <f t="shared" si="4"/>
        <v>45</v>
      </c>
      <c r="P23" s="375">
        <f t="shared" si="5"/>
        <v>87</v>
      </c>
    </row>
    <row r="24" spans="1:16" ht="22.5" customHeight="1" x14ac:dyDescent="0.25">
      <c r="A24" s="7">
        <v>19</v>
      </c>
      <c r="B24" s="104" t="s">
        <v>31</v>
      </c>
      <c r="C24" s="305">
        <v>3</v>
      </c>
      <c r="D24" s="305"/>
      <c r="E24" s="305">
        <v>2</v>
      </c>
      <c r="F24" s="305">
        <v>3</v>
      </c>
      <c r="G24" s="305"/>
      <c r="H24" s="305"/>
      <c r="I24" s="305">
        <v>4</v>
      </c>
      <c r="J24" s="305"/>
      <c r="K24" s="305"/>
      <c r="L24" s="305"/>
      <c r="M24" s="306">
        <v>12</v>
      </c>
      <c r="N24" s="374">
        <f t="shared" si="3"/>
        <v>4</v>
      </c>
      <c r="O24" s="375">
        <f t="shared" si="4"/>
        <v>8</v>
      </c>
      <c r="P24" s="375">
        <f t="shared" si="5"/>
        <v>12</v>
      </c>
    </row>
    <row r="25" spans="1:16" ht="22.5" customHeight="1" x14ac:dyDescent="0.25">
      <c r="A25" s="7">
        <v>20</v>
      </c>
      <c r="B25" s="104" t="s">
        <v>32</v>
      </c>
      <c r="C25" s="305">
        <v>1</v>
      </c>
      <c r="D25" s="305"/>
      <c r="E25" s="305">
        <v>2</v>
      </c>
      <c r="F25" s="305">
        <v>1</v>
      </c>
      <c r="G25" s="305"/>
      <c r="H25" s="305"/>
      <c r="I25" s="305">
        <v>8</v>
      </c>
      <c r="J25" s="305"/>
      <c r="K25" s="305"/>
      <c r="L25" s="305"/>
      <c r="M25" s="306">
        <v>12</v>
      </c>
      <c r="N25" s="374">
        <f t="shared" si="3"/>
        <v>8</v>
      </c>
      <c r="O25" s="375">
        <f t="shared" si="4"/>
        <v>4</v>
      </c>
      <c r="P25" s="375">
        <f t="shared" si="5"/>
        <v>12</v>
      </c>
    </row>
    <row r="26" spans="1:16" ht="22.5" customHeight="1" x14ac:dyDescent="0.25">
      <c r="A26" s="7">
        <v>21</v>
      </c>
      <c r="B26" s="104" t="s">
        <v>33</v>
      </c>
      <c r="C26" s="305">
        <v>1</v>
      </c>
      <c r="D26" s="305"/>
      <c r="E26" s="305">
        <v>1</v>
      </c>
      <c r="F26" s="305"/>
      <c r="G26" s="305"/>
      <c r="H26" s="305"/>
      <c r="I26" s="305">
        <v>1</v>
      </c>
      <c r="J26" s="305"/>
      <c r="K26" s="305"/>
      <c r="L26" s="305"/>
      <c r="M26" s="306">
        <v>3</v>
      </c>
      <c r="N26" s="374">
        <f t="shared" si="3"/>
        <v>1</v>
      </c>
      <c r="O26" s="375">
        <f t="shared" si="4"/>
        <v>2</v>
      </c>
      <c r="P26" s="375">
        <f t="shared" si="5"/>
        <v>3</v>
      </c>
    </row>
    <row r="27" spans="1:16" ht="22.5" customHeight="1" x14ac:dyDescent="0.25">
      <c r="A27" s="7">
        <v>22</v>
      </c>
      <c r="B27" s="104" t="s">
        <v>34</v>
      </c>
      <c r="C27" s="305">
        <v>1</v>
      </c>
      <c r="D27" s="305"/>
      <c r="E27" s="305">
        <v>1</v>
      </c>
      <c r="F27" s="305"/>
      <c r="G27" s="305"/>
      <c r="H27" s="305"/>
      <c r="I27" s="305">
        <v>4</v>
      </c>
      <c r="J27" s="305"/>
      <c r="K27" s="305"/>
      <c r="L27" s="305"/>
      <c r="M27" s="306">
        <v>6</v>
      </c>
      <c r="N27" s="374">
        <f t="shared" si="3"/>
        <v>4</v>
      </c>
      <c r="O27" s="375">
        <f t="shared" si="4"/>
        <v>2</v>
      </c>
      <c r="P27" s="375">
        <f t="shared" si="5"/>
        <v>6</v>
      </c>
    </row>
    <row r="28" spans="1:16" ht="22.5" customHeight="1" x14ac:dyDescent="0.25">
      <c r="A28" s="7">
        <v>23</v>
      </c>
      <c r="B28" s="104" t="s">
        <v>35</v>
      </c>
      <c r="C28" s="305">
        <v>1</v>
      </c>
      <c r="D28" s="305"/>
      <c r="E28" s="305">
        <v>5</v>
      </c>
      <c r="F28" s="305">
        <v>24</v>
      </c>
      <c r="G28" s="305"/>
      <c r="H28" s="305">
        <v>1</v>
      </c>
      <c r="I28" s="305">
        <v>10</v>
      </c>
      <c r="J28" s="305"/>
      <c r="K28" s="305"/>
      <c r="L28" s="305">
        <v>3</v>
      </c>
      <c r="M28" s="306">
        <v>44</v>
      </c>
      <c r="N28" s="374">
        <f t="shared" si="3"/>
        <v>13</v>
      </c>
      <c r="O28" s="375">
        <f t="shared" si="4"/>
        <v>31</v>
      </c>
      <c r="P28" s="375">
        <f t="shared" si="5"/>
        <v>44</v>
      </c>
    </row>
    <row r="29" spans="1:16" ht="22.5" customHeight="1" x14ac:dyDescent="0.25">
      <c r="A29" s="7">
        <v>24</v>
      </c>
      <c r="B29" s="104" t="s">
        <v>36</v>
      </c>
      <c r="C29" s="305">
        <v>1</v>
      </c>
      <c r="D29" s="305"/>
      <c r="E29" s="305">
        <v>2</v>
      </c>
      <c r="F29" s="305">
        <v>1</v>
      </c>
      <c r="G29" s="305"/>
      <c r="H29" s="305"/>
      <c r="I29" s="305"/>
      <c r="J29" s="305"/>
      <c r="K29" s="305"/>
      <c r="L29" s="305">
        <v>1</v>
      </c>
      <c r="M29" s="306">
        <v>5</v>
      </c>
      <c r="N29" s="374">
        <f t="shared" si="3"/>
        <v>1</v>
      </c>
      <c r="O29" s="375">
        <f t="shared" si="4"/>
        <v>4</v>
      </c>
      <c r="P29" s="375">
        <f t="shared" si="5"/>
        <v>5</v>
      </c>
    </row>
    <row r="30" spans="1:16" ht="22.5" customHeight="1" x14ac:dyDescent="0.25">
      <c r="A30" s="7">
        <v>25</v>
      </c>
      <c r="B30" s="104" t="s">
        <v>37</v>
      </c>
      <c r="C30" s="305">
        <v>1</v>
      </c>
      <c r="D30" s="305"/>
      <c r="E30" s="305">
        <v>6</v>
      </c>
      <c r="F30" s="305">
        <v>12</v>
      </c>
      <c r="G30" s="305"/>
      <c r="H30" s="305">
        <v>1</v>
      </c>
      <c r="I30" s="305">
        <v>18</v>
      </c>
      <c r="J30" s="305">
        <v>1</v>
      </c>
      <c r="K30" s="305"/>
      <c r="L30" s="305">
        <v>1</v>
      </c>
      <c r="M30" s="306">
        <v>40</v>
      </c>
      <c r="N30" s="374">
        <f t="shared" si="3"/>
        <v>19</v>
      </c>
      <c r="O30" s="375">
        <f t="shared" si="4"/>
        <v>21</v>
      </c>
      <c r="P30" s="375">
        <f t="shared" si="5"/>
        <v>40</v>
      </c>
    </row>
    <row r="31" spans="1:16" ht="22.5" customHeight="1" x14ac:dyDescent="0.25">
      <c r="A31" s="7">
        <v>26</v>
      </c>
      <c r="B31" s="104" t="s">
        <v>38</v>
      </c>
      <c r="C31" s="305">
        <v>1</v>
      </c>
      <c r="D31" s="305"/>
      <c r="E31" s="305">
        <v>5</v>
      </c>
      <c r="F31" s="305">
        <v>27</v>
      </c>
      <c r="G31" s="305">
        <v>1</v>
      </c>
      <c r="H31" s="305">
        <v>1</v>
      </c>
      <c r="I31" s="305">
        <v>50</v>
      </c>
      <c r="J31" s="305">
        <v>1</v>
      </c>
      <c r="K31" s="305"/>
      <c r="L31" s="305">
        <v>7</v>
      </c>
      <c r="M31" s="306">
        <v>93</v>
      </c>
      <c r="N31" s="374">
        <f t="shared" si="3"/>
        <v>57</v>
      </c>
      <c r="O31" s="375">
        <f t="shared" si="4"/>
        <v>36</v>
      </c>
      <c r="P31" s="375">
        <f t="shared" si="5"/>
        <v>93</v>
      </c>
    </row>
    <row r="32" spans="1:16" ht="22.5" customHeight="1" x14ac:dyDescent="0.25">
      <c r="A32" s="7">
        <v>27</v>
      </c>
      <c r="B32" s="104" t="s">
        <v>39</v>
      </c>
      <c r="C32" s="305">
        <v>1</v>
      </c>
      <c r="D32" s="305"/>
      <c r="E32" s="305">
        <v>1</v>
      </c>
      <c r="F32" s="305">
        <v>1</v>
      </c>
      <c r="G32" s="305"/>
      <c r="H32" s="305"/>
      <c r="I32" s="305">
        <v>8</v>
      </c>
      <c r="J32" s="305"/>
      <c r="K32" s="305"/>
      <c r="L32" s="305"/>
      <c r="M32" s="306">
        <v>11</v>
      </c>
      <c r="N32" s="374">
        <f t="shared" si="3"/>
        <v>8</v>
      </c>
      <c r="O32" s="375">
        <f t="shared" si="4"/>
        <v>3</v>
      </c>
      <c r="P32" s="375">
        <f t="shared" si="5"/>
        <v>11</v>
      </c>
    </row>
    <row r="33" spans="1:16" ht="22.5" customHeight="1" x14ac:dyDescent="0.25">
      <c r="A33" s="7">
        <v>28</v>
      </c>
      <c r="B33" s="104" t="s">
        <v>40</v>
      </c>
      <c r="C33" s="305">
        <v>2</v>
      </c>
      <c r="D33" s="305"/>
      <c r="E33" s="305">
        <v>9</v>
      </c>
      <c r="F33" s="305">
        <v>21</v>
      </c>
      <c r="G33" s="305"/>
      <c r="H33" s="305">
        <v>1</v>
      </c>
      <c r="I33" s="305">
        <v>4</v>
      </c>
      <c r="J33" s="305"/>
      <c r="K33" s="305">
        <v>2</v>
      </c>
      <c r="L33" s="305">
        <v>26</v>
      </c>
      <c r="M33" s="306">
        <v>65</v>
      </c>
      <c r="N33" s="374">
        <f t="shared" si="3"/>
        <v>32</v>
      </c>
      <c r="O33" s="375">
        <f t="shared" si="4"/>
        <v>33</v>
      </c>
      <c r="P33" s="375">
        <f t="shared" si="5"/>
        <v>65</v>
      </c>
    </row>
    <row r="34" spans="1:16" ht="22.5" customHeight="1" x14ac:dyDescent="0.25">
      <c r="A34" s="7">
        <v>29</v>
      </c>
      <c r="B34" s="104" t="s">
        <v>41</v>
      </c>
      <c r="C34" s="305">
        <v>3</v>
      </c>
      <c r="D34" s="305"/>
      <c r="E34" s="305">
        <v>4</v>
      </c>
      <c r="F34" s="305">
        <v>15</v>
      </c>
      <c r="G34" s="305">
        <v>1</v>
      </c>
      <c r="H34" s="305">
        <v>1</v>
      </c>
      <c r="I34" s="305">
        <v>5</v>
      </c>
      <c r="J34" s="305">
        <v>1</v>
      </c>
      <c r="K34" s="305"/>
      <c r="L34" s="305">
        <v>3</v>
      </c>
      <c r="M34" s="306">
        <v>33</v>
      </c>
      <c r="N34" s="374">
        <f t="shared" si="3"/>
        <v>8</v>
      </c>
      <c r="O34" s="375">
        <f t="shared" si="4"/>
        <v>25</v>
      </c>
      <c r="P34" s="375">
        <f t="shared" si="5"/>
        <v>33</v>
      </c>
    </row>
    <row r="35" spans="1:16" ht="22.5" customHeight="1" x14ac:dyDescent="0.25">
      <c r="A35" s="7"/>
      <c r="B35" s="104"/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6"/>
      <c r="N35" s="374">
        <f t="shared" si="3"/>
        <v>0</v>
      </c>
      <c r="O35" s="375">
        <f t="shared" si="4"/>
        <v>0</v>
      </c>
      <c r="P35" s="375">
        <f t="shared" si="5"/>
        <v>0</v>
      </c>
    </row>
    <row r="36" spans="1:16" ht="22.5" customHeight="1" x14ac:dyDescent="0.25">
      <c r="A36" s="7">
        <v>30</v>
      </c>
      <c r="B36" s="104" t="s">
        <v>42</v>
      </c>
      <c r="C36" s="305">
        <v>1</v>
      </c>
      <c r="D36" s="305"/>
      <c r="E36" s="305">
        <v>2</v>
      </c>
      <c r="F36" s="305">
        <v>2</v>
      </c>
      <c r="G36" s="305"/>
      <c r="H36" s="305"/>
      <c r="I36" s="305">
        <v>4</v>
      </c>
      <c r="J36" s="305"/>
      <c r="K36" s="305"/>
      <c r="L36" s="305"/>
      <c r="M36" s="306">
        <v>9</v>
      </c>
      <c r="N36" s="374">
        <f t="shared" si="3"/>
        <v>4</v>
      </c>
      <c r="O36" s="375">
        <f t="shared" si="4"/>
        <v>5</v>
      </c>
      <c r="P36" s="375">
        <f t="shared" si="5"/>
        <v>9</v>
      </c>
    </row>
    <row r="37" spans="1:16" ht="22.5" customHeight="1" x14ac:dyDescent="0.25">
      <c r="A37" s="7">
        <v>31</v>
      </c>
      <c r="B37" s="104" t="s">
        <v>43</v>
      </c>
      <c r="C37" s="305">
        <v>6</v>
      </c>
      <c r="D37" s="305"/>
      <c r="E37" s="305">
        <v>12</v>
      </c>
      <c r="F37" s="305">
        <v>36</v>
      </c>
      <c r="G37" s="305">
        <v>1</v>
      </c>
      <c r="H37" s="305">
        <v>1</v>
      </c>
      <c r="I37" s="305">
        <v>38</v>
      </c>
      <c r="J37" s="305">
        <v>2</v>
      </c>
      <c r="K37" s="305">
        <v>2</v>
      </c>
      <c r="L37" s="305">
        <v>5</v>
      </c>
      <c r="M37" s="306">
        <v>103</v>
      </c>
      <c r="N37" s="374">
        <f t="shared" si="3"/>
        <v>45</v>
      </c>
      <c r="O37" s="375">
        <f t="shared" si="4"/>
        <v>58</v>
      </c>
      <c r="P37" s="375">
        <f t="shared" si="5"/>
        <v>103</v>
      </c>
    </row>
    <row r="38" spans="1:16" ht="22.5" customHeight="1" x14ac:dyDescent="0.25">
      <c r="A38" s="7">
        <v>32</v>
      </c>
      <c r="B38" s="329" t="s">
        <v>44</v>
      </c>
      <c r="C38" s="305">
        <v>1</v>
      </c>
      <c r="D38" s="305"/>
      <c r="E38" s="305">
        <v>4</v>
      </c>
      <c r="F38" s="305">
        <v>10</v>
      </c>
      <c r="G38" s="305"/>
      <c r="H38" s="305">
        <v>1</v>
      </c>
      <c r="I38" s="305">
        <v>22</v>
      </c>
      <c r="J38" s="305">
        <v>1</v>
      </c>
      <c r="K38" s="305">
        <v>1</v>
      </c>
      <c r="L38" s="305">
        <v>1</v>
      </c>
      <c r="M38" s="306">
        <v>41</v>
      </c>
      <c r="N38" s="374">
        <f t="shared" si="3"/>
        <v>24</v>
      </c>
      <c r="O38" s="375">
        <f t="shared" si="4"/>
        <v>17</v>
      </c>
      <c r="P38" s="375">
        <f t="shared" si="5"/>
        <v>41</v>
      </c>
    </row>
    <row r="39" spans="1:16" ht="22.5" customHeight="1" x14ac:dyDescent="0.25">
      <c r="A39" s="7">
        <v>33</v>
      </c>
      <c r="B39" s="104" t="s">
        <v>45</v>
      </c>
      <c r="C39" s="305">
        <v>1</v>
      </c>
      <c r="D39" s="305"/>
      <c r="E39" s="305">
        <v>8</v>
      </c>
      <c r="F39" s="305">
        <v>36</v>
      </c>
      <c r="G39" s="305"/>
      <c r="H39" s="305">
        <v>1</v>
      </c>
      <c r="I39" s="305">
        <v>11</v>
      </c>
      <c r="J39" s="305">
        <v>1</v>
      </c>
      <c r="K39" s="305"/>
      <c r="L39" s="305">
        <v>1</v>
      </c>
      <c r="M39" s="306">
        <v>59</v>
      </c>
      <c r="N39" s="374">
        <f t="shared" si="3"/>
        <v>12</v>
      </c>
      <c r="O39" s="375">
        <f t="shared" si="4"/>
        <v>47</v>
      </c>
      <c r="P39" s="375">
        <f t="shared" si="5"/>
        <v>59</v>
      </c>
    </row>
    <row r="40" spans="1:16" ht="22.5" customHeight="1" x14ac:dyDescent="0.25">
      <c r="A40" s="659" t="s">
        <v>46</v>
      </c>
      <c r="B40" s="659"/>
      <c r="C40" s="306">
        <v>55</v>
      </c>
      <c r="D40" s="306">
        <v>1</v>
      </c>
      <c r="E40" s="306">
        <v>159</v>
      </c>
      <c r="F40" s="306">
        <v>462</v>
      </c>
      <c r="G40" s="306">
        <v>6</v>
      </c>
      <c r="H40" s="306">
        <v>17</v>
      </c>
      <c r="I40" s="306">
        <v>464</v>
      </c>
      <c r="J40" s="306">
        <v>33</v>
      </c>
      <c r="K40" s="306">
        <v>10</v>
      </c>
      <c r="L40" s="306">
        <v>82</v>
      </c>
      <c r="M40" s="306">
        <v>1289</v>
      </c>
      <c r="N40" s="374">
        <f t="shared" si="3"/>
        <v>556</v>
      </c>
      <c r="O40" s="375">
        <f t="shared" si="4"/>
        <v>733</v>
      </c>
      <c r="P40" s="375">
        <f t="shared" si="5"/>
        <v>1289</v>
      </c>
    </row>
    <row r="41" spans="1:16" ht="15.65" customHeight="1" x14ac:dyDescent="0.35">
      <c r="A41" s="660" t="s">
        <v>47</v>
      </c>
      <c r="B41" s="660"/>
      <c r="C41" s="660"/>
      <c r="D41" s="660"/>
      <c r="E41" s="660"/>
      <c r="F41" s="660"/>
      <c r="G41" s="660"/>
      <c r="H41" s="660"/>
      <c r="I41" s="660"/>
      <c r="J41" s="660"/>
      <c r="K41" s="660"/>
      <c r="L41" s="660"/>
      <c r="M41" s="660"/>
      <c r="N41" s="5"/>
    </row>
  </sheetData>
  <mergeCells count="3">
    <mergeCell ref="A40:B40"/>
    <mergeCell ref="A41:M41"/>
    <mergeCell ref="A1:M1"/>
  </mergeCells>
  <pageMargins left="0.59055118110236227" right="0.35433070866141736" top="0.39370078740157483" bottom="0.39370078740157483" header="0.31496062992125984" footer="0.19685039370078741"/>
  <pageSetup paperSize="9" scale="79" orientation="portrait" r:id="rId1"/>
  <headerFooter>
    <oddFooter>&amp;L&amp;"Arial,Italic"&amp;9AISHE 2023-24&amp;RT-1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CF31-28CE-41D0-962C-08E511027FC9}">
  <sheetPr>
    <pageSetUpPr fitToPage="1"/>
  </sheetPr>
  <dimension ref="A1:N42"/>
  <sheetViews>
    <sheetView view="pageBreakPreview" zoomScaleNormal="95" zoomScaleSheetLayoutView="100" workbookViewId="0">
      <pane ySplit="3" topLeftCell="A12" activePane="bottomLeft" state="frozen"/>
      <selection activeCell="B16" sqref="B16:M16"/>
      <selection pane="bottomLeft" activeCell="B16" sqref="B16:M16"/>
    </sheetView>
  </sheetViews>
  <sheetFormatPr defaultColWidth="8.453125" defaultRowHeight="15.5" x14ac:dyDescent="0.35"/>
  <cols>
    <col min="1" max="1" width="5.81640625" style="5" bestFit="1" customWidth="1"/>
    <col min="2" max="2" width="26.08984375" style="5" bestFit="1" customWidth="1"/>
    <col min="3" max="4" width="9.1796875" style="5" bestFit="1" customWidth="1"/>
    <col min="5" max="5" width="12.1796875" style="5" bestFit="1" customWidth="1"/>
    <col min="6" max="7" width="9.1796875" style="5" bestFit="1" customWidth="1"/>
    <col min="8" max="8" width="12.1796875" style="5" bestFit="1" customWidth="1"/>
    <col min="9" max="10" width="9.1796875" style="5" bestFit="1" customWidth="1"/>
    <col min="11" max="11" width="12.1796875" style="5" bestFit="1" customWidth="1"/>
    <col min="12" max="13" width="9.1796875" style="5" bestFit="1" customWidth="1"/>
    <col min="14" max="14" width="12.1796875" style="5" bestFit="1" customWidth="1"/>
    <col min="15" max="16384" width="8.453125" style="5"/>
  </cols>
  <sheetData>
    <row r="1" spans="1:14" s="8" customFormat="1" ht="18" x14ac:dyDescent="0.4">
      <c r="A1" s="662" t="s">
        <v>981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</row>
    <row r="2" spans="1:14" s="8" customFormat="1" ht="18" x14ac:dyDescent="0.4">
      <c r="A2" s="665" t="s">
        <v>48</v>
      </c>
      <c r="B2" s="665" t="s">
        <v>885</v>
      </c>
      <c r="C2" s="666" t="s">
        <v>49</v>
      </c>
      <c r="D2" s="666"/>
      <c r="E2" s="666"/>
      <c r="F2" s="666" t="s">
        <v>50</v>
      </c>
      <c r="G2" s="666"/>
      <c r="H2" s="666"/>
      <c r="I2" s="666" t="s">
        <v>51</v>
      </c>
      <c r="J2" s="666"/>
      <c r="K2" s="666"/>
      <c r="L2" s="666" t="s">
        <v>52</v>
      </c>
      <c r="M2" s="666"/>
      <c r="N2" s="666"/>
    </row>
    <row r="3" spans="1:14" s="8" customFormat="1" ht="18" x14ac:dyDescent="0.4">
      <c r="A3" s="665"/>
      <c r="B3" s="665"/>
      <c r="C3" s="9" t="s">
        <v>53</v>
      </c>
      <c r="D3" s="9" t="s">
        <v>54</v>
      </c>
      <c r="E3" s="9" t="s">
        <v>55</v>
      </c>
      <c r="F3" s="9" t="s">
        <v>53</v>
      </c>
      <c r="G3" s="9" t="s">
        <v>54</v>
      </c>
      <c r="H3" s="9" t="s">
        <v>55</v>
      </c>
      <c r="I3" s="9" t="s">
        <v>53</v>
      </c>
      <c r="J3" s="9" t="s">
        <v>54</v>
      </c>
      <c r="K3" s="9" t="s">
        <v>55</v>
      </c>
      <c r="L3" s="9" t="s">
        <v>53</v>
      </c>
      <c r="M3" s="9" t="s">
        <v>54</v>
      </c>
      <c r="N3" s="9" t="s">
        <v>55</v>
      </c>
    </row>
    <row r="4" spans="1:14" s="205" customFormat="1" ht="9" customHeight="1" x14ac:dyDescent="0.3">
      <c r="A4" s="648">
        <v>1</v>
      </c>
      <c r="B4" s="648">
        <v>2</v>
      </c>
      <c r="C4" s="648">
        <v>3</v>
      </c>
      <c r="D4" s="648">
        <v>4</v>
      </c>
      <c r="E4" s="648">
        <v>5</v>
      </c>
      <c r="F4" s="648">
        <v>6</v>
      </c>
      <c r="G4" s="648">
        <v>7</v>
      </c>
      <c r="H4" s="648">
        <v>8</v>
      </c>
      <c r="I4" s="648">
        <v>9</v>
      </c>
      <c r="J4" s="648">
        <v>10</v>
      </c>
      <c r="K4" s="648">
        <v>11</v>
      </c>
      <c r="L4" s="648">
        <v>12</v>
      </c>
      <c r="M4" s="648">
        <v>13</v>
      </c>
      <c r="N4" s="648">
        <v>14</v>
      </c>
    </row>
    <row r="5" spans="1:14" ht="30" x14ac:dyDescent="0.35">
      <c r="A5" s="7">
        <v>1</v>
      </c>
      <c r="B5" s="103" t="s">
        <v>906</v>
      </c>
      <c r="C5" s="307"/>
      <c r="D5" s="307"/>
      <c r="E5" s="10"/>
      <c r="F5" s="305">
        <v>9</v>
      </c>
      <c r="G5" s="305">
        <v>3</v>
      </c>
      <c r="H5" s="10">
        <v>0.33333333333333331</v>
      </c>
      <c r="I5" s="305">
        <v>2</v>
      </c>
      <c r="J5" s="305">
        <v>1</v>
      </c>
      <c r="K5" s="10">
        <v>0.5</v>
      </c>
      <c r="L5" s="309">
        <v>11</v>
      </c>
      <c r="M5" s="309">
        <v>4</v>
      </c>
      <c r="N5" s="10">
        <v>0.36363636363636365</v>
      </c>
    </row>
    <row r="6" spans="1:14" x14ac:dyDescent="0.35">
      <c r="A6" s="7">
        <v>2</v>
      </c>
      <c r="B6" s="103" t="s">
        <v>13</v>
      </c>
      <c r="C6" s="307">
        <v>52</v>
      </c>
      <c r="D6" s="307">
        <v>52</v>
      </c>
      <c r="E6" s="10">
        <v>1</v>
      </c>
      <c r="F6" s="305">
        <v>2587</v>
      </c>
      <c r="G6" s="305">
        <v>2561</v>
      </c>
      <c r="H6" s="10">
        <v>0.98994974874371855</v>
      </c>
      <c r="I6" s="305">
        <v>469</v>
      </c>
      <c r="J6" s="305">
        <v>442</v>
      </c>
      <c r="K6" s="10">
        <v>0.94243070362473347</v>
      </c>
      <c r="L6" s="309">
        <v>3108</v>
      </c>
      <c r="M6" s="309">
        <v>3055</v>
      </c>
      <c r="N6" s="10">
        <v>0.98294723294723296</v>
      </c>
    </row>
    <row r="7" spans="1:14" x14ac:dyDescent="0.35">
      <c r="A7" s="7">
        <v>3</v>
      </c>
      <c r="B7" s="103" t="s">
        <v>14</v>
      </c>
      <c r="C7" s="307">
        <v>11</v>
      </c>
      <c r="D7" s="307">
        <v>11</v>
      </c>
      <c r="E7" s="10">
        <v>1</v>
      </c>
      <c r="F7" s="305">
        <v>43</v>
      </c>
      <c r="G7" s="305">
        <v>43</v>
      </c>
      <c r="H7" s="10">
        <v>1</v>
      </c>
      <c r="I7" s="305">
        <v>23</v>
      </c>
      <c r="J7" s="305">
        <v>22</v>
      </c>
      <c r="K7" s="10">
        <v>0.95652173913043481</v>
      </c>
      <c r="L7" s="309">
        <v>77</v>
      </c>
      <c r="M7" s="309">
        <v>76</v>
      </c>
      <c r="N7" s="10">
        <v>0.98701298701298701</v>
      </c>
    </row>
    <row r="8" spans="1:14" x14ac:dyDescent="0.35">
      <c r="A8" s="7">
        <v>4</v>
      </c>
      <c r="B8" s="103" t="s">
        <v>15</v>
      </c>
      <c r="C8" s="307">
        <v>34</v>
      </c>
      <c r="D8" s="307">
        <v>34</v>
      </c>
      <c r="E8" s="10">
        <v>1</v>
      </c>
      <c r="F8" s="305">
        <v>673</v>
      </c>
      <c r="G8" s="305">
        <v>668</v>
      </c>
      <c r="H8" s="10">
        <v>0.99257057949479943</v>
      </c>
      <c r="I8" s="305">
        <v>168</v>
      </c>
      <c r="J8" s="305">
        <v>156</v>
      </c>
      <c r="K8" s="10">
        <v>0.9285714285714286</v>
      </c>
      <c r="L8" s="309">
        <v>875</v>
      </c>
      <c r="M8" s="309">
        <v>858</v>
      </c>
      <c r="N8" s="10">
        <v>0.98057142857142854</v>
      </c>
    </row>
    <row r="9" spans="1:14" x14ac:dyDescent="0.35">
      <c r="A9" s="7">
        <v>4</v>
      </c>
      <c r="B9" s="103" t="s">
        <v>16</v>
      </c>
      <c r="C9" s="307">
        <v>39</v>
      </c>
      <c r="D9" s="307">
        <v>39</v>
      </c>
      <c r="E9" s="10">
        <v>1</v>
      </c>
      <c r="F9" s="305">
        <v>1261</v>
      </c>
      <c r="G9" s="305">
        <v>1259</v>
      </c>
      <c r="H9" s="10">
        <v>0.99841395717684378</v>
      </c>
      <c r="I9" s="305">
        <v>362</v>
      </c>
      <c r="J9" s="305">
        <v>341</v>
      </c>
      <c r="K9" s="10">
        <v>0.94198895027624308</v>
      </c>
      <c r="L9" s="309">
        <v>1662</v>
      </c>
      <c r="M9" s="309">
        <v>1639</v>
      </c>
      <c r="N9" s="10">
        <v>0.98616125150421174</v>
      </c>
    </row>
    <row r="10" spans="1:14" x14ac:dyDescent="0.35">
      <c r="A10" s="7">
        <v>6</v>
      </c>
      <c r="B10" s="103" t="s">
        <v>17</v>
      </c>
      <c r="C10" s="307">
        <v>3</v>
      </c>
      <c r="D10" s="307">
        <v>3</v>
      </c>
      <c r="E10" s="10">
        <v>1</v>
      </c>
      <c r="F10" s="305">
        <v>25</v>
      </c>
      <c r="G10" s="305">
        <v>25</v>
      </c>
      <c r="H10" s="10">
        <v>1</v>
      </c>
      <c r="I10" s="305">
        <v>10</v>
      </c>
      <c r="J10" s="305">
        <v>10</v>
      </c>
      <c r="K10" s="10">
        <v>1</v>
      </c>
      <c r="L10" s="309">
        <v>38</v>
      </c>
      <c r="M10" s="309">
        <v>38</v>
      </c>
      <c r="N10" s="10">
        <v>1</v>
      </c>
    </row>
    <row r="11" spans="1:14" x14ac:dyDescent="0.35">
      <c r="A11" s="7">
        <v>7</v>
      </c>
      <c r="B11" s="103" t="s">
        <v>18</v>
      </c>
      <c r="C11" s="307">
        <v>36</v>
      </c>
      <c r="D11" s="307">
        <v>36</v>
      </c>
      <c r="E11" s="10">
        <v>1</v>
      </c>
      <c r="F11" s="305">
        <v>1039</v>
      </c>
      <c r="G11" s="305">
        <v>1036</v>
      </c>
      <c r="H11" s="10">
        <v>0.99711260827718962</v>
      </c>
      <c r="I11" s="305">
        <v>69</v>
      </c>
      <c r="J11" s="305">
        <v>69</v>
      </c>
      <c r="K11" s="10">
        <v>1</v>
      </c>
      <c r="L11" s="309">
        <v>1144</v>
      </c>
      <c r="M11" s="309">
        <v>1141</v>
      </c>
      <c r="N11" s="10">
        <v>0.9973776223776224</v>
      </c>
    </row>
    <row r="12" spans="1:14" x14ac:dyDescent="0.35">
      <c r="A12" s="7">
        <v>8</v>
      </c>
      <c r="B12" s="103" t="s">
        <v>19</v>
      </c>
      <c r="C12" s="307">
        <v>31</v>
      </c>
      <c r="D12" s="307">
        <v>30</v>
      </c>
      <c r="E12" s="10">
        <v>0.967741935483871</v>
      </c>
      <c r="F12" s="305">
        <v>194</v>
      </c>
      <c r="G12" s="305">
        <v>167</v>
      </c>
      <c r="H12" s="10">
        <f>G12/F12</f>
        <v>0.86082474226804129</v>
      </c>
      <c r="I12" s="305">
        <v>110</v>
      </c>
      <c r="J12" s="305">
        <v>81</v>
      </c>
      <c r="K12" s="10">
        <v>0.73636363636363633</v>
      </c>
      <c r="L12" s="309">
        <v>335</v>
      </c>
      <c r="M12" s="309">
        <v>278</v>
      </c>
      <c r="N12" s="10">
        <f>M12/L12</f>
        <v>0.82985074626865674</v>
      </c>
    </row>
    <row r="13" spans="1:14" x14ac:dyDescent="0.35">
      <c r="A13" s="7">
        <v>9</v>
      </c>
      <c r="B13" s="103" t="s">
        <v>20</v>
      </c>
      <c r="C13" s="307">
        <v>4</v>
      </c>
      <c r="D13" s="307">
        <v>4</v>
      </c>
      <c r="E13" s="10">
        <v>1</v>
      </c>
      <c r="F13" s="305">
        <v>66</v>
      </c>
      <c r="G13" s="305">
        <v>66</v>
      </c>
      <c r="H13" s="10">
        <v>1</v>
      </c>
      <c r="I13" s="305">
        <v>18</v>
      </c>
      <c r="J13" s="305">
        <v>18</v>
      </c>
      <c r="K13" s="10">
        <v>1</v>
      </c>
      <c r="L13" s="309">
        <v>88</v>
      </c>
      <c r="M13" s="309">
        <v>88</v>
      </c>
      <c r="N13" s="10">
        <v>1</v>
      </c>
    </row>
    <row r="14" spans="1:14" x14ac:dyDescent="0.35">
      <c r="A14" s="7">
        <v>10</v>
      </c>
      <c r="B14" s="103" t="s">
        <v>21</v>
      </c>
      <c r="C14" s="307">
        <v>107</v>
      </c>
      <c r="D14" s="307">
        <v>107</v>
      </c>
      <c r="E14" s="10">
        <v>1</v>
      </c>
      <c r="F14" s="305">
        <v>2521</v>
      </c>
      <c r="G14" s="305">
        <v>2521</v>
      </c>
      <c r="H14" s="10">
        <v>1</v>
      </c>
      <c r="I14" s="305">
        <v>385</v>
      </c>
      <c r="J14" s="305">
        <v>385</v>
      </c>
      <c r="K14" s="10">
        <v>1</v>
      </c>
      <c r="L14" s="309">
        <v>3013</v>
      </c>
      <c r="M14" s="309">
        <v>3013</v>
      </c>
      <c r="N14" s="10">
        <v>1</v>
      </c>
    </row>
    <row r="15" spans="1:14" x14ac:dyDescent="0.35">
      <c r="A15" s="7">
        <v>11</v>
      </c>
      <c r="B15" s="103" t="s">
        <v>22</v>
      </c>
      <c r="C15" s="307">
        <v>58</v>
      </c>
      <c r="D15" s="307">
        <v>58</v>
      </c>
      <c r="E15" s="10">
        <v>1</v>
      </c>
      <c r="F15" s="305">
        <v>1149</v>
      </c>
      <c r="G15" s="305">
        <v>1149</v>
      </c>
      <c r="H15" s="10">
        <v>1</v>
      </c>
      <c r="I15" s="305">
        <v>291</v>
      </c>
      <c r="J15" s="305">
        <v>291</v>
      </c>
      <c r="K15" s="10">
        <v>1</v>
      </c>
      <c r="L15" s="309">
        <v>1498</v>
      </c>
      <c r="M15" s="309">
        <v>1498</v>
      </c>
      <c r="N15" s="10">
        <v>1</v>
      </c>
    </row>
    <row r="16" spans="1:14" x14ac:dyDescent="0.35">
      <c r="A16" s="7">
        <v>12</v>
      </c>
      <c r="B16" s="103" t="s">
        <v>23</v>
      </c>
      <c r="C16" s="307">
        <v>29</v>
      </c>
      <c r="D16" s="307">
        <v>29</v>
      </c>
      <c r="E16" s="10">
        <v>1</v>
      </c>
      <c r="F16" s="305">
        <v>369</v>
      </c>
      <c r="G16" s="305">
        <v>346</v>
      </c>
      <c r="H16" s="10">
        <v>0.93766937669376693</v>
      </c>
      <c r="I16" s="305">
        <v>89</v>
      </c>
      <c r="J16" s="305">
        <v>74</v>
      </c>
      <c r="K16" s="10">
        <v>0.8314606741573034</v>
      </c>
      <c r="L16" s="309">
        <v>487</v>
      </c>
      <c r="M16" s="309">
        <v>449</v>
      </c>
      <c r="N16" s="10">
        <v>0.92197125256673507</v>
      </c>
    </row>
    <row r="17" spans="1:14" x14ac:dyDescent="0.35">
      <c r="A17" s="7">
        <v>13</v>
      </c>
      <c r="B17" s="103" t="s">
        <v>24</v>
      </c>
      <c r="C17" s="307">
        <v>16</v>
      </c>
      <c r="D17" s="307">
        <v>16</v>
      </c>
      <c r="E17" s="10">
        <v>1</v>
      </c>
      <c r="F17" s="305">
        <v>336</v>
      </c>
      <c r="G17" s="305">
        <v>335</v>
      </c>
      <c r="H17" s="10">
        <v>0.99702380952380953</v>
      </c>
      <c r="I17" s="305">
        <v>184</v>
      </c>
      <c r="J17" s="305">
        <v>152</v>
      </c>
      <c r="K17" s="10">
        <v>0.82608695652173914</v>
      </c>
      <c r="L17" s="309">
        <v>536</v>
      </c>
      <c r="M17" s="309">
        <v>503</v>
      </c>
      <c r="N17" s="10">
        <v>0.93843283582089554</v>
      </c>
    </row>
    <row r="18" spans="1:14" x14ac:dyDescent="0.35">
      <c r="A18" s="7">
        <v>14</v>
      </c>
      <c r="B18" s="103" t="s">
        <v>25</v>
      </c>
      <c r="C18" s="307">
        <v>38</v>
      </c>
      <c r="D18" s="307">
        <v>38</v>
      </c>
      <c r="E18" s="10">
        <v>1</v>
      </c>
      <c r="F18" s="305">
        <v>434</v>
      </c>
      <c r="G18" s="305">
        <v>434</v>
      </c>
      <c r="H18" s="10">
        <v>1</v>
      </c>
      <c r="I18" s="305">
        <v>313</v>
      </c>
      <c r="J18" s="305">
        <v>291</v>
      </c>
      <c r="K18" s="10">
        <v>0.92971246006389774</v>
      </c>
      <c r="L18" s="309">
        <v>785</v>
      </c>
      <c r="M18" s="309">
        <v>763</v>
      </c>
      <c r="N18" s="10">
        <v>0.97197452229299364</v>
      </c>
    </row>
    <row r="19" spans="1:14" x14ac:dyDescent="0.35">
      <c r="A19" s="7">
        <v>15</v>
      </c>
      <c r="B19" s="103" t="s">
        <v>26</v>
      </c>
      <c r="C19" s="307">
        <v>91</v>
      </c>
      <c r="D19" s="307">
        <v>90</v>
      </c>
      <c r="E19" s="10">
        <v>0.98901098901098905</v>
      </c>
      <c r="F19" s="305">
        <v>4529</v>
      </c>
      <c r="G19" s="305">
        <v>4280</v>
      </c>
      <c r="H19" s="10">
        <v>0.94502097593287704</v>
      </c>
      <c r="I19" s="305">
        <v>1825</v>
      </c>
      <c r="J19" s="305">
        <v>1215</v>
      </c>
      <c r="K19" s="10">
        <v>0.66575342465753429</v>
      </c>
      <c r="L19" s="309">
        <v>6445</v>
      </c>
      <c r="M19" s="309">
        <v>5585</v>
      </c>
      <c r="N19" s="10">
        <v>0.86656322730799074</v>
      </c>
    </row>
    <row r="20" spans="1:14" x14ac:dyDescent="0.35">
      <c r="A20" s="7">
        <v>16</v>
      </c>
      <c r="B20" s="103" t="s">
        <v>27</v>
      </c>
      <c r="C20" s="307">
        <v>25</v>
      </c>
      <c r="D20" s="307">
        <v>25</v>
      </c>
      <c r="E20" s="10">
        <v>1</v>
      </c>
      <c r="F20" s="305">
        <v>1564</v>
      </c>
      <c r="G20" s="305">
        <v>1450</v>
      </c>
      <c r="H20" s="10">
        <v>0.92710997442455245</v>
      </c>
      <c r="I20" s="305">
        <v>501</v>
      </c>
      <c r="J20" s="305">
        <v>443</v>
      </c>
      <c r="K20" s="10">
        <v>0.88423153692614775</v>
      </c>
      <c r="L20" s="309">
        <v>2090</v>
      </c>
      <c r="M20" s="309">
        <v>1918</v>
      </c>
      <c r="N20" s="10">
        <v>0.91770334928229669</v>
      </c>
    </row>
    <row r="21" spans="1:14" x14ac:dyDescent="0.35">
      <c r="A21" s="7">
        <v>17</v>
      </c>
      <c r="B21" s="103" t="s">
        <v>28</v>
      </c>
      <c r="C21" s="307">
        <v>3</v>
      </c>
      <c r="D21" s="307">
        <v>2</v>
      </c>
      <c r="E21" s="10">
        <v>0.66666666666666663</v>
      </c>
      <c r="F21" s="305">
        <v>7</v>
      </c>
      <c r="G21" s="305">
        <v>6</v>
      </c>
      <c r="H21" s="10">
        <v>0.8571428571428571</v>
      </c>
      <c r="I21" s="305">
        <v>8</v>
      </c>
      <c r="J21" s="305">
        <v>8</v>
      </c>
      <c r="K21" s="10">
        <v>1</v>
      </c>
      <c r="L21" s="309">
        <v>18</v>
      </c>
      <c r="M21" s="309">
        <v>16</v>
      </c>
      <c r="N21" s="10">
        <v>0.88888888888888884</v>
      </c>
    </row>
    <row r="22" spans="1:14" x14ac:dyDescent="0.35">
      <c r="A22" s="7">
        <v>18</v>
      </c>
      <c r="B22" s="103" t="s">
        <v>57</v>
      </c>
      <c r="C22" s="307"/>
      <c r="D22" s="307"/>
      <c r="E22" s="10"/>
      <c r="F22" s="305">
        <v>5</v>
      </c>
      <c r="G22" s="305">
        <v>5</v>
      </c>
      <c r="H22" s="10">
        <v>1</v>
      </c>
      <c r="I22" s="305"/>
      <c r="J22" s="305"/>
      <c r="K22" s="10"/>
      <c r="L22" s="309">
        <v>5</v>
      </c>
      <c r="M22" s="309">
        <v>5</v>
      </c>
      <c r="N22" s="10">
        <v>1</v>
      </c>
    </row>
    <row r="23" spans="1:14" x14ac:dyDescent="0.35">
      <c r="A23" s="7">
        <v>19</v>
      </c>
      <c r="B23" s="103" t="s">
        <v>29</v>
      </c>
      <c r="C23" s="307">
        <v>89</v>
      </c>
      <c r="D23" s="307">
        <v>89</v>
      </c>
      <c r="E23" s="10">
        <v>1</v>
      </c>
      <c r="F23" s="305">
        <v>2713</v>
      </c>
      <c r="G23" s="305">
        <v>2659</v>
      </c>
      <c r="H23" s="10">
        <v>0.98009583486914853</v>
      </c>
      <c r="I23" s="305">
        <v>440</v>
      </c>
      <c r="J23" s="305">
        <v>326</v>
      </c>
      <c r="K23" s="10">
        <v>0.74090909090909096</v>
      </c>
      <c r="L23" s="309">
        <v>3242</v>
      </c>
      <c r="M23" s="309">
        <v>3074</v>
      </c>
      <c r="N23" s="10">
        <v>0.9481801357186922</v>
      </c>
    </row>
    <row r="24" spans="1:14" x14ac:dyDescent="0.35">
      <c r="A24" s="7">
        <v>20</v>
      </c>
      <c r="B24" s="103" t="s">
        <v>30</v>
      </c>
      <c r="C24" s="307">
        <v>87</v>
      </c>
      <c r="D24" s="307">
        <v>85</v>
      </c>
      <c r="E24" s="10">
        <v>0.97701149425287359</v>
      </c>
      <c r="F24" s="305">
        <v>5380</v>
      </c>
      <c r="G24" s="305">
        <v>5301</v>
      </c>
      <c r="H24" s="10">
        <v>0.98531598513011154</v>
      </c>
      <c r="I24" s="305">
        <v>2426</v>
      </c>
      <c r="J24" s="305">
        <v>2021</v>
      </c>
      <c r="K24" s="10">
        <v>0.83305853256389117</v>
      </c>
      <c r="L24" s="309">
        <v>7893</v>
      </c>
      <c r="M24" s="309">
        <v>7407</v>
      </c>
      <c r="N24" s="10">
        <v>0.93842645381984036</v>
      </c>
    </row>
    <row r="25" spans="1:14" x14ac:dyDescent="0.35">
      <c r="A25" s="7">
        <v>21</v>
      </c>
      <c r="B25" s="103" t="s">
        <v>31</v>
      </c>
      <c r="C25" s="307">
        <v>12</v>
      </c>
      <c r="D25" s="307">
        <v>12</v>
      </c>
      <c r="E25" s="10">
        <v>1</v>
      </c>
      <c r="F25" s="305">
        <v>116</v>
      </c>
      <c r="G25" s="305">
        <v>116</v>
      </c>
      <c r="H25" s="10">
        <v>1</v>
      </c>
      <c r="I25" s="305">
        <v>38</v>
      </c>
      <c r="J25" s="305">
        <v>36</v>
      </c>
      <c r="K25" s="10">
        <v>0.94736842105263153</v>
      </c>
      <c r="L25" s="309">
        <v>166</v>
      </c>
      <c r="M25" s="309">
        <v>164</v>
      </c>
      <c r="N25" s="10">
        <v>0.98795180722891562</v>
      </c>
    </row>
    <row r="26" spans="1:14" x14ac:dyDescent="0.35">
      <c r="A26" s="7">
        <v>22</v>
      </c>
      <c r="B26" s="103" t="s">
        <v>32</v>
      </c>
      <c r="C26" s="307">
        <v>12</v>
      </c>
      <c r="D26" s="307">
        <v>11</v>
      </c>
      <c r="E26" s="10">
        <v>0.91666666666666663</v>
      </c>
      <c r="F26" s="305">
        <v>81</v>
      </c>
      <c r="G26" s="305">
        <v>78</v>
      </c>
      <c r="H26" s="10">
        <v>0.96296296296296291</v>
      </c>
      <c r="I26" s="305">
        <v>25</v>
      </c>
      <c r="J26" s="305">
        <v>23</v>
      </c>
      <c r="K26" s="10">
        <v>0.92</v>
      </c>
      <c r="L26" s="309">
        <v>118</v>
      </c>
      <c r="M26" s="309">
        <v>112</v>
      </c>
      <c r="N26" s="10">
        <v>0.94915254237288138</v>
      </c>
    </row>
    <row r="27" spans="1:14" x14ac:dyDescent="0.35">
      <c r="A27" s="7">
        <v>23</v>
      </c>
      <c r="B27" s="103" t="s">
        <v>33</v>
      </c>
      <c r="C27" s="307">
        <v>3</v>
      </c>
      <c r="D27" s="307">
        <v>3</v>
      </c>
      <c r="E27" s="10">
        <v>1</v>
      </c>
      <c r="F27" s="305">
        <v>40</v>
      </c>
      <c r="G27" s="305">
        <v>40</v>
      </c>
      <c r="H27" s="10">
        <v>1</v>
      </c>
      <c r="I27" s="305">
        <v>72</v>
      </c>
      <c r="J27" s="305">
        <v>72</v>
      </c>
      <c r="K27" s="10">
        <v>1</v>
      </c>
      <c r="L27" s="309">
        <v>115</v>
      </c>
      <c r="M27" s="309">
        <v>115</v>
      </c>
      <c r="N27" s="10">
        <v>1</v>
      </c>
    </row>
    <row r="28" spans="1:14" x14ac:dyDescent="0.35">
      <c r="A28" s="7">
        <v>24</v>
      </c>
      <c r="B28" s="103" t="s">
        <v>34</v>
      </c>
      <c r="C28" s="307">
        <v>6</v>
      </c>
      <c r="D28" s="307">
        <v>6</v>
      </c>
      <c r="E28" s="10">
        <v>1</v>
      </c>
      <c r="F28" s="305">
        <v>73</v>
      </c>
      <c r="G28" s="305">
        <v>73</v>
      </c>
      <c r="H28" s="10">
        <v>1</v>
      </c>
      <c r="I28" s="305">
        <v>25</v>
      </c>
      <c r="J28" s="305">
        <v>25</v>
      </c>
      <c r="K28" s="10">
        <v>1</v>
      </c>
      <c r="L28" s="309">
        <v>104</v>
      </c>
      <c r="M28" s="309">
        <v>104</v>
      </c>
      <c r="N28" s="10">
        <v>1</v>
      </c>
    </row>
    <row r="29" spans="1:14" x14ac:dyDescent="0.35">
      <c r="A29" s="7">
        <v>25</v>
      </c>
      <c r="B29" s="103" t="s">
        <v>35</v>
      </c>
      <c r="C29" s="307">
        <v>44</v>
      </c>
      <c r="D29" s="307">
        <v>44</v>
      </c>
      <c r="E29" s="10">
        <v>1</v>
      </c>
      <c r="F29" s="305">
        <v>1524</v>
      </c>
      <c r="G29" s="305">
        <v>1524</v>
      </c>
      <c r="H29" s="10">
        <v>1</v>
      </c>
      <c r="I29" s="305">
        <v>636</v>
      </c>
      <c r="J29" s="305">
        <v>636</v>
      </c>
      <c r="K29" s="10">
        <v>1</v>
      </c>
      <c r="L29" s="309">
        <v>2204</v>
      </c>
      <c r="M29" s="309">
        <v>2204</v>
      </c>
      <c r="N29" s="10">
        <v>1</v>
      </c>
    </row>
    <row r="30" spans="1:14" x14ac:dyDescent="0.35">
      <c r="A30" s="7">
        <v>26</v>
      </c>
      <c r="B30" s="103" t="s">
        <v>36</v>
      </c>
      <c r="C30" s="307">
        <v>5</v>
      </c>
      <c r="D30" s="307">
        <v>5</v>
      </c>
      <c r="E30" s="10">
        <v>1</v>
      </c>
      <c r="F30" s="305">
        <v>93</v>
      </c>
      <c r="G30" s="305">
        <v>78</v>
      </c>
      <c r="H30" s="10">
        <v>0.83870967741935487</v>
      </c>
      <c r="I30" s="305">
        <v>12</v>
      </c>
      <c r="J30" s="305">
        <v>10</v>
      </c>
      <c r="K30" s="10">
        <v>0.83333333333333337</v>
      </c>
      <c r="L30" s="309">
        <v>110</v>
      </c>
      <c r="M30" s="309">
        <v>93</v>
      </c>
      <c r="N30" s="10">
        <v>0.84545454545454546</v>
      </c>
    </row>
    <row r="31" spans="1:14" x14ac:dyDescent="0.35">
      <c r="A31" s="7">
        <v>27</v>
      </c>
      <c r="B31" s="103" t="s">
        <v>37</v>
      </c>
      <c r="C31" s="307">
        <v>40</v>
      </c>
      <c r="D31" s="307">
        <v>40</v>
      </c>
      <c r="E31" s="10">
        <v>1</v>
      </c>
      <c r="F31" s="305">
        <v>1051</v>
      </c>
      <c r="G31" s="305">
        <v>1051</v>
      </c>
      <c r="H31" s="10">
        <v>1</v>
      </c>
      <c r="I31" s="305">
        <v>311</v>
      </c>
      <c r="J31" s="305">
        <v>311</v>
      </c>
      <c r="K31" s="10">
        <v>1</v>
      </c>
      <c r="L31" s="309">
        <v>1402</v>
      </c>
      <c r="M31" s="309">
        <v>1402</v>
      </c>
      <c r="N31" s="10">
        <v>1</v>
      </c>
    </row>
    <row r="32" spans="1:14" x14ac:dyDescent="0.35">
      <c r="A32" s="7">
        <v>28</v>
      </c>
      <c r="B32" s="103" t="s">
        <v>38</v>
      </c>
      <c r="C32" s="307">
        <v>93</v>
      </c>
      <c r="D32" s="307">
        <v>92</v>
      </c>
      <c r="E32" s="10">
        <v>0.989247311827957</v>
      </c>
      <c r="F32" s="305">
        <v>4344</v>
      </c>
      <c r="G32" s="305">
        <v>4130</v>
      </c>
      <c r="H32" s="10">
        <v>0.95073664825046045</v>
      </c>
      <c r="I32" s="305">
        <v>791</v>
      </c>
      <c r="J32" s="305">
        <v>613</v>
      </c>
      <c r="K32" s="10">
        <v>0.77496839443742094</v>
      </c>
      <c r="L32" s="309">
        <v>5228</v>
      </c>
      <c r="M32" s="309">
        <v>4835</v>
      </c>
      <c r="N32" s="10">
        <v>0.92482785003825552</v>
      </c>
    </row>
    <row r="33" spans="1:14" x14ac:dyDescent="0.35">
      <c r="A33" s="7">
        <v>29</v>
      </c>
      <c r="B33" s="103" t="s">
        <v>39</v>
      </c>
      <c r="C33" s="307">
        <v>11</v>
      </c>
      <c r="D33" s="307">
        <v>10</v>
      </c>
      <c r="E33" s="10">
        <v>0.90909090909090906</v>
      </c>
      <c r="F33" s="305">
        <v>22</v>
      </c>
      <c r="G33" s="305">
        <v>22</v>
      </c>
      <c r="H33" s="10">
        <v>1</v>
      </c>
      <c r="I33" s="305">
        <v>8</v>
      </c>
      <c r="J33" s="305">
        <v>8</v>
      </c>
      <c r="K33" s="10">
        <v>1</v>
      </c>
      <c r="L33" s="309">
        <v>41</v>
      </c>
      <c r="M33" s="309">
        <v>40</v>
      </c>
      <c r="N33" s="10">
        <v>0.97560975609756095</v>
      </c>
    </row>
    <row r="34" spans="1:14" x14ac:dyDescent="0.35">
      <c r="A34" s="7">
        <v>30</v>
      </c>
      <c r="B34" s="103" t="s">
        <v>40</v>
      </c>
      <c r="C34" s="307">
        <v>65</v>
      </c>
      <c r="D34" s="307">
        <v>65</v>
      </c>
      <c r="E34" s="10">
        <v>1</v>
      </c>
      <c r="F34" s="305">
        <v>2983</v>
      </c>
      <c r="G34" s="305">
        <v>2933</v>
      </c>
      <c r="H34" s="10">
        <v>0.98323835065370435</v>
      </c>
      <c r="I34" s="305">
        <v>888</v>
      </c>
      <c r="J34" s="305">
        <v>698</v>
      </c>
      <c r="K34" s="10">
        <v>0.786036036036036</v>
      </c>
      <c r="L34" s="309">
        <v>3936</v>
      </c>
      <c r="M34" s="309">
        <v>3696</v>
      </c>
      <c r="N34" s="10">
        <v>0.93902439024390238</v>
      </c>
    </row>
    <row r="35" spans="1:14" x14ac:dyDescent="0.35">
      <c r="A35" s="7">
        <v>31</v>
      </c>
      <c r="B35" s="103" t="s">
        <v>41</v>
      </c>
      <c r="C35" s="307">
        <v>33</v>
      </c>
      <c r="D35" s="307">
        <v>31</v>
      </c>
      <c r="E35" s="10">
        <v>0.93939393939393945</v>
      </c>
      <c r="F35" s="305">
        <v>2160</v>
      </c>
      <c r="G35" s="305">
        <v>1780</v>
      </c>
      <c r="H35" s="10">
        <v>0.82407407407407407</v>
      </c>
      <c r="I35" s="305">
        <v>471</v>
      </c>
      <c r="J35" s="305">
        <v>257</v>
      </c>
      <c r="K35" s="10">
        <v>0.54564755838641188</v>
      </c>
      <c r="L35" s="309">
        <v>2664</v>
      </c>
      <c r="M35" s="309">
        <v>2068</v>
      </c>
      <c r="N35" s="10">
        <v>0.77627627627627627</v>
      </c>
    </row>
    <row r="36" spans="1:14" ht="30" x14ac:dyDescent="0.35">
      <c r="A36" s="7">
        <v>32</v>
      </c>
      <c r="B36" s="103" t="s">
        <v>58</v>
      </c>
      <c r="C36" s="307"/>
      <c r="D36" s="307"/>
      <c r="E36" s="10"/>
      <c r="F36" s="305">
        <v>18</v>
      </c>
      <c r="G36" s="305">
        <v>18</v>
      </c>
      <c r="H36" s="10">
        <v>1</v>
      </c>
      <c r="I36" s="305">
        <v>2</v>
      </c>
      <c r="J36" s="305">
        <v>2</v>
      </c>
      <c r="K36" s="10">
        <v>1</v>
      </c>
      <c r="L36" s="309">
        <v>20</v>
      </c>
      <c r="M36" s="309">
        <v>20</v>
      </c>
      <c r="N36" s="10">
        <v>1</v>
      </c>
    </row>
    <row r="37" spans="1:14" x14ac:dyDescent="0.35">
      <c r="A37" s="7">
        <v>33</v>
      </c>
      <c r="B37" s="103" t="s">
        <v>42</v>
      </c>
      <c r="C37" s="307">
        <v>9</v>
      </c>
      <c r="D37" s="307">
        <v>9</v>
      </c>
      <c r="E37" s="10">
        <v>1</v>
      </c>
      <c r="F37" s="305">
        <v>61</v>
      </c>
      <c r="G37" s="305">
        <v>61</v>
      </c>
      <c r="H37" s="10">
        <v>1</v>
      </c>
      <c r="I37" s="305">
        <v>18</v>
      </c>
      <c r="J37" s="305">
        <v>18</v>
      </c>
      <c r="K37" s="10">
        <v>1</v>
      </c>
      <c r="L37" s="309">
        <v>88</v>
      </c>
      <c r="M37" s="309">
        <v>88</v>
      </c>
      <c r="N37" s="10">
        <v>1</v>
      </c>
    </row>
    <row r="38" spans="1:14" x14ac:dyDescent="0.35">
      <c r="A38" s="7">
        <v>34</v>
      </c>
      <c r="B38" s="103" t="s">
        <v>43</v>
      </c>
      <c r="C38" s="307">
        <v>103</v>
      </c>
      <c r="D38" s="307">
        <v>103</v>
      </c>
      <c r="E38" s="10">
        <v>1</v>
      </c>
      <c r="F38" s="305">
        <v>8625</v>
      </c>
      <c r="G38" s="305">
        <v>8292</v>
      </c>
      <c r="H38" s="10">
        <v>0.96139130434782605</v>
      </c>
      <c r="I38" s="305">
        <v>3264</v>
      </c>
      <c r="J38" s="305">
        <v>1890</v>
      </c>
      <c r="K38" s="10">
        <v>0.57904411764705888</v>
      </c>
      <c r="L38" s="309">
        <v>11992</v>
      </c>
      <c r="M38" s="309">
        <v>10285</v>
      </c>
      <c r="N38" s="10">
        <v>0.85765510340226814</v>
      </c>
    </row>
    <row r="39" spans="1:14" x14ac:dyDescent="0.35">
      <c r="A39" s="7">
        <v>35</v>
      </c>
      <c r="B39" s="103" t="s">
        <v>44</v>
      </c>
      <c r="C39" s="307">
        <v>41</v>
      </c>
      <c r="D39" s="307">
        <v>40</v>
      </c>
      <c r="E39" s="10">
        <v>0.97560975609756095</v>
      </c>
      <c r="F39" s="305">
        <v>563</v>
      </c>
      <c r="G39" s="305">
        <v>382</v>
      </c>
      <c r="H39" s="10">
        <v>0.67850799289520425</v>
      </c>
      <c r="I39" s="305">
        <v>179</v>
      </c>
      <c r="J39" s="305">
        <v>146</v>
      </c>
      <c r="K39" s="10">
        <v>0.81564245810055869</v>
      </c>
      <c r="L39" s="309">
        <v>783</v>
      </c>
      <c r="M39" s="309">
        <v>568</v>
      </c>
      <c r="N39" s="10">
        <v>0.7254150702426565</v>
      </c>
    </row>
    <row r="40" spans="1:14" x14ac:dyDescent="0.35">
      <c r="A40" s="7">
        <v>36</v>
      </c>
      <c r="B40" s="103" t="s">
        <v>45</v>
      </c>
      <c r="C40" s="307">
        <v>59</v>
      </c>
      <c r="D40" s="307">
        <v>59</v>
      </c>
      <c r="E40" s="10">
        <v>1</v>
      </c>
      <c r="F40" s="305">
        <v>1588</v>
      </c>
      <c r="G40" s="305">
        <v>1576</v>
      </c>
      <c r="H40" s="10">
        <v>0.99244332493702769</v>
      </c>
      <c r="I40" s="305">
        <v>788</v>
      </c>
      <c r="J40" s="305">
        <v>696</v>
      </c>
      <c r="K40" s="10">
        <v>0.88324873096446699</v>
      </c>
      <c r="L40" s="309">
        <v>2435</v>
      </c>
      <c r="M40" s="309">
        <v>2331</v>
      </c>
      <c r="N40" s="10">
        <v>0.95728952772073928</v>
      </c>
    </row>
    <row r="41" spans="1:14" s="205" customFormat="1" ht="15" x14ac:dyDescent="0.3">
      <c r="A41" s="663" t="s">
        <v>1046</v>
      </c>
      <c r="B41" s="663"/>
      <c r="C41" s="308">
        <v>1289</v>
      </c>
      <c r="D41" s="308">
        <v>1278</v>
      </c>
      <c r="E41" s="647">
        <v>0.99146625290923196</v>
      </c>
      <c r="F41" s="308">
        <v>48246</v>
      </c>
      <c r="G41" s="308">
        <v>46468</v>
      </c>
      <c r="H41" s="647">
        <f>G41/F41</f>
        <v>0.96314720391327779</v>
      </c>
      <c r="I41" s="308">
        <v>15221</v>
      </c>
      <c r="J41" s="308">
        <v>11787</v>
      </c>
      <c r="K41" s="647">
        <v>0.77439064450430328</v>
      </c>
      <c r="L41" s="310">
        <v>64756</v>
      </c>
      <c r="M41" s="310">
        <v>59533</v>
      </c>
      <c r="N41" s="647">
        <f>M41/L41</f>
        <v>0.91934338130829574</v>
      </c>
    </row>
    <row r="42" spans="1:14" s="11" customFormat="1" ht="13" x14ac:dyDescent="0.3">
      <c r="A42" s="664" t="s">
        <v>59</v>
      </c>
      <c r="B42" s="664"/>
      <c r="C42" s="664"/>
      <c r="D42" s="664"/>
      <c r="E42" s="664"/>
      <c r="F42" s="664"/>
      <c r="G42" s="664"/>
      <c r="H42" s="664"/>
      <c r="I42" s="664"/>
      <c r="J42" s="664"/>
      <c r="K42" s="664"/>
      <c r="L42" s="664"/>
      <c r="M42" s="664"/>
      <c r="N42" s="664"/>
    </row>
  </sheetData>
  <mergeCells count="9">
    <mergeCell ref="A1:N1"/>
    <mergeCell ref="A41:B41"/>
    <mergeCell ref="A42:N42"/>
    <mergeCell ref="A2:A3"/>
    <mergeCell ref="B2:B3"/>
    <mergeCell ref="C2:E2"/>
    <mergeCell ref="F2:H2"/>
    <mergeCell ref="I2:K2"/>
    <mergeCell ref="L2:N2"/>
  </mergeCells>
  <pageMargins left="0.47244094488188981" right="0.19685039370078741" top="0.39370078740157483" bottom="0.39370078740157483" header="0.31496062992125984" footer="0.19685039370078741"/>
  <pageSetup paperSize="9" scale="62" orientation="portrait" r:id="rId1"/>
  <headerFooter>
    <oddFooter>&amp;L&amp;"Arial,Italic"&amp;9AISHE 2023-24&amp;RT-1a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7F0B-E228-411B-9BE3-B227FEDC06FD}">
  <dimension ref="A1:T38"/>
  <sheetViews>
    <sheetView showZeros="0" view="pageBreakPreview" topLeftCell="L1" zoomScaleNormal="80" zoomScaleSheetLayoutView="100" workbookViewId="0">
      <pane ySplit="2" topLeftCell="A32" activePane="bottomLeft" state="frozen"/>
      <selection activeCell="B16" sqref="B16:M16"/>
      <selection pane="bottomLeft" activeCell="B16" sqref="B16:M16"/>
    </sheetView>
  </sheetViews>
  <sheetFormatPr defaultColWidth="9.453125" defaultRowHeight="15.5" x14ac:dyDescent="0.35"/>
  <cols>
    <col min="1" max="1" width="7.26953125" style="14" bestFit="1" customWidth="1"/>
    <col min="2" max="2" width="19.1796875" style="5" customWidth="1"/>
    <col min="3" max="20" width="9.7265625" style="5" customWidth="1"/>
    <col min="21" max="16384" width="9.453125" style="5"/>
  </cols>
  <sheetData>
    <row r="1" spans="1:20" ht="42" customHeight="1" x14ac:dyDescent="0.35">
      <c r="A1" s="669" t="s">
        <v>60</v>
      </c>
      <c r="B1" s="669"/>
      <c r="C1" s="667" t="s">
        <v>920</v>
      </c>
      <c r="D1" s="667"/>
      <c r="E1" s="667"/>
      <c r="F1" s="667"/>
      <c r="G1" s="667"/>
      <c r="H1" s="667"/>
      <c r="I1" s="667"/>
      <c r="J1" s="667"/>
      <c r="K1" s="667"/>
      <c r="L1" s="667" t="str">
        <f>C1</f>
        <v>States/UTs &amp; Specialisation-wise Number of Universities
(Based on Actual Response)</v>
      </c>
      <c r="M1" s="667"/>
      <c r="N1" s="667"/>
      <c r="O1" s="667"/>
      <c r="P1" s="667"/>
      <c r="Q1" s="667"/>
      <c r="R1" s="667"/>
      <c r="S1" s="667"/>
      <c r="T1" s="667"/>
    </row>
    <row r="2" spans="1:20" ht="126" customHeight="1" x14ac:dyDescent="0.35">
      <c r="A2" s="101" t="s">
        <v>48</v>
      </c>
      <c r="B2" s="12" t="s">
        <v>885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3" t="s">
        <v>68</v>
      </c>
      <c r="K2" s="3" t="s">
        <v>69</v>
      </c>
      <c r="L2" s="3" t="s">
        <v>70</v>
      </c>
      <c r="M2" s="3" t="s">
        <v>71</v>
      </c>
      <c r="N2" s="3" t="s">
        <v>72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77</v>
      </c>
      <c r="T2" s="3" t="s">
        <v>12</v>
      </c>
    </row>
    <row r="3" spans="1:20" s="372" customFormat="1" ht="11.5" x14ac:dyDescent="0.25">
      <c r="A3" s="371">
        <v>1</v>
      </c>
      <c r="B3" s="371">
        <v>2</v>
      </c>
      <c r="C3" s="371">
        <v>3</v>
      </c>
      <c r="D3" s="371">
        <v>4</v>
      </c>
      <c r="E3" s="371">
        <v>5</v>
      </c>
      <c r="F3" s="371">
        <v>6</v>
      </c>
      <c r="G3" s="371">
        <v>7</v>
      </c>
      <c r="H3" s="371">
        <v>8</v>
      </c>
      <c r="I3" s="371">
        <v>9</v>
      </c>
      <c r="J3" s="371">
        <v>10</v>
      </c>
      <c r="K3" s="371">
        <v>11</v>
      </c>
      <c r="L3" s="371">
        <v>12</v>
      </c>
      <c r="M3" s="371">
        <v>13</v>
      </c>
      <c r="N3" s="371">
        <v>14</v>
      </c>
      <c r="O3" s="371">
        <v>15</v>
      </c>
      <c r="P3" s="371">
        <v>16</v>
      </c>
      <c r="Q3" s="371">
        <v>17</v>
      </c>
      <c r="R3" s="371">
        <v>18</v>
      </c>
      <c r="S3" s="371">
        <v>19</v>
      </c>
      <c r="T3" s="371">
        <v>20</v>
      </c>
    </row>
    <row r="4" spans="1:20" ht="22.5" customHeight="1" x14ac:dyDescent="0.35">
      <c r="A4" s="7">
        <v>1</v>
      </c>
      <c r="B4" s="329" t="s">
        <v>13</v>
      </c>
      <c r="C4" s="13">
        <v>24</v>
      </c>
      <c r="D4" s="13">
        <v>2</v>
      </c>
      <c r="E4" s="13">
        <v>1</v>
      </c>
      <c r="F4" s="13">
        <v>0</v>
      </c>
      <c r="G4" s="13">
        <v>1</v>
      </c>
      <c r="H4" s="13">
        <v>1</v>
      </c>
      <c r="I4" s="13">
        <v>3</v>
      </c>
      <c r="J4" s="13">
        <v>1</v>
      </c>
      <c r="K4" s="13">
        <v>1</v>
      </c>
      <c r="L4" s="13">
        <v>3</v>
      </c>
      <c r="M4" s="13">
        <v>0</v>
      </c>
      <c r="N4" s="13">
        <v>2</v>
      </c>
      <c r="O4" s="13">
        <v>0</v>
      </c>
      <c r="P4" s="13">
        <v>0</v>
      </c>
      <c r="Q4" s="13">
        <v>12</v>
      </c>
      <c r="R4" s="13">
        <v>1</v>
      </c>
      <c r="S4" s="13">
        <v>0</v>
      </c>
      <c r="T4" s="13">
        <v>52</v>
      </c>
    </row>
    <row r="5" spans="1:20" ht="22.5" customHeight="1" x14ac:dyDescent="0.35">
      <c r="A5" s="7">
        <v>2</v>
      </c>
      <c r="B5" s="329" t="s">
        <v>14</v>
      </c>
      <c r="C5" s="13">
        <v>9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2</v>
      </c>
      <c r="R5" s="13">
        <v>0</v>
      </c>
      <c r="S5" s="13">
        <v>0</v>
      </c>
      <c r="T5" s="13">
        <v>11</v>
      </c>
    </row>
    <row r="6" spans="1:20" ht="22.5" customHeight="1" x14ac:dyDescent="0.35">
      <c r="A6" s="7">
        <v>3</v>
      </c>
      <c r="B6" s="329" t="s">
        <v>15</v>
      </c>
      <c r="C6" s="13">
        <v>19</v>
      </c>
      <c r="D6" s="13">
        <v>1</v>
      </c>
      <c r="E6" s="13">
        <v>1</v>
      </c>
      <c r="F6" s="13">
        <v>0</v>
      </c>
      <c r="G6" s="13">
        <v>0</v>
      </c>
      <c r="H6" s="13">
        <v>0</v>
      </c>
      <c r="I6" s="13">
        <v>1</v>
      </c>
      <c r="J6" s="13">
        <v>1</v>
      </c>
      <c r="K6" s="13">
        <v>0</v>
      </c>
      <c r="L6" s="13">
        <v>3</v>
      </c>
      <c r="M6" s="13">
        <v>0</v>
      </c>
      <c r="N6" s="13">
        <v>0</v>
      </c>
      <c r="O6" s="13">
        <v>1</v>
      </c>
      <c r="P6" s="13">
        <v>1</v>
      </c>
      <c r="Q6" s="13">
        <v>5</v>
      </c>
      <c r="R6" s="13">
        <v>0</v>
      </c>
      <c r="S6" s="13">
        <v>1</v>
      </c>
      <c r="T6" s="13">
        <v>34</v>
      </c>
    </row>
    <row r="7" spans="1:20" ht="22.5" customHeight="1" x14ac:dyDescent="0.35">
      <c r="A7" s="7">
        <v>4</v>
      </c>
      <c r="B7" s="329" t="s">
        <v>16</v>
      </c>
      <c r="C7" s="13">
        <v>26</v>
      </c>
      <c r="D7" s="13">
        <v>2</v>
      </c>
      <c r="E7" s="13">
        <v>0</v>
      </c>
      <c r="F7" s="13">
        <v>0</v>
      </c>
      <c r="G7" s="13">
        <v>0</v>
      </c>
      <c r="H7" s="13">
        <v>0</v>
      </c>
      <c r="I7" s="13">
        <v>1</v>
      </c>
      <c r="J7" s="13">
        <v>1</v>
      </c>
      <c r="K7" s="13">
        <v>1</v>
      </c>
      <c r="L7" s="13">
        <v>4</v>
      </c>
      <c r="M7" s="13">
        <v>0</v>
      </c>
      <c r="N7" s="13">
        <v>0</v>
      </c>
      <c r="O7" s="13">
        <v>0</v>
      </c>
      <c r="P7" s="13">
        <v>0</v>
      </c>
      <c r="Q7" s="13">
        <v>3</v>
      </c>
      <c r="R7" s="13">
        <v>1</v>
      </c>
      <c r="S7" s="13">
        <v>0</v>
      </c>
      <c r="T7" s="13">
        <v>39</v>
      </c>
    </row>
    <row r="8" spans="1:20" ht="22.5" customHeight="1" x14ac:dyDescent="0.35">
      <c r="A8" s="7">
        <v>5</v>
      </c>
      <c r="B8" s="329" t="s">
        <v>17</v>
      </c>
      <c r="C8" s="13">
        <v>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1</v>
      </c>
      <c r="M8" s="13">
        <v>0</v>
      </c>
      <c r="N8" s="13">
        <v>0</v>
      </c>
      <c r="O8" s="13">
        <v>0</v>
      </c>
      <c r="P8" s="13">
        <v>0</v>
      </c>
      <c r="Q8" s="13">
        <v>1</v>
      </c>
      <c r="R8" s="13">
        <v>0</v>
      </c>
      <c r="S8" s="13">
        <v>0</v>
      </c>
      <c r="T8" s="13">
        <v>3</v>
      </c>
    </row>
    <row r="9" spans="1:20" ht="22.5" customHeight="1" x14ac:dyDescent="0.35">
      <c r="A9" s="7">
        <v>6</v>
      </c>
      <c r="B9" s="329" t="s">
        <v>18</v>
      </c>
      <c r="C9" s="13">
        <v>26</v>
      </c>
      <c r="D9" s="13">
        <v>0</v>
      </c>
      <c r="E9" s="13">
        <v>0</v>
      </c>
      <c r="F9" s="13">
        <v>0</v>
      </c>
      <c r="G9" s="13">
        <v>1</v>
      </c>
      <c r="H9" s="13">
        <v>0</v>
      </c>
      <c r="I9" s="13">
        <v>0</v>
      </c>
      <c r="J9" s="13">
        <v>1</v>
      </c>
      <c r="K9" s="13">
        <v>1</v>
      </c>
      <c r="L9" s="13">
        <v>2</v>
      </c>
      <c r="M9" s="13">
        <v>0</v>
      </c>
      <c r="N9" s="13">
        <v>0</v>
      </c>
      <c r="O9" s="13">
        <v>0</v>
      </c>
      <c r="P9" s="13">
        <v>0</v>
      </c>
      <c r="Q9" s="13">
        <v>5</v>
      </c>
      <c r="R9" s="13">
        <v>0</v>
      </c>
      <c r="S9" s="13">
        <v>0</v>
      </c>
      <c r="T9" s="13">
        <v>36</v>
      </c>
    </row>
    <row r="10" spans="1:20" ht="22.5" customHeight="1" x14ac:dyDescent="0.35">
      <c r="A10" s="7">
        <v>7</v>
      </c>
      <c r="B10" s="329" t="s">
        <v>19</v>
      </c>
      <c r="C10" s="13">
        <v>10</v>
      </c>
      <c r="D10" s="13">
        <v>1</v>
      </c>
      <c r="E10" s="13">
        <v>1</v>
      </c>
      <c r="F10" s="13">
        <v>1</v>
      </c>
      <c r="G10" s="13">
        <v>1</v>
      </c>
      <c r="H10" s="13">
        <v>0</v>
      </c>
      <c r="I10" s="13">
        <v>2</v>
      </c>
      <c r="J10" s="13">
        <v>2</v>
      </c>
      <c r="K10" s="13">
        <v>1</v>
      </c>
      <c r="L10" s="13">
        <v>3</v>
      </c>
      <c r="M10" s="13">
        <v>0</v>
      </c>
      <c r="N10" s="13">
        <v>1</v>
      </c>
      <c r="O10" s="13">
        <v>0</v>
      </c>
      <c r="P10" s="13">
        <v>0</v>
      </c>
      <c r="Q10" s="13">
        <v>7</v>
      </c>
      <c r="R10" s="13">
        <v>0</v>
      </c>
      <c r="S10" s="13">
        <v>0</v>
      </c>
      <c r="T10" s="13">
        <v>30</v>
      </c>
    </row>
    <row r="11" spans="1:20" ht="22.5" customHeight="1" x14ac:dyDescent="0.35">
      <c r="A11" s="7">
        <v>8</v>
      </c>
      <c r="B11" s="329" t="s">
        <v>20</v>
      </c>
      <c r="C11" s="13">
        <v>1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2</v>
      </c>
      <c r="R11" s="13">
        <v>0</v>
      </c>
      <c r="S11" s="13">
        <v>0</v>
      </c>
      <c r="T11" s="13">
        <v>4</v>
      </c>
    </row>
    <row r="12" spans="1:20" ht="22.5" customHeight="1" x14ac:dyDescent="0.35">
      <c r="A12" s="7">
        <v>9</v>
      </c>
      <c r="B12" s="329" t="s">
        <v>21</v>
      </c>
      <c r="C12" s="13">
        <v>71</v>
      </c>
      <c r="D12" s="13">
        <v>4</v>
      </c>
      <c r="E12" s="13">
        <v>1</v>
      </c>
      <c r="F12" s="13">
        <v>1</v>
      </c>
      <c r="G12" s="13">
        <v>0</v>
      </c>
      <c r="H12" s="13">
        <v>0</v>
      </c>
      <c r="I12" s="13">
        <v>1</v>
      </c>
      <c r="J12" s="13">
        <v>1</v>
      </c>
      <c r="K12" s="13">
        <v>1</v>
      </c>
      <c r="L12" s="13">
        <v>6</v>
      </c>
      <c r="M12" s="13">
        <v>0</v>
      </c>
      <c r="N12" s="13">
        <v>5</v>
      </c>
      <c r="O12" s="13">
        <v>0</v>
      </c>
      <c r="P12" s="13">
        <v>2</v>
      </c>
      <c r="Q12" s="13">
        <v>13</v>
      </c>
      <c r="R12" s="13">
        <v>1</v>
      </c>
      <c r="S12" s="13">
        <v>0</v>
      </c>
      <c r="T12" s="13">
        <v>107</v>
      </c>
    </row>
    <row r="13" spans="1:20" ht="22.5" customHeight="1" x14ac:dyDescent="0.35">
      <c r="A13" s="7">
        <v>10</v>
      </c>
      <c r="B13" s="329" t="s">
        <v>22</v>
      </c>
      <c r="C13" s="13">
        <v>36</v>
      </c>
      <c r="D13" s="13">
        <v>2</v>
      </c>
      <c r="E13" s="13">
        <v>2</v>
      </c>
      <c r="F13" s="13">
        <v>0</v>
      </c>
      <c r="G13" s="13">
        <v>1</v>
      </c>
      <c r="H13" s="13">
        <v>0</v>
      </c>
      <c r="I13" s="13">
        <v>1</v>
      </c>
      <c r="J13" s="13">
        <v>1</v>
      </c>
      <c r="K13" s="13">
        <v>1</v>
      </c>
      <c r="L13" s="13">
        <v>3</v>
      </c>
      <c r="M13" s="13">
        <v>0</v>
      </c>
      <c r="N13" s="13">
        <v>4</v>
      </c>
      <c r="O13" s="13">
        <v>0</v>
      </c>
      <c r="P13" s="13">
        <v>1</v>
      </c>
      <c r="Q13" s="13">
        <v>4</v>
      </c>
      <c r="R13" s="13">
        <v>2</v>
      </c>
      <c r="S13" s="13">
        <v>0</v>
      </c>
      <c r="T13" s="13">
        <v>58</v>
      </c>
    </row>
    <row r="14" spans="1:20" ht="22.5" customHeight="1" x14ac:dyDescent="0.35">
      <c r="A14" s="7">
        <v>11</v>
      </c>
      <c r="B14" s="329" t="s">
        <v>23</v>
      </c>
      <c r="C14" s="13">
        <v>17</v>
      </c>
      <c r="D14" s="13">
        <v>2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1</v>
      </c>
      <c r="K14" s="13">
        <v>2</v>
      </c>
      <c r="L14" s="13">
        <v>3</v>
      </c>
      <c r="M14" s="13">
        <v>0</v>
      </c>
      <c r="N14" s="13">
        <v>0</v>
      </c>
      <c r="O14" s="13">
        <v>0</v>
      </c>
      <c r="P14" s="13">
        <v>0</v>
      </c>
      <c r="Q14" s="13">
        <v>4</v>
      </c>
      <c r="R14" s="13">
        <v>0</v>
      </c>
      <c r="S14" s="13">
        <v>0</v>
      </c>
      <c r="T14" s="13">
        <v>29</v>
      </c>
    </row>
    <row r="15" spans="1:20" ht="30" x14ac:dyDescent="0.35">
      <c r="A15" s="7">
        <v>12</v>
      </c>
      <c r="B15" s="329" t="s">
        <v>24</v>
      </c>
      <c r="C15" s="13">
        <v>8</v>
      </c>
      <c r="D15" s="13">
        <v>2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1</v>
      </c>
      <c r="L15" s="13">
        <v>2</v>
      </c>
      <c r="M15" s="13">
        <v>0</v>
      </c>
      <c r="N15" s="13">
        <v>1</v>
      </c>
      <c r="O15" s="13">
        <v>0</v>
      </c>
      <c r="P15" s="13">
        <v>0</v>
      </c>
      <c r="Q15" s="13">
        <v>2</v>
      </c>
      <c r="R15" s="13">
        <v>0</v>
      </c>
      <c r="S15" s="13">
        <v>0</v>
      </c>
      <c r="T15" s="13">
        <v>16</v>
      </c>
    </row>
    <row r="16" spans="1:20" ht="22.5" customHeight="1" x14ac:dyDescent="0.35">
      <c r="A16" s="7">
        <v>13</v>
      </c>
      <c r="B16" s="329" t="s">
        <v>25</v>
      </c>
      <c r="C16" s="13">
        <v>27</v>
      </c>
      <c r="D16" s="13">
        <v>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</v>
      </c>
      <c r="K16" s="13">
        <v>2</v>
      </c>
      <c r="L16" s="13">
        <v>2</v>
      </c>
      <c r="M16" s="13">
        <v>0</v>
      </c>
      <c r="N16" s="13">
        <v>0</v>
      </c>
      <c r="O16" s="13">
        <v>0</v>
      </c>
      <c r="P16" s="13">
        <v>0</v>
      </c>
      <c r="Q16" s="13">
        <v>5</v>
      </c>
      <c r="R16" s="13">
        <v>0</v>
      </c>
      <c r="S16" s="13">
        <v>0</v>
      </c>
      <c r="T16" s="13">
        <v>38</v>
      </c>
    </row>
    <row r="17" spans="1:20" ht="22.5" customHeight="1" x14ac:dyDescent="0.35">
      <c r="A17" s="7">
        <v>14</v>
      </c>
      <c r="B17" s="329" t="s">
        <v>26</v>
      </c>
      <c r="C17" s="13">
        <v>58</v>
      </c>
      <c r="D17" s="13">
        <v>5</v>
      </c>
      <c r="E17" s="13">
        <v>0</v>
      </c>
      <c r="F17" s="13">
        <v>0</v>
      </c>
      <c r="G17" s="13">
        <v>0</v>
      </c>
      <c r="H17" s="13">
        <v>0</v>
      </c>
      <c r="I17" s="13">
        <v>1</v>
      </c>
      <c r="J17" s="13">
        <v>2</v>
      </c>
      <c r="K17" s="13">
        <v>1</v>
      </c>
      <c r="L17" s="13">
        <v>5</v>
      </c>
      <c r="M17" s="13">
        <v>1</v>
      </c>
      <c r="N17" s="13">
        <v>6</v>
      </c>
      <c r="O17" s="13">
        <v>1</v>
      </c>
      <c r="P17" s="13">
        <v>0</v>
      </c>
      <c r="Q17" s="13">
        <v>9</v>
      </c>
      <c r="R17" s="13">
        <v>1</v>
      </c>
      <c r="S17" s="13">
        <v>0</v>
      </c>
      <c r="T17" s="13">
        <v>90</v>
      </c>
    </row>
    <row r="18" spans="1:20" ht="22.5" customHeight="1" x14ac:dyDescent="0.35">
      <c r="A18" s="7">
        <v>15</v>
      </c>
      <c r="B18" s="329" t="s">
        <v>27</v>
      </c>
      <c r="C18" s="13">
        <v>10</v>
      </c>
      <c r="D18" s="13">
        <v>1</v>
      </c>
      <c r="E18" s="13">
        <v>0</v>
      </c>
      <c r="F18" s="13">
        <v>0</v>
      </c>
      <c r="G18" s="13">
        <v>0</v>
      </c>
      <c r="H18" s="13">
        <v>1</v>
      </c>
      <c r="I18" s="13">
        <v>2</v>
      </c>
      <c r="J18" s="13">
        <v>1</v>
      </c>
      <c r="K18" s="13">
        <v>1</v>
      </c>
      <c r="L18" s="13">
        <v>2</v>
      </c>
      <c r="M18" s="13">
        <v>0</v>
      </c>
      <c r="N18" s="13">
        <v>2</v>
      </c>
      <c r="O18" s="13">
        <v>0</v>
      </c>
      <c r="P18" s="13">
        <v>0</v>
      </c>
      <c r="Q18" s="13">
        <v>4</v>
      </c>
      <c r="R18" s="13">
        <v>1</v>
      </c>
      <c r="S18" s="13">
        <v>0</v>
      </c>
      <c r="T18" s="13">
        <v>25</v>
      </c>
    </row>
    <row r="19" spans="1:20" ht="22.5" customHeight="1" x14ac:dyDescent="0.35">
      <c r="A19" s="7">
        <v>16</v>
      </c>
      <c r="B19" s="104" t="s">
        <v>28</v>
      </c>
      <c r="C19" s="13">
        <v>2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2</v>
      </c>
    </row>
    <row r="20" spans="1:20" ht="22.5" customHeight="1" x14ac:dyDescent="0.35">
      <c r="A20" s="7">
        <v>17</v>
      </c>
      <c r="B20" s="329" t="s">
        <v>29</v>
      </c>
      <c r="C20" s="13">
        <v>58</v>
      </c>
      <c r="D20" s="13">
        <v>2</v>
      </c>
      <c r="E20" s="13">
        <v>1</v>
      </c>
      <c r="F20" s="13">
        <v>0</v>
      </c>
      <c r="G20" s="13">
        <v>1</v>
      </c>
      <c r="H20" s="13">
        <v>0</v>
      </c>
      <c r="I20" s="13">
        <v>1</v>
      </c>
      <c r="J20" s="13">
        <v>2</v>
      </c>
      <c r="K20" s="13">
        <v>2</v>
      </c>
      <c r="L20" s="13">
        <v>7</v>
      </c>
      <c r="M20" s="13">
        <v>0</v>
      </c>
      <c r="N20" s="13">
        <v>3</v>
      </c>
      <c r="O20" s="13">
        <v>1</v>
      </c>
      <c r="P20" s="13">
        <v>1</v>
      </c>
      <c r="Q20" s="13">
        <v>8</v>
      </c>
      <c r="R20" s="13">
        <v>0</v>
      </c>
      <c r="S20" s="13">
        <v>2</v>
      </c>
      <c r="T20" s="13">
        <v>89</v>
      </c>
    </row>
    <row r="21" spans="1:20" ht="22.5" customHeight="1" x14ac:dyDescent="0.35">
      <c r="A21" s="7">
        <v>18</v>
      </c>
      <c r="B21" s="329" t="s">
        <v>30</v>
      </c>
      <c r="C21" s="13">
        <v>47</v>
      </c>
      <c r="D21" s="13">
        <v>5</v>
      </c>
      <c r="E21" s="13">
        <v>0</v>
      </c>
      <c r="F21" s="13">
        <v>0</v>
      </c>
      <c r="G21" s="13">
        <v>1</v>
      </c>
      <c r="H21" s="13">
        <v>1</v>
      </c>
      <c r="I21" s="13">
        <v>2</v>
      </c>
      <c r="J21" s="13">
        <v>3</v>
      </c>
      <c r="K21" s="13">
        <v>3</v>
      </c>
      <c r="L21" s="13">
        <v>4</v>
      </c>
      <c r="M21" s="13">
        <v>0</v>
      </c>
      <c r="N21" s="13">
        <v>2</v>
      </c>
      <c r="O21" s="13">
        <v>4</v>
      </c>
      <c r="P21" s="13">
        <v>0</v>
      </c>
      <c r="Q21" s="13">
        <v>12</v>
      </c>
      <c r="R21" s="13">
        <v>1</v>
      </c>
      <c r="S21" s="13">
        <v>0</v>
      </c>
      <c r="T21" s="13">
        <v>85</v>
      </c>
    </row>
    <row r="22" spans="1:20" ht="22.5" customHeight="1" x14ac:dyDescent="0.35">
      <c r="A22" s="7">
        <v>19</v>
      </c>
      <c r="B22" s="329" t="s">
        <v>31</v>
      </c>
      <c r="C22" s="13">
        <v>6</v>
      </c>
      <c r="D22" s="13">
        <v>1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1</v>
      </c>
      <c r="Q22" s="13">
        <v>3</v>
      </c>
      <c r="R22" s="13">
        <v>0</v>
      </c>
      <c r="S22" s="13">
        <v>1</v>
      </c>
      <c r="T22" s="13">
        <v>12</v>
      </c>
    </row>
    <row r="23" spans="1:20" ht="22.5" customHeight="1" x14ac:dyDescent="0.35">
      <c r="A23" s="7">
        <v>20</v>
      </c>
      <c r="B23" s="329" t="s">
        <v>32</v>
      </c>
      <c r="C23" s="13">
        <v>7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2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1</v>
      </c>
      <c r="R23" s="13">
        <v>0</v>
      </c>
      <c r="S23" s="13">
        <v>0</v>
      </c>
      <c r="T23" s="13">
        <v>11</v>
      </c>
    </row>
    <row r="24" spans="1:20" ht="22.5" customHeight="1" x14ac:dyDescent="0.35">
      <c r="A24" s="7">
        <v>21</v>
      </c>
      <c r="B24" s="329" t="s">
        <v>33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1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1</v>
      </c>
      <c r="R24" s="13">
        <v>0</v>
      </c>
      <c r="S24" s="13">
        <v>0</v>
      </c>
      <c r="T24" s="13">
        <v>3</v>
      </c>
    </row>
    <row r="25" spans="1:20" ht="22.5" customHeight="1" x14ac:dyDescent="0.35">
      <c r="A25" s="7">
        <v>22</v>
      </c>
      <c r="B25" s="329" t="s">
        <v>34</v>
      </c>
      <c r="C25" s="13">
        <v>4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1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1</v>
      </c>
      <c r="R25" s="13">
        <v>0</v>
      </c>
      <c r="S25" s="13">
        <v>0</v>
      </c>
      <c r="T25" s="13">
        <v>6</v>
      </c>
    </row>
    <row r="26" spans="1:20" ht="22.5" customHeight="1" x14ac:dyDescent="0.35">
      <c r="A26" s="7">
        <v>23</v>
      </c>
      <c r="B26" s="329" t="s">
        <v>35</v>
      </c>
      <c r="C26" s="13">
        <v>22</v>
      </c>
      <c r="D26" s="13">
        <v>1</v>
      </c>
      <c r="E26" s="13">
        <v>0</v>
      </c>
      <c r="F26" s="13">
        <v>0</v>
      </c>
      <c r="G26" s="13">
        <v>0</v>
      </c>
      <c r="H26" s="13">
        <v>0</v>
      </c>
      <c r="I26" s="13">
        <v>2</v>
      </c>
      <c r="J26" s="13">
        <v>2</v>
      </c>
      <c r="K26" s="13">
        <v>1</v>
      </c>
      <c r="L26" s="13">
        <v>3</v>
      </c>
      <c r="M26" s="13">
        <v>0</v>
      </c>
      <c r="N26" s="13">
        <v>1</v>
      </c>
      <c r="O26" s="13">
        <v>1</v>
      </c>
      <c r="P26" s="13">
        <v>0</v>
      </c>
      <c r="Q26" s="13">
        <v>10</v>
      </c>
      <c r="R26" s="13">
        <v>0</v>
      </c>
      <c r="S26" s="13">
        <v>1</v>
      </c>
      <c r="T26" s="13">
        <v>44</v>
      </c>
    </row>
    <row r="27" spans="1:20" ht="22.5" customHeight="1" x14ac:dyDescent="0.35">
      <c r="A27" s="7">
        <v>24</v>
      </c>
      <c r="B27" s="329" t="s">
        <v>36</v>
      </c>
      <c r="C27" s="13">
        <v>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2</v>
      </c>
      <c r="M27" s="13">
        <v>0</v>
      </c>
      <c r="N27" s="13">
        <v>0</v>
      </c>
      <c r="O27" s="13">
        <v>0</v>
      </c>
      <c r="P27" s="13">
        <v>0</v>
      </c>
      <c r="Q27" s="13">
        <v>2</v>
      </c>
      <c r="R27" s="13">
        <v>0</v>
      </c>
      <c r="S27" s="13">
        <v>0</v>
      </c>
      <c r="T27" s="13">
        <v>5</v>
      </c>
    </row>
    <row r="28" spans="1:20" ht="22.5" customHeight="1" x14ac:dyDescent="0.35">
      <c r="A28" s="7">
        <v>25</v>
      </c>
      <c r="B28" s="329" t="s">
        <v>37</v>
      </c>
      <c r="C28" s="13">
        <v>22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1</v>
      </c>
      <c r="K28" s="13">
        <v>1</v>
      </c>
      <c r="L28" s="13">
        <v>6</v>
      </c>
      <c r="M28" s="13">
        <v>0</v>
      </c>
      <c r="N28" s="13">
        <v>1</v>
      </c>
      <c r="O28" s="13">
        <v>0</v>
      </c>
      <c r="P28" s="13">
        <v>1</v>
      </c>
      <c r="Q28" s="13">
        <v>6</v>
      </c>
      <c r="R28" s="13">
        <v>1</v>
      </c>
      <c r="S28" s="13">
        <v>0</v>
      </c>
      <c r="T28" s="13">
        <v>40</v>
      </c>
    </row>
    <row r="29" spans="1:20" ht="22.5" customHeight="1" x14ac:dyDescent="0.35">
      <c r="A29" s="7">
        <v>26</v>
      </c>
      <c r="B29" s="329" t="s">
        <v>38</v>
      </c>
      <c r="C29" s="13">
        <v>58</v>
      </c>
      <c r="D29" s="13">
        <v>5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2</v>
      </c>
      <c r="K29" s="13">
        <v>1</v>
      </c>
      <c r="L29" s="13">
        <v>12</v>
      </c>
      <c r="M29" s="13">
        <v>0</v>
      </c>
      <c r="N29" s="13">
        <v>1</v>
      </c>
      <c r="O29" s="13">
        <v>0</v>
      </c>
      <c r="P29" s="13">
        <v>1</v>
      </c>
      <c r="Q29" s="13">
        <v>10</v>
      </c>
      <c r="R29" s="13">
        <v>1</v>
      </c>
      <c r="S29" s="13">
        <v>1</v>
      </c>
      <c r="T29" s="13">
        <v>92</v>
      </c>
    </row>
    <row r="30" spans="1:20" ht="22.5" customHeight="1" x14ac:dyDescent="0.35">
      <c r="A30" s="7">
        <v>27</v>
      </c>
      <c r="B30" s="329" t="s">
        <v>39</v>
      </c>
      <c r="C30" s="13">
        <v>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1</v>
      </c>
      <c r="J30" s="13">
        <v>0</v>
      </c>
      <c r="K30" s="13">
        <v>1</v>
      </c>
      <c r="L30" s="13">
        <v>1</v>
      </c>
      <c r="M30" s="13">
        <v>0</v>
      </c>
      <c r="N30" s="13">
        <v>0</v>
      </c>
      <c r="O30" s="13">
        <v>0</v>
      </c>
      <c r="P30" s="13">
        <v>0</v>
      </c>
      <c r="Q30" s="13">
        <v>1</v>
      </c>
      <c r="R30" s="13">
        <v>0</v>
      </c>
      <c r="S30" s="13">
        <v>0</v>
      </c>
      <c r="T30" s="13">
        <v>10</v>
      </c>
    </row>
    <row r="31" spans="1:20" ht="22.5" customHeight="1" x14ac:dyDescent="0.35">
      <c r="A31" s="7">
        <v>28</v>
      </c>
      <c r="B31" s="329" t="s">
        <v>40</v>
      </c>
      <c r="C31" s="13">
        <v>37</v>
      </c>
      <c r="D31" s="13">
        <v>1</v>
      </c>
      <c r="E31" s="13">
        <v>0</v>
      </c>
      <c r="F31" s="13">
        <v>1</v>
      </c>
      <c r="G31" s="13">
        <v>1</v>
      </c>
      <c r="H31" s="13">
        <v>1</v>
      </c>
      <c r="I31" s="13">
        <v>1</v>
      </c>
      <c r="J31" s="13">
        <v>2</v>
      </c>
      <c r="K31" s="13">
        <v>1</v>
      </c>
      <c r="L31" s="13">
        <v>3</v>
      </c>
      <c r="M31" s="13">
        <v>1</v>
      </c>
      <c r="N31" s="13">
        <v>2</v>
      </c>
      <c r="O31" s="13">
        <v>0</v>
      </c>
      <c r="P31" s="13">
        <v>2</v>
      </c>
      <c r="Q31" s="13">
        <v>11</v>
      </c>
      <c r="R31" s="13">
        <v>1</v>
      </c>
      <c r="S31" s="13">
        <v>0</v>
      </c>
      <c r="T31" s="13">
        <v>65</v>
      </c>
    </row>
    <row r="32" spans="1:20" ht="22.5" customHeight="1" x14ac:dyDescent="0.35">
      <c r="A32" s="7">
        <v>29</v>
      </c>
      <c r="B32" s="329" t="s">
        <v>41</v>
      </c>
      <c r="C32" s="13">
        <v>14</v>
      </c>
      <c r="D32" s="13">
        <v>2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>
        <v>0</v>
      </c>
      <c r="L32" s="13">
        <v>3</v>
      </c>
      <c r="M32" s="13">
        <v>0</v>
      </c>
      <c r="N32" s="13">
        <v>0</v>
      </c>
      <c r="O32" s="13">
        <v>0</v>
      </c>
      <c r="P32" s="13">
        <v>0</v>
      </c>
      <c r="Q32" s="13">
        <v>7</v>
      </c>
      <c r="R32" s="13">
        <v>1</v>
      </c>
      <c r="S32" s="13">
        <v>1</v>
      </c>
      <c r="T32" s="13">
        <v>31</v>
      </c>
    </row>
    <row r="33" spans="1:20" ht="22.5" customHeight="1" x14ac:dyDescent="0.35">
      <c r="A33" s="7">
        <v>30</v>
      </c>
      <c r="B33" s="329" t="s">
        <v>42</v>
      </c>
      <c r="C33" s="13">
        <v>5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1</v>
      </c>
      <c r="K33" s="13">
        <v>1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2</v>
      </c>
      <c r="R33" s="13">
        <v>0</v>
      </c>
      <c r="S33" s="13">
        <v>0</v>
      </c>
      <c r="T33" s="13">
        <v>9</v>
      </c>
    </row>
    <row r="34" spans="1:20" ht="22.5" customHeight="1" x14ac:dyDescent="0.35">
      <c r="A34" s="7">
        <v>31</v>
      </c>
      <c r="B34" s="329" t="s">
        <v>43</v>
      </c>
      <c r="C34" s="13">
        <v>62</v>
      </c>
      <c r="D34" s="13">
        <v>6</v>
      </c>
      <c r="E34" s="13">
        <v>1</v>
      </c>
      <c r="F34" s="13">
        <v>0</v>
      </c>
      <c r="G34" s="13">
        <v>1</v>
      </c>
      <c r="H34" s="13">
        <v>0</v>
      </c>
      <c r="I34" s="13">
        <v>2</v>
      </c>
      <c r="J34" s="13">
        <v>1</v>
      </c>
      <c r="K34" s="13">
        <v>1</v>
      </c>
      <c r="L34" s="13">
        <v>13</v>
      </c>
      <c r="M34" s="13">
        <v>0</v>
      </c>
      <c r="N34" s="13">
        <v>2</v>
      </c>
      <c r="O34" s="13">
        <v>0</v>
      </c>
      <c r="P34" s="13">
        <v>0</v>
      </c>
      <c r="Q34" s="13">
        <v>10</v>
      </c>
      <c r="R34" s="13">
        <v>2</v>
      </c>
      <c r="S34" s="13">
        <v>2</v>
      </c>
      <c r="T34" s="13">
        <v>103</v>
      </c>
    </row>
    <row r="35" spans="1:20" ht="22.5" customHeight="1" x14ac:dyDescent="0.35">
      <c r="A35" s="7">
        <v>32</v>
      </c>
      <c r="B35" s="329" t="s">
        <v>44</v>
      </c>
      <c r="C35" s="13">
        <v>27</v>
      </c>
      <c r="D35" s="13">
        <v>3</v>
      </c>
      <c r="E35" s="13">
        <v>0</v>
      </c>
      <c r="F35" s="13">
        <v>0</v>
      </c>
      <c r="G35" s="13">
        <v>0</v>
      </c>
      <c r="H35" s="13">
        <v>0</v>
      </c>
      <c r="I35" s="13">
        <v>1</v>
      </c>
      <c r="J35" s="13">
        <v>0</v>
      </c>
      <c r="K35" s="13">
        <v>1</v>
      </c>
      <c r="L35" s="13">
        <v>3</v>
      </c>
      <c r="M35" s="13">
        <v>0</v>
      </c>
      <c r="N35" s="13">
        <v>0</v>
      </c>
      <c r="O35" s="13">
        <v>0</v>
      </c>
      <c r="P35" s="13">
        <v>0</v>
      </c>
      <c r="Q35" s="13">
        <v>5</v>
      </c>
      <c r="R35" s="13">
        <v>0</v>
      </c>
      <c r="S35" s="13">
        <v>0</v>
      </c>
      <c r="T35" s="13">
        <v>40</v>
      </c>
    </row>
    <row r="36" spans="1:20" ht="22.5" customHeight="1" x14ac:dyDescent="0.35">
      <c r="A36" s="7">
        <v>33</v>
      </c>
      <c r="B36" s="329" t="s">
        <v>45</v>
      </c>
      <c r="C36" s="13">
        <v>43</v>
      </c>
      <c r="D36" s="13">
        <v>2</v>
      </c>
      <c r="E36" s="13">
        <v>0</v>
      </c>
      <c r="F36" s="13">
        <v>1</v>
      </c>
      <c r="G36" s="13">
        <v>0</v>
      </c>
      <c r="H36" s="13">
        <v>1</v>
      </c>
      <c r="I36" s="13">
        <v>1</v>
      </c>
      <c r="J36" s="13">
        <v>1</v>
      </c>
      <c r="K36" s="13">
        <v>1</v>
      </c>
      <c r="L36" s="13">
        <v>2</v>
      </c>
      <c r="M36" s="13">
        <v>0</v>
      </c>
      <c r="N36" s="13">
        <v>3</v>
      </c>
      <c r="O36" s="13">
        <v>0</v>
      </c>
      <c r="P36" s="13">
        <v>0</v>
      </c>
      <c r="Q36" s="13">
        <v>4</v>
      </c>
      <c r="R36" s="13">
        <v>0</v>
      </c>
      <c r="S36" s="13">
        <v>0</v>
      </c>
      <c r="T36" s="13">
        <v>59</v>
      </c>
    </row>
    <row r="37" spans="1:20" s="1" customFormat="1" ht="22.5" customHeight="1" x14ac:dyDescent="0.35">
      <c r="A37" s="668" t="s">
        <v>46</v>
      </c>
      <c r="B37" s="668"/>
      <c r="C37" s="619">
        <v>765</v>
      </c>
      <c r="D37" s="619">
        <v>52</v>
      </c>
      <c r="E37" s="619">
        <v>8</v>
      </c>
      <c r="F37" s="619">
        <v>4</v>
      </c>
      <c r="G37" s="619">
        <v>9</v>
      </c>
      <c r="H37" s="619">
        <v>5</v>
      </c>
      <c r="I37" s="619">
        <v>24</v>
      </c>
      <c r="J37" s="619">
        <v>30</v>
      </c>
      <c r="K37" s="619">
        <v>31</v>
      </c>
      <c r="L37" s="619">
        <v>98</v>
      </c>
      <c r="M37" s="619">
        <v>2</v>
      </c>
      <c r="N37" s="619">
        <v>37</v>
      </c>
      <c r="O37" s="619">
        <v>8</v>
      </c>
      <c r="P37" s="619">
        <v>10</v>
      </c>
      <c r="Q37" s="619">
        <v>172</v>
      </c>
      <c r="R37" s="619">
        <v>14</v>
      </c>
      <c r="S37" s="619">
        <v>9</v>
      </c>
      <c r="T37" s="620">
        <v>1278</v>
      </c>
    </row>
    <row r="38" spans="1:20" x14ac:dyDescent="0.35"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</sheetData>
  <mergeCells count="4">
    <mergeCell ref="C1:K1"/>
    <mergeCell ref="L1:T1"/>
    <mergeCell ref="A37:B37"/>
    <mergeCell ref="A1:B1"/>
  </mergeCells>
  <pageMargins left="0.35433070866141736" right="0.15748031496062992" top="0.39370078740157483" bottom="0.39370078740157483" header="0.31496062992125984" footer="0.19685039370078741"/>
  <pageSetup paperSize="9" scale="82" firstPageNumber="2" orientation="portrait" r:id="rId1"/>
  <headerFooter>
    <oddFooter>&amp;L&amp;"Arial,Italic"&amp;9AISHE 2023-24&amp;RT-2</oddFooter>
  </headerFooter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E10C-D54D-4DFC-BD1A-E4841B3A70F0}">
  <sheetPr>
    <pageSetUpPr fitToPage="1"/>
  </sheetPr>
  <dimension ref="A1:G41"/>
  <sheetViews>
    <sheetView view="pageBreakPreview" zoomScale="115" zoomScaleNormal="115" zoomScaleSheetLayoutView="115" workbookViewId="0">
      <pane ySplit="4" topLeftCell="A36" activePane="bottomLeft" state="frozen"/>
      <selection activeCell="B16" sqref="B16:M16"/>
      <selection pane="bottomLeft" activeCell="B16" sqref="B16:M16"/>
    </sheetView>
  </sheetViews>
  <sheetFormatPr defaultColWidth="23" defaultRowHeight="15.5" x14ac:dyDescent="0.35"/>
  <cols>
    <col min="1" max="1" width="5.54296875" style="376" customWidth="1"/>
    <col min="2" max="2" width="26.81640625" style="376" customWidth="1"/>
    <col min="3" max="3" width="16.1796875" style="378" customWidth="1"/>
    <col min="4" max="4" width="14.453125" style="376" customWidth="1"/>
    <col min="5" max="5" width="13.453125" style="376" customWidth="1"/>
    <col min="6" max="6" width="13.7265625" style="376" customWidth="1"/>
    <col min="7" max="7" width="12.54296875" style="376" customWidth="1"/>
    <col min="8" max="16384" width="23" style="376"/>
  </cols>
  <sheetData>
    <row r="1" spans="1:7" ht="20.25" customHeight="1" x14ac:dyDescent="0.35">
      <c r="A1" s="670" t="s">
        <v>1030</v>
      </c>
      <c r="B1" s="670"/>
      <c r="C1" s="670"/>
      <c r="D1" s="670"/>
      <c r="E1" s="670"/>
      <c r="F1" s="670"/>
      <c r="G1" s="670"/>
    </row>
    <row r="2" spans="1:7" x14ac:dyDescent="0.35">
      <c r="A2" s="671" t="s">
        <v>48</v>
      </c>
      <c r="B2" s="672" t="s">
        <v>979</v>
      </c>
      <c r="C2" s="673" t="s">
        <v>926</v>
      </c>
      <c r="D2" s="673"/>
      <c r="E2" s="673"/>
      <c r="F2" s="673"/>
      <c r="G2" s="673"/>
    </row>
    <row r="3" spans="1:7" ht="60" x14ac:dyDescent="0.35">
      <c r="A3" s="671"/>
      <c r="B3" s="672"/>
      <c r="C3" s="556" t="s">
        <v>927</v>
      </c>
      <c r="D3" s="556" t="s">
        <v>928</v>
      </c>
      <c r="E3" s="556" t="s">
        <v>929</v>
      </c>
      <c r="F3" s="556" t="s">
        <v>930</v>
      </c>
      <c r="G3" s="556" t="s">
        <v>931</v>
      </c>
    </row>
    <row r="4" spans="1:7" x14ac:dyDescent="0.35">
      <c r="A4" s="541">
        <v>1</v>
      </c>
      <c r="B4" s="541">
        <v>2</v>
      </c>
      <c r="C4" s="542">
        <v>3</v>
      </c>
      <c r="D4" s="541">
        <v>4</v>
      </c>
      <c r="E4" s="541">
        <v>5</v>
      </c>
      <c r="F4" s="541">
        <v>6</v>
      </c>
      <c r="G4" s="541">
        <v>7</v>
      </c>
    </row>
    <row r="5" spans="1:7" ht="20.25" customHeight="1" x14ac:dyDescent="0.35">
      <c r="A5" s="377">
        <v>1</v>
      </c>
      <c r="B5" s="368" t="s">
        <v>56</v>
      </c>
      <c r="C5" s="543">
        <v>1</v>
      </c>
      <c r="D5" s="543"/>
      <c r="E5" s="543"/>
      <c r="F5" s="543">
        <v>1</v>
      </c>
      <c r="G5" s="543">
        <v>3</v>
      </c>
    </row>
    <row r="6" spans="1:7" ht="20.25" customHeight="1" x14ac:dyDescent="0.35">
      <c r="A6" s="377">
        <v>2</v>
      </c>
      <c r="B6" s="369" t="s">
        <v>13</v>
      </c>
      <c r="C6" s="543">
        <v>26</v>
      </c>
      <c r="D6" s="543">
        <v>16</v>
      </c>
      <c r="E6" s="543">
        <v>52</v>
      </c>
      <c r="F6" s="543">
        <v>26</v>
      </c>
      <c r="G6" s="543">
        <v>2561</v>
      </c>
    </row>
    <row r="7" spans="1:7" ht="20.25" customHeight="1" x14ac:dyDescent="0.35">
      <c r="A7" s="377">
        <v>3</v>
      </c>
      <c r="B7" s="369" t="s">
        <v>14</v>
      </c>
      <c r="C7" s="543">
        <v>16</v>
      </c>
      <c r="D7" s="543">
        <v>5</v>
      </c>
      <c r="E7" s="543">
        <v>11</v>
      </c>
      <c r="F7" s="543">
        <v>14</v>
      </c>
      <c r="G7" s="543">
        <v>43</v>
      </c>
    </row>
    <row r="8" spans="1:7" ht="20.25" customHeight="1" x14ac:dyDescent="0.35">
      <c r="A8" s="377">
        <v>4</v>
      </c>
      <c r="B8" s="369" t="s">
        <v>15</v>
      </c>
      <c r="C8" s="543">
        <v>34</v>
      </c>
      <c r="D8" s="543">
        <v>13</v>
      </c>
      <c r="E8" s="543">
        <v>34</v>
      </c>
      <c r="F8" s="543">
        <v>34</v>
      </c>
      <c r="G8" s="543">
        <v>668</v>
      </c>
    </row>
    <row r="9" spans="1:7" ht="20.25" customHeight="1" x14ac:dyDescent="0.35">
      <c r="A9" s="377">
        <v>5</v>
      </c>
      <c r="B9" s="369" t="s">
        <v>16</v>
      </c>
      <c r="C9" s="543">
        <v>38</v>
      </c>
      <c r="D9" s="543">
        <v>18</v>
      </c>
      <c r="E9" s="543">
        <v>39</v>
      </c>
      <c r="F9" s="543">
        <v>38</v>
      </c>
      <c r="G9" s="543">
        <v>1259</v>
      </c>
    </row>
    <row r="10" spans="1:7" ht="20.25" customHeight="1" x14ac:dyDescent="0.35">
      <c r="A10" s="377">
        <v>6</v>
      </c>
      <c r="B10" s="369" t="s">
        <v>17</v>
      </c>
      <c r="C10" s="543">
        <v>1</v>
      </c>
      <c r="D10" s="543">
        <v>1</v>
      </c>
      <c r="E10" s="543">
        <v>3</v>
      </c>
      <c r="F10" s="543">
        <v>1</v>
      </c>
      <c r="G10" s="543">
        <v>25</v>
      </c>
    </row>
    <row r="11" spans="1:7" ht="20.25" customHeight="1" x14ac:dyDescent="0.35">
      <c r="A11" s="377">
        <v>7</v>
      </c>
      <c r="B11" s="369" t="s">
        <v>18</v>
      </c>
      <c r="C11" s="543">
        <v>33</v>
      </c>
      <c r="D11" s="543">
        <v>8</v>
      </c>
      <c r="E11" s="543">
        <v>36</v>
      </c>
      <c r="F11" s="543">
        <v>33</v>
      </c>
      <c r="G11" s="543">
        <v>1036</v>
      </c>
    </row>
    <row r="12" spans="1:7" ht="20.25" customHeight="1" x14ac:dyDescent="0.35">
      <c r="A12" s="377">
        <v>8</v>
      </c>
      <c r="B12" s="369" t="s">
        <v>19</v>
      </c>
      <c r="C12" s="543">
        <v>10</v>
      </c>
      <c r="D12" s="543">
        <v>8</v>
      </c>
      <c r="E12" s="543">
        <v>30</v>
      </c>
      <c r="F12" s="543">
        <v>10</v>
      </c>
      <c r="G12" s="543">
        <v>168</v>
      </c>
    </row>
    <row r="13" spans="1:7" ht="20.25" customHeight="1" x14ac:dyDescent="0.35">
      <c r="A13" s="377">
        <v>9</v>
      </c>
      <c r="B13" s="369" t="s">
        <v>20</v>
      </c>
      <c r="C13" s="543">
        <v>2</v>
      </c>
      <c r="D13" s="543">
        <v>2</v>
      </c>
      <c r="E13" s="543">
        <v>4</v>
      </c>
      <c r="F13" s="543">
        <v>2</v>
      </c>
      <c r="G13" s="543">
        <v>66</v>
      </c>
    </row>
    <row r="14" spans="1:7" ht="20.25" customHeight="1" x14ac:dyDescent="0.35">
      <c r="A14" s="377">
        <v>10</v>
      </c>
      <c r="B14" s="369" t="s">
        <v>21</v>
      </c>
      <c r="C14" s="543">
        <v>33</v>
      </c>
      <c r="D14" s="543">
        <v>22</v>
      </c>
      <c r="E14" s="543">
        <v>107</v>
      </c>
      <c r="F14" s="543">
        <v>33</v>
      </c>
      <c r="G14" s="543">
        <v>2521</v>
      </c>
    </row>
    <row r="15" spans="1:7" ht="20.25" customHeight="1" x14ac:dyDescent="0.35">
      <c r="A15" s="377">
        <v>11</v>
      </c>
      <c r="B15" s="369" t="s">
        <v>22</v>
      </c>
      <c r="C15" s="543">
        <v>22</v>
      </c>
      <c r="D15" s="543">
        <v>17</v>
      </c>
      <c r="E15" s="543">
        <v>58</v>
      </c>
      <c r="F15" s="543">
        <v>22</v>
      </c>
      <c r="G15" s="543">
        <v>1149</v>
      </c>
    </row>
    <row r="16" spans="1:7" ht="20.25" customHeight="1" x14ac:dyDescent="0.35">
      <c r="A16" s="377">
        <v>12</v>
      </c>
      <c r="B16" s="369" t="s">
        <v>23</v>
      </c>
      <c r="C16" s="543">
        <v>12</v>
      </c>
      <c r="D16" s="543">
        <v>8</v>
      </c>
      <c r="E16" s="543">
        <v>29</v>
      </c>
      <c r="F16" s="543">
        <v>12</v>
      </c>
      <c r="G16" s="543">
        <v>346</v>
      </c>
    </row>
    <row r="17" spans="1:7" ht="20.25" customHeight="1" x14ac:dyDescent="0.35">
      <c r="A17" s="377">
        <v>13</v>
      </c>
      <c r="B17" s="369" t="s">
        <v>24</v>
      </c>
      <c r="C17" s="543">
        <v>20</v>
      </c>
      <c r="D17" s="543">
        <v>6</v>
      </c>
      <c r="E17" s="543">
        <v>16</v>
      </c>
      <c r="F17" s="543">
        <v>20</v>
      </c>
      <c r="G17" s="543">
        <v>335</v>
      </c>
    </row>
    <row r="18" spans="1:7" ht="20.25" customHeight="1" x14ac:dyDescent="0.35">
      <c r="A18" s="377">
        <v>14</v>
      </c>
      <c r="B18" s="369" t="s">
        <v>25</v>
      </c>
      <c r="C18" s="543">
        <v>24</v>
      </c>
      <c r="D18" s="543">
        <v>12</v>
      </c>
      <c r="E18" s="543">
        <v>38</v>
      </c>
      <c r="F18" s="543">
        <v>24</v>
      </c>
      <c r="G18" s="543">
        <v>434</v>
      </c>
    </row>
    <row r="19" spans="1:7" ht="20.25" customHeight="1" x14ac:dyDescent="0.35">
      <c r="A19" s="377">
        <v>15</v>
      </c>
      <c r="B19" s="369" t="s">
        <v>26</v>
      </c>
      <c r="C19" s="543">
        <v>31</v>
      </c>
      <c r="D19" s="543">
        <v>26</v>
      </c>
      <c r="E19" s="543">
        <v>90</v>
      </c>
      <c r="F19" s="543">
        <v>31</v>
      </c>
      <c r="G19" s="543">
        <v>4280</v>
      </c>
    </row>
    <row r="20" spans="1:7" ht="20.25" customHeight="1" x14ac:dyDescent="0.35">
      <c r="A20" s="377">
        <v>16</v>
      </c>
      <c r="B20" s="369" t="s">
        <v>27</v>
      </c>
      <c r="C20" s="543">
        <v>14</v>
      </c>
      <c r="D20" s="543">
        <v>11</v>
      </c>
      <c r="E20" s="543">
        <v>25</v>
      </c>
      <c r="F20" s="543">
        <v>14</v>
      </c>
      <c r="G20" s="543">
        <v>1450</v>
      </c>
    </row>
    <row r="21" spans="1:7" ht="20.25" customHeight="1" x14ac:dyDescent="0.35">
      <c r="A21" s="377">
        <v>17</v>
      </c>
      <c r="B21" s="79" t="s">
        <v>28</v>
      </c>
      <c r="C21" s="543">
        <v>2</v>
      </c>
      <c r="D21" s="543">
        <v>1</v>
      </c>
      <c r="E21" s="543">
        <v>2</v>
      </c>
      <c r="F21" s="543">
        <v>2</v>
      </c>
      <c r="G21" s="543">
        <v>6</v>
      </c>
    </row>
    <row r="22" spans="1:7" ht="20.25" customHeight="1" x14ac:dyDescent="0.35">
      <c r="A22" s="377">
        <v>18</v>
      </c>
      <c r="B22" s="369" t="s">
        <v>82</v>
      </c>
      <c r="C22" s="543">
        <v>1</v>
      </c>
      <c r="D22" s="543"/>
      <c r="E22" s="543"/>
      <c r="F22" s="543">
        <v>1</v>
      </c>
      <c r="G22" s="543">
        <v>5</v>
      </c>
    </row>
    <row r="23" spans="1:7" ht="20.25" customHeight="1" x14ac:dyDescent="0.35">
      <c r="A23" s="377">
        <v>19</v>
      </c>
      <c r="B23" s="369" t="s">
        <v>29</v>
      </c>
      <c r="C23" s="543">
        <v>53</v>
      </c>
      <c r="D23" s="543">
        <v>24</v>
      </c>
      <c r="E23" s="543">
        <v>89</v>
      </c>
      <c r="F23" s="543">
        <v>53</v>
      </c>
      <c r="G23" s="543">
        <v>2659</v>
      </c>
    </row>
    <row r="24" spans="1:7" ht="20.25" customHeight="1" x14ac:dyDescent="0.35">
      <c r="A24" s="377">
        <v>20</v>
      </c>
      <c r="B24" s="369" t="s">
        <v>30</v>
      </c>
      <c r="C24" s="543">
        <v>36</v>
      </c>
      <c r="D24" s="543">
        <v>20</v>
      </c>
      <c r="E24" s="543">
        <v>85</v>
      </c>
      <c r="F24" s="543">
        <v>36</v>
      </c>
      <c r="G24" s="543">
        <v>5301</v>
      </c>
    </row>
    <row r="25" spans="1:7" ht="20.25" customHeight="1" x14ac:dyDescent="0.35">
      <c r="A25" s="377">
        <v>21</v>
      </c>
      <c r="B25" s="369" t="s">
        <v>31</v>
      </c>
      <c r="C25" s="543">
        <v>13</v>
      </c>
      <c r="D25" s="543">
        <v>4</v>
      </c>
      <c r="E25" s="543">
        <v>12</v>
      </c>
      <c r="F25" s="543">
        <v>13</v>
      </c>
      <c r="G25" s="543">
        <v>116</v>
      </c>
    </row>
    <row r="26" spans="1:7" ht="20.25" customHeight="1" x14ac:dyDescent="0.35">
      <c r="A26" s="377">
        <v>22</v>
      </c>
      <c r="B26" s="369" t="s">
        <v>32</v>
      </c>
      <c r="C26" s="543">
        <v>12</v>
      </c>
      <c r="D26" s="543">
        <v>4</v>
      </c>
      <c r="E26" s="543">
        <v>11</v>
      </c>
      <c r="F26" s="543">
        <v>12</v>
      </c>
      <c r="G26" s="543">
        <v>78</v>
      </c>
    </row>
    <row r="27" spans="1:7" ht="20.25" customHeight="1" x14ac:dyDescent="0.35">
      <c r="A27" s="377">
        <v>23</v>
      </c>
      <c r="B27" s="369" t="s">
        <v>33</v>
      </c>
      <c r="C27" s="543">
        <v>11</v>
      </c>
      <c r="D27" s="543">
        <v>1</v>
      </c>
      <c r="E27" s="543">
        <v>3</v>
      </c>
      <c r="F27" s="543">
        <v>11</v>
      </c>
      <c r="G27" s="543">
        <v>40</v>
      </c>
    </row>
    <row r="28" spans="1:7" ht="20.25" customHeight="1" x14ac:dyDescent="0.35">
      <c r="A28" s="377">
        <v>24</v>
      </c>
      <c r="B28" s="369" t="s">
        <v>34</v>
      </c>
      <c r="C28" s="543">
        <v>13</v>
      </c>
      <c r="D28" s="543">
        <v>2</v>
      </c>
      <c r="E28" s="543">
        <v>6</v>
      </c>
      <c r="F28" s="543">
        <v>13</v>
      </c>
      <c r="G28" s="543">
        <v>73</v>
      </c>
    </row>
    <row r="29" spans="1:7" ht="20.25" customHeight="1" x14ac:dyDescent="0.35">
      <c r="A29" s="377">
        <v>25</v>
      </c>
      <c r="B29" s="369" t="s">
        <v>35</v>
      </c>
      <c r="C29" s="543">
        <v>30</v>
      </c>
      <c r="D29" s="543">
        <v>13</v>
      </c>
      <c r="E29" s="543">
        <v>44</v>
      </c>
      <c r="F29" s="543">
        <v>30</v>
      </c>
      <c r="G29" s="543">
        <v>1524</v>
      </c>
    </row>
    <row r="30" spans="1:7" ht="20.25" customHeight="1" x14ac:dyDescent="0.35">
      <c r="A30" s="377">
        <v>26</v>
      </c>
      <c r="B30" s="369" t="s">
        <v>36</v>
      </c>
      <c r="C30" s="543">
        <v>4</v>
      </c>
      <c r="D30" s="543">
        <v>2</v>
      </c>
      <c r="E30" s="543">
        <v>5</v>
      </c>
      <c r="F30" s="543">
        <v>3</v>
      </c>
      <c r="G30" s="543">
        <v>78</v>
      </c>
    </row>
    <row r="31" spans="1:7" ht="20.25" customHeight="1" x14ac:dyDescent="0.35">
      <c r="A31" s="377">
        <v>27</v>
      </c>
      <c r="B31" s="369" t="s">
        <v>37</v>
      </c>
      <c r="C31" s="543">
        <v>23</v>
      </c>
      <c r="D31" s="543">
        <v>15</v>
      </c>
      <c r="E31" s="543">
        <v>40</v>
      </c>
      <c r="F31" s="543">
        <v>23</v>
      </c>
      <c r="G31" s="543">
        <v>1051</v>
      </c>
    </row>
    <row r="32" spans="1:7" ht="20.25" customHeight="1" x14ac:dyDescent="0.35">
      <c r="A32" s="377">
        <v>28</v>
      </c>
      <c r="B32" s="369" t="s">
        <v>38</v>
      </c>
      <c r="C32" s="543">
        <v>43</v>
      </c>
      <c r="D32" s="543">
        <v>20</v>
      </c>
      <c r="E32" s="543">
        <v>92</v>
      </c>
      <c r="F32" s="543">
        <v>42</v>
      </c>
      <c r="G32" s="543">
        <v>4130</v>
      </c>
    </row>
    <row r="33" spans="1:7" ht="20.25" customHeight="1" x14ac:dyDescent="0.35">
      <c r="A33" s="377">
        <v>29</v>
      </c>
      <c r="B33" s="369" t="s">
        <v>39</v>
      </c>
      <c r="C33" s="543">
        <v>6</v>
      </c>
      <c r="D33" s="543">
        <v>2</v>
      </c>
      <c r="E33" s="543">
        <v>10</v>
      </c>
      <c r="F33" s="543">
        <v>5</v>
      </c>
      <c r="G33" s="543">
        <v>22</v>
      </c>
    </row>
    <row r="34" spans="1:7" ht="20.25" customHeight="1" x14ac:dyDescent="0.35">
      <c r="A34" s="377">
        <v>30</v>
      </c>
      <c r="B34" s="369" t="s">
        <v>40</v>
      </c>
      <c r="C34" s="543">
        <v>38</v>
      </c>
      <c r="D34" s="543">
        <v>18</v>
      </c>
      <c r="E34" s="543">
        <v>65</v>
      </c>
      <c r="F34" s="543">
        <v>38</v>
      </c>
      <c r="G34" s="543">
        <v>2933</v>
      </c>
    </row>
    <row r="35" spans="1:7" ht="20.25" customHeight="1" x14ac:dyDescent="0.35">
      <c r="A35" s="377">
        <v>31</v>
      </c>
      <c r="B35" s="369" t="s">
        <v>41</v>
      </c>
      <c r="C35" s="543">
        <v>32</v>
      </c>
      <c r="D35" s="543">
        <v>14</v>
      </c>
      <c r="E35" s="543">
        <v>31</v>
      </c>
      <c r="F35" s="543">
        <v>32</v>
      </c>
      <c r="G35" s="543">
        <v>1780</v>
      </c>
    </row>
    <row r="36" spans="1:7" ht="28" x14ac:dyDescent="0.35">
      <c r="A36" s="377">
        <v>32</v>
      </c>
      <c r="B36" s="368" t="s">
        <v>58</v>
      </c>
      <c r="C36" s="543">
        <v>3</v>
      </c>
      <c r="D36" s="543"/>
      <c r="E36" s="543"/>
      <c r="F36" s="543">
        <v>3</v>
      </c>
      <c r="G36" s="543">
        <v>18</v>
      </c>
    </row>
    <row r="37" spans="1:7" ht="20.25" customHeight="1" x14ac:dyDescent="0.35">
      <c r="A37" s="377">
        <v>33</v>
      </c>
      <c r="B37" s="369" t="s">
        <v>42</v>
      </c>
      <c r="C37" s="543">
        <v>8</v>
      </c>
      <c r="D37" s="543">
        <v>3</v>
      </c>
      <c r="E37" s="543">
        <v>9</v>
      </c>
      <c r="F37" s="543">
        <v>8</v>
      </c>
      <c r="G37" s="543">
        <v>61</v>
      </c>
    </row>
    <row r="38" spans="1:7" ht="20.25" customHeight="1" x14ac:dyDescent="0.35">
      <c r="A38" s="377">
        <v>34</v>
      </c>
      <c r="B38" s="369" t="s">
        <v>43</v>
      </c>
      <c r="C38" s="543">
        <v>75</v>
      </c>
      <c r="D38" s="543">
        <v>33</v>
      </c>
      <c r="E38" s="543">
        <v>103</v>
      </c>
      <c r="F38" s="543">
        <v>75</v>
      </c>
      <c r="G38" s="543">
        <v>8292</v>
      </c>
    </row>
    <row r="39" spans="1:7" ht="20.25" customHeight="1" x14ac:dyDescent="0.35">
      <c r="A39" s="377">
        <v>35</v>
      </c>
      <c r="B39" s="369" t="s">
        <v>44</v>
      </c>
      <c r="C39" s="543">
        <v>13</v>
      </c>
      <c r="D39" s="543">
        <v>7</v>
      </c>
      <c r="E39" s="543">
        <v>40</v>
      </c>
      <c r="F39" s="543">
        <v>13</v>
      </c>
      <c r="G39" s="543">
        <v>382</v>
      </c>
    </row>
    <row r="40" spans="1:7" ht="20.25" customHeight="1" x14ac:dyDescent="0.35">
      <c r="A40" s="377">
        <v>36</v>
      </c>
      <c r="B40" s="369" t="s">
        <v>45</v>
      </c>
      <c r="C40" s="543">
        <v>23</v>
      </c>
      <c r="D40" s="543">
        <v>21</v>
      </c>
      <c r="E40" s="543">
        <v>59</v>
      </c>
      <c r="F40" s="543">
        <v>23</v>
      </c>
      <c r="G40" s="543">
        <v>1576</v>
      </c>
    </row>
    <row r="41" spans="1:7" ht="20.25" customHeight="1" x14ac:dyDescent="0.35">
      <c r="A41" s="674" t="s">
        <v>46</v>
      </c>
      <c r="B41" s="674"/>
      <c r="C41" s="544">
        <v>756</v>
      </c>
      <c r="D41" s="544">
        <v>377</v>
      </c>
      <c r="E41" s="544">
        <v>1278</v>
      </c>
      <c r="F41" s="544">
        <v>751</v>
      </c>
      <c r="G41" s="544">
        <v>46469</v>
      </c>
    </row>
  </sheetData>
  <mergeCells count="5">
    <mergeCell ref="A1:G1"/>
    <mergeCell ref="A2:A3"/>
    <mergeCell ref="B2:B3"/>
    <mergeCell ref="C2:G2"/>
    <mergeCell ref="A41:B41"/>
  </mergeCells>
  <pageMargins left="0.59055118110236227" right="0.35433070866141736" top="0.39370078740157483" bottom="0.39370078740157483" header="0.31496062992125984" footer="0.19685039370078741"/>
  <pageSetup paperSize="9" scale="90" orientation="portrait" r:id="rId1"/>
  <headerFooter>
    <oddFooter>&amp;L&amp;"Arial,Italic"&amp;9AISHE 2023-24&amp;RT-3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5054-A618-40C0-AC08-DAAEF40CCCBA}">
  <sheetPr>
    <pageSetUpPr fitToPage="1"/>
  </sheetPr>
  <dimension ref="A1:F43"/>
  <sheetViews>
    <sheetView view="pageBreakPreview" topLeftCell="A38" zoomScaleSheetLayoutView="100" workbookViewId="0">
      <selection activeCell="B16" sqref="B16:M16"/>
    </sheetView>
  </sheetViews>
  <sheetFormatPr defaultColWidth="9.54296875" defaultRowHeight="13" x14ac:dyDescent="0.35"/>
  <cols>
    <col min="1" max="1" width="7.54296875" style="16" bestFit="1" customWidth="1"/>
    <col min="2" max="2" width="19.26953125" style="16" bestFit="1" customWidth="1"/>
    <col min="3" max="3" width="19.453125" style="18" bestFit="1" customWidth="1"/>
    <col min="4" max="6" width="27.81640625" style="18" customWidth="1"/>
    <col min="7" max="16384" width="9.54296875" style="16"/>
  </cols>
  <sheetData>
    <row r="1" spans="1:6" ht="32.5" customHeight="1" x14ac:dyDescent="0.35">
      <c r="A1" s="677" t="s">
        <v>921</v>
      </c>
      <c r="B1" s="677"/>
      <c r="C1" s="677"/>
      <c r="D1" s="677"/>
      <c r="E1" s="677"/>
      <c r="F1" s="677"/>
    </row>
    <row r="2" spans="1:6" ht="17.5" customHeight="1" x14ac:dyDescent="0.35">
      <c r="A2" s="678" t="s">
        <v>0</v>
      </c>
      <c r="B2" s="678" t="s">
        <v>885</v>
      </c>
      <c r="C2" s="680" t="s">
        <v>78</v>
      </c>
      <c r="D2" s="680" t="s">
        <v>79</v>
      </c>
      <c r="E2" s="681" t="s">
        <v>80</v>
      </c>
      <c r="F2" s="681" t="s">
        <v>81</v>
      </c>
    </row>
    <row r="3" spans="1:6" ht="36" customHeight="1" x14ac:dyDescent="0.35">
      <c r="A3" s="679"/>
      <c r="B3" s="679"/>
      <c r="C3" s="680"/>
      <c r="D3" s="680"/>
      <c r="E3" s="682"/>
      <c r="F3" s="682"/>
    </row>
    <row r="4" spans="1:6" x14ac:dyDescent="0.35">
      <c r="A4" s="545">
        <v>1</v>
      </c>
      <c r="B4" s="546">
        <v>2</v>
      </c>
      <c r="C4" s="545">
        <v>3</v>
      </c>
      <c r="D4" s="546">
        <v>4</v>
      </c>
      <c r="E4" s="545">
        <v>5</v>
      </c>
      <c r="F4" s="545">
        <v>6</v>
      </c>
    </row>
    <row r="5" spans="1:6" ht="27.75" customHeight="1" x14ac:dyDescent="0.35">
      <c r="A5" s="17">
        <v>1</v>
      </c>
      <c r="B5" s="77" t="s">
        <v>56</v>
      </c>
      <c r="C5" s="641">
        <v>9</v>
      </c>
      <c r="D5" s="641">
        <v>17.06678803049266</v>
      </c>
      <c r="E5" s="641">
        <v>3</v>
      </c>
      <c r="F5" s="641">
        <v>548.66666666666663</v>
      </c>
    </row>
    <row r="6" spans="1:6" ht="27.75" customHeight="1" x14ac:dyDescent="0.35">
      <c r="A6" s="17">
        <v>2</v>
      </c>
      <c r="B6" s="77" t="s">
        <v>13</v>
      </c>
      <c r="C6" s="641">
        <v>2587</v>
      </c>
      <c r="D6" s="641">
        <v>50.951274274234848</v>
      </c>
      <c r="E6" s="641">
        <v>2561</v>
      </c>
      <c r="F6" s="641">
        <v>516.83287778211638</v>
      </c>
    </row>
    <row r="7" spans="1:6" ht="27.75" customHeight="1" x14ac:dyDescent="0.35">
      <c r="A7" s="17">
        <v>3</v>
      </c>
      <c r="B7" s="77" t="s">
        <v>14</v>
      </c>
      <c r="C7" s="641">
        <v>43</v>
      </c>
      <c r="D7" s="641">
        <v>24.368404946219499</v>
      </c>
      <c r="E7" s="641">
        <v>43</v>
      </c>
      <c r="F7" s="641">
        <v>642.46511627906978</v>
      </c>
    </row>
    <row r="8" spans="1:6" ht="27.75" customHeight="1" x14ac:dyDescent="0.35">
      <c r="A8" s="17">
        <v>4</v>
      </c>
      <c r="B8" s="77" t="s">
        <v>15</v>
      </c>
      <c r="C8" s="641">
        <v>673</v>
      </c>
      <c r="D8" s="641">
        <v>16.767153321042404</v>
      </c>
      <c r="E8" s="641">
        <v>668</v>
      </c>
      <c r="F8" s="641">
        <v>863.98802395209577</v>
      </c>
    </row>
    <row r="9" spans="1:6" ht="27.75" customHeight="1" x14ac:dyDescent="0.35">
      <c r="A9" s="17">
        <v>5</v>
      </c>
      <c r="B9" s="77" t="s">
        <v>16</v>
      </c>
      <c r="C9" s="641">
        <v>1261</v>
      </c>
      <c r="D9" s="641">
        <v>8.0680247735066803</v>
      </c>
      <c r="E9" s="641">
        <v>1259</v>
      </c>
      <c r="F9" s="641">
        <v>1884.0921366163623</v>
      </c>
    </row>
    <row r="10" spans="1:6" ht="27.75" customHeight="1" x14ac:dyDescent="0.35">
      <c r="A10" s="17">
        <v>6</v>
      </c>
      <c r="B10" s="77" t="s">
        <v>17</v>
      </c>
      <c r="C10" s="641">
        <v>25</v>
      </c>
      <c r="D10" s="641">
        <v>13.964608097238358</v>
      </c>
      <c r="E10" s="641">
        <v>25</v>
      </c>
      <c r="F10" s="641">
        <v>1941.84</v>
      </c>
    </row>
    <row r="11" spans="1:6" ht="27.75" customHeight="1" x14ac:dyDescent="0.35">
      <c r="A11" s="17">
        <v>7</v>
      </c>
      <c r="B11" s="77" t="s">
        <v>18</v>
      </c>
      <c r="C11" s="641">
        <v>1039</v>
      </c>
      <c r="D11" s="641">
        <v>31.340492277992276</v>
      </c>
      <c r="E11" s="641">
        <v>1036</v>
      </c>
      <c r="F11" s="641">
        <v>482.04247104247105</v>
      </c>
    </row>
    <row r="12" spans="1:6" ht="27.75" customHeight="1" x14ac:dyDescent="0.35">
      <c r="A12" s="17">
        <v>8</v>
      </c>
      <c r="B12" s="77" t="s">
        <v>19</v>
      </c>
      <c r="C12" s="641">
        <v>194</v>
      </c>
      <c r="D12" s="641">
        <v>8.3183260440785514</v>
      </c>
      <c r="E12" s="641">
        <v>167</v>
      </c>
      <c r="F12" s="641">
        <v>1747</v>
      </c>
    </row>
    <row r="13" spans="1:6" ht="27.75" customHeight="1" x14ac:dyDescent="0.35">
      <c r="A13" s="17">
        <v>9</v>
      </c>
      <c r="B13" s="77" t="s">
        <v>20</v>
      </c>
      <c r="C13" s="641">
        <v>66</v>
      </c>
      <c r="D13" s="641">
        <v>34.575429442549783</v>
      </c>
      <c r="E13" s="641">
        <v>66</v>
      </c>
      <c r="F13" s="641">
        <v>646.12121212121212</v>
      </c>
    </row>
    <row r="14" spans="1:6" ht="27.75" customHeight="1" x14ac:dyDescent="0.35">
      <c r="A14" s="17">
        <v>10</v>
      </c>
      <c r="B14" s="77" t="s">
        <v>21</v>
      </c>
      <c r="C14" s="641">
        <v>2521</v>
      </c>
      <c r="D14" s="641">
        <v>34.075856289367685</v>
      </c>
      <c r="E14" s="641">
        <v>2521</v>
      </c>
      <c r="F14" s="641">
        <v>515.01586671955579</v>
      </c>
    </row>
    <row r="15" spans="1:6" ht="27.75" customHeight="1" x14ac:dyDescent="0.35">
      <c r="A15" s="17">
        <v>11</v>
      </c>
      <c r="B15" s="77" t="s">
        <v>22</v>
      </c>
      <c r="C15" s="641">
        <v>1149</v>
      </c>
      <c r="D15" s="641">
        <v>35.176340925789859</v>
      </c>
      <c r="E15" s="641">
        <v>1149</v>
      </c>
      <c r="F15" s="641">
        <v>601.46301131418625</v>
      </c>
    </row>
    <row r="16" spans="1:6" ht="27.75" customHeight="1" x14ac:dyDescent="0.35">
      <c r="A16" s="17">
        <v>12</v>
      </c>
      <c r="B16" s="77" t="s">
        <v>23</v>
      </c>
      <c r="C16" s="641">
        <v>369</v>
      </c>
      <c r="D16" s="641">
        <v>50.910596026490062</v>
      </c>
      <c r="E16" s="641">
        <v>346</v>
      </c>
      <c r="F16" s="641">
        <v>554.97687861271675</v>
      </c>
    </row>
    <row r="17" spans="1:6" ht="30" x14ac:dyDescent="0.35">
      <c r="A17" s="17">
        <v>13</v>
      </c>
      <c r="B17" s="77" t="s">
        <v>24</v>
      </c>
      <c r="C17" s="641">
        <v>336</v>
      </c>
      <c r="D17" s="641">
        <v>20.460358056265985</v>
      </c>
      <c r="E17" s="641">
        <v>335</v>
      </c>
      <c r="F17" s="641">
        <v>544.11343283582084</v>
      </c>
    </row>
    <row r="18" spans="1:6" ht="27.75" customHeight="1" x14ac:dyDescent="0.35">
      <c r="A18" s="17">
        <v>14</v>
      </c>
      <c r="B18" s="77" t="s">
        <v>25</v>
      </c>
      <c r="C18" s="641">
        <v>434</v>
      </c>
      <c r="D18" s="641">
        <v>9.1460844643007668</v>
      </c>
      <c r="E18" s="641">
        <v>434</v>
      </c>
      <c r="F18" s="641">
        <v>1610.8110599078341</v>
      </c>
    </row>
    <row r="19" spans="1:6" ht="27.75" customHeight="1" x14ac:dyDescent="0.35">
      <c r="A19" s="17">
        <v>15</v>
      </c>
      <c r="B19" s="77" t="s">
        <v>26</v>
      </c>
      <c r="C19" s="641">
        <v>4529</v>
      </c>
      <c r="D19" s="641">
        <v>68.796330052254234</v>
      </c>
      <c r="E19" s="641">
        <v>4280</v>
      </c>
      <c r="F19" s="641">
        <v>432.57359813084111</v>
      </c>
    </row>
    <row r="20" spans="1:6" ht="27.75" customHeight="1" x14ac:dyDescent="0.35">
      <c r="A20" s="17">
        <v>16</v>
      </c>
      <c r="B20" s="77" t="s">
        <v>27</v>
      </c>
      <c r="C20" s="641">
        <v>1564</v>
      </c>
      <c r="D20" s="641">
        <v>50.409334106878099</v>
      </c>
      <c r="E20" s="641">
        <v>1450</v>
      </c>
      <c r="F20" s="641">
        <v>552.04344827586203</v>
      </c>
    </row>
    <row r="21" spans="1:6" ht="27.75" customHeight="1" x14ac:dyDescent="0.35">
      <c r="A21" s="17">
        <v>17</v>
      </c>
      <c r="B21" s="79" t="s">
        <v>28</v>
      </c>
      <c r="C21" s="641">
        <v>7</v>
      </c>
      <c r="D21" s="641">
        <v>17.425939756036843</v>
      </c>
      <c r="E21" s="641">
        <v>6</v>
      </c>
      <c r="F21" s="641">
        <v>432.16666666666669</v>
      </c>
    </row>
    <row r="22" spans="1:6" ht="27.75" customHeight="1" x14ac:dyDescent="0.35">
      <c r="A22" s="17">
        <v>18</v>
      </c>
      <c r="B22" s="77" t="s">
        <v>82</v>
      </c>
      <c r="C22" s="641">
        <v>5</v>
      </c>
      <c r="D22" s="641">
        <v>59.887411666067798</v>
      </c>
      <c r="E22" s="641">
        <v>5</v>
      </c>
      <c r="F22" s="641">
        <v>118.4</v>
      </c>
    </row>
    <row r="23" spans="1:6" ht="27.75" customHeight="1" x14ac:dyDescent="0.35">
      <c r="A23" s="17">
        <v>19</v>
      </c>
      <c r="B23" s="77" t="s">
        <v>29</v>
      </c>
      <c r="C23" s="641">
        <v>2713</v>
      </c>
      <c r="D23" s="641">
        <v>28.371538525893079</v>
      </c>
      <c r="E23" s="641">
        <v>2659</v>
      </c>
      <c r="F23" s="641">
        <v>708.95035727717186</v>
      </c>
    </row>
    <row r="24" spans="1:6" ht="27.75" customHeight="1" x14ac:dyDescent="0.35">
      <c r="A24" s="17">
        <v>20</v>
      </c>
      <c r="B24" s="77" t="s">
        <v>30</v>
      </c>
      <c r="C24" s="641">
        <v>5380</v>
      </c>
      <c r="D24" s="641">
        <v>42.131971744952779</v>
      </c>
      <c r="E24" s="641">
        <v>5301</v>
      </c>
      <c r="F24" s="641">
        <v>606.84700999811355</v>
      </c>
    </row>
    <row r="25" spans="1:6" ht="27.75" customHeight="1" x14ac:dyDescent="0.35">
      <c r="A25" s="17">
        <v>21</v>
      </c>
      <c r="B25" s="77" t="s">
        <v>31</v>
      </c>
      <c r="C25" s="641">
        <v>116</v>
      </c>
      <c r="D25" s="641">
        <v>31.718861511622503</v>
      </c>
      <c r="E25" s="641">
        <v>116</v>
      </c>
      <c r="F25" s="641">
        <v>741.66379310344826</v>
      </c>
    </row>
    <row r="26" spans="1:6" ht="27.75" customHeight="1" x14ac:dyDescent="0.35">
      <c r="A26" s="17">
        <v>22</v>
      </c>
      <c r="B26" s="77" t="s">
        <v>32</v>
      </c>
      <c r="C26" s="641">
        <v>81</v>
      </c>
      <c r="D26" s="641">
        <v>21.450646300028339</v>
      </c>
      <c r="E26" s="641">
        <v>78</v>
      </c>
      <c r="F26" s="641">
        <v>960.82051282051282</v>
      </c>
    </row>
    <row r="27" spans="1:6" ht="27.75" customHeight="1" x14ac:dyDescent="0.35">
      <c r="A27" s="17">
        <v>23</v>
      </c>
      <c r="B27" s="77" t="s">
        <v>33</v>
      </c>
      <c r="C27" s="641">
        <v>40</v>
      </c>
      <c r="D27" s="641">
        <v>27.802491103202851</v>
      </c>
      <c r="E27" s="641">
        <v>40</v>
      </c>
      <c r="F27" s="641">
        <v>601.4</v>
      </c>
    </row>
    <row r="28" spans="1:6" ht="27.75" customHeight="1" x14ac:dyDescent="0.35">
      <c r="A28" s="17">
        <v>24</v>
      </c>
      <c r="B28" s="77" t="s">
        <v>34</v>
      </c>
      <c r="C28" s="641">
        <v>73</v>
      </c>
      <c r="D28" s="641">
        <v>26.921672684090769</v>
      </c>
      <c r="E28" s="641">
        <v>73</v>
      </c>
      <c r="F28" s="641">
        <v>478.42465753424659</v>
      </c>
    </row>
    <row r="29" spans="1:6" ht="27.75" customHeight="1" x14ac:dyDescent="0.35">
      <c r="A29" s="17">
        <v>25</v>
      </c>
      <c r="B29" s="77" t="s">
        <v>35</v>
      </c>
      <c r="C29" s="641">
        <v>1524</v>
      </c>
      <c r="D29" s="641">
        <v>31.945667211671491</v>
      </c>
      <c r="E29" s="641">
        <v>1524</v>
      </c>
      <c r="F29" s="641">
        <v>524.96062992125985</v>
      </c>
    </row>
    <row r="30" spans="1:6" ht="27.75" customHeight="1" x14ac:dyDescent="0.35">
      <c r="A30" s="17">
        <v>26</v>
      </c>
      <c r="B30" s="77" t="s">
        <v>36</v>
      </c>
      <c r="C30" s="641">
        <v>93</v>
      </c>
      <c r="D30" s="641">
        <v>57.958008488043816</v>
      </c>
      <c r="E30" s="641">
        <v>78</v>
      </c>
      <c r="F30" s="641">
        <v>670.96153846153845</v>
      </c>
    </row>
    <row r="31" spans="1:6" ht="27.75" customHeight="1" x14ac:dyDescent="0.35">
      <c r="A31" s="17">
        <v>27</v>
      </c>
      <c r="B31" s="77" t="s">
        <v>37</v>
      </c>
      <c r="C31" s="641">
        <v>1051</v>
      </c>
      <c r="D31" s="641">
        <v>34.684179262094908</v>
      </c>
      <c r="E31" s="641">
        <v>1051</v>
      </c>
      <c r="F31" s="641">
        <v>505.55185537583253</v>
      </c>
    </row>
    <row r="32" spans="1:6" ht="27.75" customHeight="1" x14ac:dyDescent="0.35">
      <c r="A32" s="17">
        <v>28</v>
      </c>
      <c r="B32" s="77" t="s">
        <v>38</v>
      </c>
      <c r="C32" s="641">
        <v>4344</v>
      </c>
      <c r="D32" s="641">
        <v>46.827501455274557</v>
      </c>
      <c r="E32" s="641">
        <v>4130</v>
      </c>
      <c r="F32" s="641">
        <v>451.75544794188863</v>
      </c>
    </row>
    <row r="33" spans="1:6" ht="27.75" customHeight="1" x14ac:dyDescent="0.35">
      <c r="A33" s="17">
        <v>29</v>
      </c>
      <c r="B33" s="77" t="s">
        <v>39</v>
      </c>
      <c r="C33" s="641">
        <v>22</v>
      </c>
      <c r="D33" s="641">
        <v>25.329280648429588</v>
      </c>
      <c r="E33" s="641">
        <v>22</v>
      </c>
      <c r="F33" s="641">
        <v>636.63636363636363</v>
      </c>
    </row>
    <row r="34" spans="1:6" ht="27.75" customHeight="1" x14ac:dyDescent="0.35">
      <c r="A34" s="17">
        <v>30</v>
      </c>
      <c r="B34" s="77" t="s">
        <v>40</v>
      </c>
      <c r="C34" s="641">
        <v>2983</v>
      </c>
      <c r="D34" s="641">
        <v>43.603461381044262</v>
      </c>
      <c r="E34" s="641">
        <v>2933</v>
      </c>
      <c r="F34" s="641">
        <v>839.67473576542784</v>
      </c>
    </row>
    <row r="35" spans="1:6" ht="27.75" customHeight="1" x14ac:dyDescent="0.35">
      <c r="A35" s="17">
        <v>31</v>
      </c>
      <c r="B35" s="77" t="s">
        <v>41</v>
      </c>
      <c r="C35" s="641">
        <v>2160</v>
      </c>
      <c r="D35" s="641">
        <v>56.299848824480009</v>
      </c>
      <c r="E35" s="641">
        <v>1780</v>
      </c>
      <c r="F35" s="641">
        <v>618.02415730337077</v>
      </c>
    </row>
    <row r="36" spans="1:6" ht="30" x14ac:dyDescent="0.35">
      <c r="A36" s="17">
        <v>32</v>
      </c>
      <c r="B36" s="77" t="s">
        <v>58</v>
      </c>
      <c r="C36" s="641">
        <v>18</v>
      </c>
      <c r="D36" s="641">
        <v>15.02805236441357</v>
      </c>
      <c r="E36" s="641">
        <v>18</v>
      </c>
      <c r="F36" s="641">
        <v>667.61111111111109</v>
      </c>
    </row>
    <row r="37" spans="1:6" ht="27.75" customHeight="1" x14ac:dyDescent="0.35">
      <c r="A37" s="17">
        <v>33</v>
      </c>
      <c r="B37" s="77" t="s">
        <v>42</v>
      </c>
      <c r="C37" s="641">
        <v>61</v>
      </c>
      <c r="D37" s="641">
        <v>12.662195458630945</v>
      </c>
      <c r="E37" s="641">
        <v>61</v>
      </c>
      <c r="F37" s="641">
        <v>1392.1803278688524</v>
      </c>
    </row>
    <row r="38" spans="1:6" ht="27.75" customHeight="1" x14ac:dyDescent="0.35">
      <c r="A38" s="17">
        <v>34</v>
      </c>
      <c r="B38" s="77" t="s">
        <v>43</v>
      </c>
      <c r="C38" s="641">
        <v>8625</v>
      </c>
      <c r="D38" s="641">
        <v>30.810393730040222</v>
      </c>
      <c r="E38" s="641">
        <v>8292</v>
      </c>
      <c r="F38" s="641">
        <v>725.6251808972504</v>
      </c>
    </row>
    <row r="39" spans="1:6" ht="27.75" customHeight="1" x14ac:dyDescent="0.35">
      <c r="A39" s="17">
        <v>35</v>
      </c>
      <c r="B39" s="77" t="s">
        <v>44</v>
      </c>
      <c r="C39" s="641">
        <v>563</v>
      </c>
      <c r="D39" s="641">
        <v>42.593433197155392</v>
      </c>
      <c r="E39" s="641">
        <v>382</v>
      </c>
      <c r="F39" s="641">
        <v>630.06544502617805</v>
      </c>
    </row>
    <row r="40" spans="1:6" ht="27.75" customHeight="1" x14ac:dyDescent="0.35">
      <c r="A40" s="17">
        <v>36</v>
      </c>
      <c r="B40" s="77" t="s">
        <v>45</v>
      </c>
      <c r="C40" s="641">
        <v>1588</v>
      </c>
      <c r="D40" s="641">
        <v>15.891759902327722</v>
      </c>
      <c r="E40" s="641">
        <v>1576</v>
      </c>
      <c r="F40" s="641">
        <v>1083.7899746192893</v>
      </c>
    </row>
    <row r="41" spans="1:6" ht="27.75" customHeight="1" x14ac:dyDescent="0.35">
      <c r="A41" s="675" t="s">
        <v>46</v>
      </c>
      <c r="B41" s="676"/>
      <c r="C41" s="642">
        <v>48246</v>
      </c>
      <c r="D41" s="642">
        <v>32.189966573035584</v>
      </c>
      <c r="E41" s="642">
        <v>46468</v>
      </c>
      <c r="F41" s="642">
        <v>670</v>
      </c>
    </row>
    <row r="42" spans="1:6" x14ac:dyDescent="0.35">
      <c r="A42" s="16" t="s">
        <v>83</v>
      </c>
      <c r="D42" s="19"/>
      <c r="E42" s="19"/>
    </row>
    <row r="43" spans="1:6" x14ac:dyDescent="0.35">
      <c r="D43" s="19"/>
      <c r="E43" s="19"/>
    </row>
  </sheetData>
  <mergeCells count="8">
    <mergeCell ref="A41:B41"/>
    <mergeCell ref="A1:F1"/>
    <mergeCell ref="A2:A3"/>
    <mergeCell ref="B2:B3"/>
    <mergeCell ref="C2:C3"/>
    <mergeCell ref="D2:D3"/>
    <mergeCell ref="E2:E3"/>
    <mergeCell ref="F2:F3"/>
  </mergeCells>
  <pageMargins left="0.59055118110236227" right="0.35433070866141736" top="0.39370078740157483" bottom="0.39370078740157483" header="0.31496062992125984" footer="0.19685039370078741"/>
  <pageSetup paperSize="9" scale="68" firstPageNumber="2" orientation="portrait" r:id="rId1"/>
  <headerFooter>
    <oddFooter>&amp;L&amp;"Arial,Italic"&amp;9AISHE 2023-24&amp;RT-4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1C12-1C75-4757-A424-10CF6A11FBBA}">
  <dimension ref="A1:T42"/>
  <sheetViews>
    <sheetView showZeros="0" view="pageBreakPreview" zoomScale="115" zoomScaleNormal="100" zoomScaleSheetLayoutView="115" workbookViewId="0">
      <pane xSplit="2" ySplit="4" topLeftCell="G33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4.453125" defaultRowHeight="14" x14ac:dyDescent="0.3"/>
  <cols>
    <col min="1" max="1" width="4.453125" style="351" bestFit="1" customWidth="1"/>
    <col min="2" max="2" width="28.54296875" style="28" bestFit="1" customWidth="1"/>
    <col min="3" max="12" width="15.1796875" style="28" customWidth="1"/>
    <col min="13" max="13" width="8.54296875" style="28" bestFit="1" customWidth="1"/>
    <col min="14" max="14" width="10.81640625" style="28" bestFit="1" customWidth="1"/>
    <col min="15" max="15" width="8.54296875" style="28" bestFit="1" customWidth="1"/>
    <col min="16" max="16" width="10.81640625" style="28" bestFit="1" customWidth="1"/>
    <col min="17" max="17" width="8.54296875" style="28" bestFit="1" customWidth="1"/>
    <col min="18" max="18" width="10.81640625" style="28" bestFit="1" customWidth="1"/>
    <col min="19" max="19" width="8.54296875" style="28" bestFit="1" customWidth="1"/>
    <col min="20" max="20" width="10.81640625" style="28" bestFit="1" customWidth="1"/>
    <col min="21" max="16384" width="4.453125" style="28"/>
  </cols>
  <sheetData>
    <row r="1" spans="1:20" s="20" customFormat="1" ht="36.75" customHeight="1" x14ac:dyDescent="0.35">
      <c r="A1" s="684"/>
      <c r="B1" s="684"/>
      <c r="C1" s="685" t="s">
        <v>982</v>
      </c>
      <c r="D1" s="685"/>
      <c r="E1" s="685"/>
      <c r="F1" s="685"/>
      <c r="G1" s="685"/>
      <c r="H1" s="685" t="s">
        <v>983</v>
      </c>
      <c r="I1" s="685"/>
      <c r="J1" s="685"/>
      <c r="K1" s="685"/>
      <c r="L1" s="685"/>
      <c r="M1" s="685" t="s">
        <v>984</v>
      </c>
      <c r="N1" s="685"/>
      <c r="O1" s="685"/>
      <c r="P1" s="685"/>
      <c r="Q1" s="685"/>
      <c r="R1" s="685"/>
      <c r="S1" s="685"/>
      <c r="T1" s="685"/>
    </row>
    <row r="2" spans="1:20" s="22" customFormat="1" ht="15.5" x14ac:dyDescent="0.35">
      <c r="A2" s="687" t="s">
        <v>84</v>
      </c>
      <c r="B2" s="683" t="s">
        <v>885</v>
      </c>
      <c r="C2" s="689" t="s">
        <v>85</v>
      </c>
      <c r="D2" s="689" t="s">
        <v>86</v>
      </c>
      <c r="E2" s="689" t="s">
        <v>87</v>
      </c>
      <c r="F2" s="689" t="s">
        <v>88</v>
      </c>
      <c r="G2" s="689" t="s">
        <v>89</v>
      </c>
      <c r="H2" s="689" t="s">
        <v>85</v>
      </c>
      <c r="I2" s="689" t="s">
        <v>90</v>
      </c>
      <c r="J2" s="683" t="s">
        <v>87</v>
      </c>
      <c r="K2" s="683" t="s">
        <v>88</v>
      </c>
      <c r="L2" s="683" t="s">
        <v>89</v>
      </c>
      <c r="M2" s="689" t="s">
        <v>91</v>
      </c>
      <c r="N2" s="683"/>
      <c r="O2" s="683" t="s">
        <v>86</v>
      </c>
      <c r="P2" s="683"/>
      <c r="Q2" s="683" t="s">
        <v>88</v>
      </c>
      <c r="R2" s="683"/>
      <c r="S2" s="683" t="s">
        <v>89</v>
      </c>
      <c r="T2" s="683"/>
    </row>
    <row r="3" spans="1:20" s="22" customFormat="1" ht="15.5" x14ac:dyDescent="0.35">
      <c r="A3" s="688"/>
      <c r="B3" s="683"/>
      <c r="C3" s="689"/>
      <c r="D3" s="689"/>
      <c r="E3" s="689"/>
      <c r="F3" s="689"/>
      <c r="G3" s="689"/>
      <c r="H3" s="683"/>
      <c r="I3" s="683"/>
      <c r="J3" s="683"/>
      <c r="K3" s="683"/>
      <c r="L3" s="683"/>
      <c r="M3" s="21" t="s">
        <v>92</v>
      </c>
      <c r="N3" s="21" t="s">
        <v>93</v>
      </c>
      <c r="O3" s="21" t="s">
        <v>92</v>
      </c>
      <c r="P3" s="21" t="s">
        <v>93</v>
      </c>
      <c r="Q3" s="21" t="s">
        <v>92</v>
      </c>
      <c r="R3" s="21" t="s">
        <v>93</v>
      </c>
      <c r="S3" s="21" t="s">
        <v>92</v>
      </c>
      <c r="T3" s="21" t="s">
        <v>93</v>
      </c>
    </row>
    <row r="4" spans="1:20" s="24" customFormat="1" ht="10.5" x14ac:dyDescent="0.25">
      <c r="A4" s="547">
        <v>1</v>
      </c>
      <c r="B4" s="547">
        <v>2</v>
      </c>
      <c r="C4" s="547">
        <v>3</v>
      </c>
      <c r="D4" s="547">
        <v>4</v>
      </c>
      <c r="E4" s="547">
        <v>5</v>
      </c>
      <c r="F4" s="547">
        <v>6</v>
      </c>
      <c r="G4" s="547">
        <v>7</v>
      </c>
      <c r="H4" s="547">
        <v>3</v>
      </c>
      <c r="I4" s="547">
        <v>4</v>
      </c>
      <c r="J4" s="547">
        <v>5</v>
      </c>
      <c r="K4" s="547">
        <v>6</v>
      </c>
      <c r="L4" s="547">
        <v>7</v>
      </c>
      <c r="M4" s="547">
        <v>3</v>
      </c>
      <c r="N4" s="547">
        <v>4</v>
      </c>
      <c r="O4" s="547">
        <v>5</v>
      </c>
      <c r="P4" s="547">
        <v>6</v>
      </c>
      <c r="Q4" s="547">
        <v>7</v>
      </c>
      <c r="R4" s="547">
        <v>8</v>
      </c>
      <c r="S4" s="547">
        <v>9</v>
      </c>
      <c r="T4" s="547">
        <v>10</v>
      </c>
    </row>
    <row r="5" spans="1:20" s="26" customFormat="1" ht="22.5" customHeight="1" x14ac:dyDescent="0.35">
      <c r="A5" s="357">
        <v>1</v>
      </c>
      <c r="B5" s="63" t="s">
        <v>56</v>
      </c>
      <c r="C5" s="25"/>
      <c r="D5" s="25"/>
      <c r="E5" s="25"/>
      <c r="F5" s="25">
        <v>3</v>
      </c>
      <c r="G5" s="25">
        <v>3</v>
      </c>
      <c r="H5" s="25"/>
      <c r="I5" s="25"/>
      <c r="J5" s="25"/>
      <c r="K5" s="25">
        <v>1646</v>
      </c>
      <c r="L5" s="25">
        <v>1646</v>
      </c>
      <c r="M5" s="25"/>
      <c r="N5" s="25"/>
      <c r="O5" s="25"/>
      <c r="P5" s="25"/>
      <c r="Q5" s="25"/>
      <c r="R5" s="25"/>
      <c r="S5" s="25"/>
      <c r="T5" s="25"/>
    </row>
    <row r="6" spans="1:20" s="26" customFormat="1" ht="22.5" customHeight="1" x14ac:dyDescent="0.35">
      <c r="A6" s="357">
        <v>2</v>
      </c>
      <c r="B6" s="63" t="s">
        <v>13</v>
      </c>
      <c r="C6" s="25">
        <v>2137</v>
      </c>
      <c r="D6" s="25">
        <v>130</v>
      </c>
      <c r="E6" s="25">
        <v>2267</v>
      </c>
      <c r="F6" s="25">
        <v>294</v>
      </c>
      <c r="G6" s="25">
        <v>2561</v>
      </c>
      <c r="H6" s="25">
        <v>1084860</v>
      </c>
      <c r="I6" s="25">
        <v>68243</v>
      </c>
      <c r="J6" s="25">
        <v>1153103</v>
      </c>
      <c r="K6" s="25">
        <v>170506</v>
      </c>
      <c r="L6" s="25">
        <v>1323609</v>
      </c>
      <c r="M6" s="25">
        <v>24</v>
      </c>
      <c r="N6" s="25">
        <v>1117</v>
      </c>
      <c r="O6" s="25"/>
      <c r="P6" s="25"/>
      <c r="Q6" s="25">
        <v>1</v>
      </c>
      <c r="R6" s="25">
        <v>150</v>
      </c>
      <c r="S6" s="25">
        <v>25</v>
      </c>
      <c r="T6" s="25">
        <v>1267</v>
      </c>
    </row>
    <row r="7" spans="1:20" s="26" customFormat="1" ht="22.5" customHeight="1" x14ac:dyDescent="0.35">
      <c r="A7" s="357">
        <v>3</v>
      </c>
      <c r="B7" s="63" t="s">
        <v>14</v>
      </c>
      <c r="C7" s="25">
        <v>18</v>
      </c>
      <c r="D7" s="25">
        <v>2</v>
      </c>
      <c r="E7" s="25">
        <v>20</v>
      </c>
      <c r="F7" s="25">
        <v>23</v>
      </c>
      <c r="G7" s="25">
        <v>43</v>
      </c>
      <c r="H7" s="25">
        <v>5903</v>
      </c>
      <c r="I7" s="25">
        <v>1110</v>
      </c>
      <c r="J7" s="25">
        <v>7013</v>
      </c>
      <c r="K7" s="25">
        <v>20613</v>
      </c>
      <c r="L7" s="25">
        <v>27626</v>
      </c>
      <c r="M7" s="25"/>
      <c r="N7" s="25"/>
      <c r="O7" s="25"/>
      <c r="P7" s="25"/>
      <c r="Q7" s="25"/>
      <c r="R7" s="25"/>
      <c r="S7" s="25"/>
      <c r="T7" s="25"/>
    </row>
    <row r="8" spans="1:20" s="26" customFormat="1" ht="22.5" customHeight="1" x14ac:dyDescent="0.35">
      <c r="A8" s="357">
        <v>4</v>
      </c>
      <c r="B8" s="63" t="s">
        <v>15</v>
      </c>
      <c r="C8" s="25">
        <v>167</v>
      </c>
      <c r="D8" s="25">
        <v>43</v>
      </c>
      <c r="E8" s="25">
        <v>210</v>
      </c>
      <c r="F8" s="25">
        <v>458</v>
      </c>
      <c r="G8" s="25">
        <v>668</v>
      </c>
      <c r="H8" s="25">
        <v>53682</v>
      </c>
      <c r="I8" s="25">
        <v>13025</v>
      </c>
      <c r="J8" s="25">
        <v>66707</v>
      </c>
      <c r="K8" s="25">
        <v>510437</v>
      </c>
      <c r="L8" s="25">
        <v>577144</v>
      </c>
      <c r="M8" s="25">
        <v>4</v>
      </c>
      <c r="N8" s="25">
        <v>77</v>
      </c>
      <c r="O8" s="25"/>
      <c r="P8" s="25"/>
      <c r="Q8" s="25">
        <v>9</v>
      </c>
      <c r="R8" s="25">
        <v>499</v>
      </c>
      <c r="S8" s="25">
        <v>13</v>
      </c>
      <c r="T8" s="25">
        <v>576</v>
      </c>
    </row>
    <row r="9" spans="1:20" s="26" customFormat="1" ht="22.5" customHeight="1" x14ac:dyDescent="0.35">
      <c r="A9" s="357">
        <v>5</v>
      </c>
      <c r="B9" s="63" t="s">
        <v>16</v>
      </c>
      <c r="C9" s="25">
        <v>632</v>
      </c>
      <c r="D9" s="25">
        <v>189</v>
      </c>
      <c r="E9" s="25">
        <v>821</v>
      </c>
      <c r="F9" s="25">
        <v>438</v>
      </c>
      <c r="G9" s="25">
        <v>1259</v>
      </c>
      <c r="H9" s="25">
        <v>518954</v>
      </c>
      <c r="I9" s="25">
        <v>376272</v>
      </c>
      <c r="J9" s="25">
        <v>895226</v>
      </c>
      <c r="K9" s="25">
        <v>1476846</v>
      </c>
      <c r="L9" s="25">
        <v>2372072</v>
      </c>
      <c r="M9" s="25">
        <v>31</v>
      </c>
      <c r="N9" s="25">
        <v>6870</v>
      </c>
      <c r="O9" s="25">
        <v>2</v>
      </c>
      <c r="P9" s="25">
        <v>311</v>
      </c>
      <c r="Q9" s="25">
        <v>2</v>
      </c>
      <c r="R9" s="25">
        <v>1743</v>
      </c>
      <c r="S9" s="25">
        <v>35</v>
      </c>
      <c r="T9" s="25">
        <v>8924</v>
      </c>
    </row>
    <row r="10" spans="1:20" s="26" customFormat="1" ht="22.5" customHeight="1" x14ac:dyDescent="0.35">
      <c r="A10" s="357">
        <v>6</v>
      </c>
      <c r="B10" s="63" t="s">
        <v>17</v>
      </c>
      <c r="C10" s="25">
        <v>3</v>
      </c>
      <c r="D10" s="25">
        <v>7</v>
      </c>
      <c r="E10" s="25">
        <v>10</v>
      </c>
      <c r="F10" s="25">
        <v>15</v>
      </c>
      <c r="G10" s="25">
        <v>25</v>
      </c>
      <c r="H10" s="25">
        <v>708</v>
      </c>
      <c r="I10" s="25">
        <v>30380</v>
      </c>
      <c r="J10" s="25">
        <v>31088</v>
      </c>
      <c r="K10" s="25">
        <v>17458</v>
      </c>
      <c r="L10" s="25">
        <v>48546</v>
      </c>
      <c r="M10" s="25"/>
      <c r="N10" s="25"/>
      <c r="O10" s="25"/>
      <c r="P10" s="25"/>
      <c r="Q10" s="25"/>
      <c r="R10" s="25"/>
      <c r="S10" s="25"/>
      <c r="T10" s="25"/>
    </row>
    <row r="11" spans="1:20" s="26" customFormat="1" ht="22.5" customHeight="1" x14ac:dyDescent="0.35">
      <c r="A11" s="357">
        <v>7</v>
      </c>
      <c r="B11" s="63" t="s">
        <v>18</v>
      </c>
      <c r="C11" s="27">
        <v>493</v>
      </c>
      <c r="D11" s="25">
        <v>90</v>
      </c>
      <c r="E11" s="25">
        <v>583</v>
      </c>
      <c r="F11" s="25">
        <v>453</v>
      </c>
      <c r="G11" s="25">
        <v>1036</v>
      </c>
      <c r="H11" s="25">
        <v>145625</v>
      </c>
      <c r="I11" s="25">
        <v>40295</v>
      </c>
      <c r="J11" s="25">
        <v>185920</v>
      </c>
      <c r="K11" s="25">
        <v>313476</v>
      </c>
      <c r="L11" s="25">
        <v>499396</v>
      </c>
      <c r="M11" s="25">
        <v>39</v>
      </c>
      <c r="N11" s="25">
        <v>1272</v>
      </c>
      <c r="O11" s="25">
        <v>1</v>
      </c>
      <c r="P11" s="25">
        <v>39</v>
      </c>
      <c r="Q11" s="25">
        <v>55</v>
      </c>
      <c r="R11" s="25">
        <v>5385</v>
      </c>
      <c r="S11" s="25">
        <v>95</v>
      </c>
      <c r="T11" s="25">
        <v>6696</v>
      </c>
    </row>
    <row r="12" spans="1:20" s="26" customFormat="1" ht="22.5" customHeight="1" x14ac:dyDescent="0.35">
      <c r="A12" s="357">
        <v>8</v>
      </c>
      <c r="B12" s="63" t="s">
        <v>19</v>
      </c>
      <c r="C12" s="25">
        <v>66</v>
      </c>
      <c r="D12" s="25">
        <v>5</v>
      </c>
      <c r="E12" s="25">
        <v>71</v>
      </c>
      <c r="F12" s="25">
        <v>96</v>
      </c>
      <c r="G12" s="25">
        <v>167</v>
      </c>
      <c r="H12" s="25">
        <v>71315</v>
      </c>
      <c r="I12" s="25">
        <v>14067</v>
      </c>
      <c r="J12" s="25">
        <v>85382</v>
      </c>
      <c r="K12" s="25">
        <v>206338</v>
      </c>
      <c r="L12" s="25">
        <v>291720</v>
      </c>
      <c r="M12" s="25"/>
      <c r="N12" s="25"/>
      <c r="O12" s="25"/>
      <c r="P12" s="25"/>
      <c r="Q12" s="25"/>
      <c r="R12" s="25"/>
      <c r="S12" s="25"/>
      <c r="T12" s="25"/>
    </row>
    <row r="13" spans="1:20" s="26" customFormat="1" ht="22.5" customHeight="1" x14ac:dyDescent="0.35">
      <c r="A13" s="357">
        <v>9</v>
      </c>
      <c r="B13" s="63" t="s">
        <v>20</v>
      </c>
      <c r="C13" s="25">
        <v>17</v>
      </c>
      <c r="D13" s="25">
        <v>29</v>
      </c>
      <c r="E13" s="25">
        <v>46</v>
      </c>
      <c r="F13" s="25">
        <v>20</v>
      </c>
      <c r="G13" s="25">
        <v>66</v>
      </c>
      <c r="H13" s="25">
        <v>5284</v>
      </c>
      <c r="I13" s="25">
        <v>24353</v>
      </c>
      <c r="J13" s="25">
        <v>29637</v>
      </c>
      <c r="K13" s="25">
        <v>13007</v>
      </c>
      <c r="L13" s="25">
        <v>42644</v>
      </c>
      <c r="M13" s="25">
        <v>2</v>
      </c>
      <c r="N13" s="25">
        <v>179</v>
      </c>
      <c r="O13" s="25">
        <v>1</v>
      </c>
      <c r="P13" s="25">
        <v>52</v>
      </c>
      <c r="Q13" s="25"/>
      <c r="R13" s="25"/>
      <c r="S13" s="25">
        <v>3</v>
      </c>
      <c r="T13" s="25">
        <v>231</v>
      </c>
    </row>
    <row r="14" spans="1:20" s="26" customFormat="1" ht="22.5" customHeight="1" x14ac:dyDescent="0.35">
      <c r="A14" s="357">
        <v>10</v>
      </c>
      <c r="B14" s="63" t="s">
        <v>21</v>
      </c>
      <c r="C14" s="25">
        <v>1699</v>
      </c>
      <c r="D14" s="25">
        <v>515</v>
      </c>
      <c r="E14" s="25">
        <v>2214</v>
      </c>
      <c r="F14" s="25">
        <v>307</v>
      </c>
      <c r="G14" s="25">
        <v>2521</v>
      </c>
      <c r="H14" s="25">
        <v>572997</v>
      </c>
      <c r="I14" s="25">
        <v>500347</v>
      </c>
      <c r="J14" s="25">
        <v>1073344</v>
      </c>
      <c r="K14" s="25">
        <v>225011</v>
      </c>
      <c r="L14" s="25">
        <v>1298355</v>
      </c>
      <c r="M14" s="25">
        <v>109</v>
      </c>
      <c r="N14" s="25">
        <v>7710</v>
      </c>
      <c r="O14" s="25">
        <v>3</v>
      </c>
      <c r="P14" s="25">
        <v>142</v>
      </c>
      <c r="Q14" s="25"/>
      <c r="R14" s="25"/>
      <c r="S14" s="25">
        <v>112</v>
      </c>
      <c r="T14" s="25">
        <v>7852</v>
      </c>
    </row>
    <row r="15" spans="1:20" s="26" customFormat="1" ht="22.5" customHeight="1" x14ac:dyDescent="0.35">
      <c r="A15" s="357">
        <v>11</v>
      </c>
      <c r="B15" s="63" t="s">
        <v>22</v>
      </c>
      <c r="C15" s="25">
        <v>785</v>
      </c>
      <c r="D15" s="25">
        <v>143</v>
      </c>
      <c r="E15" s="25">
        <v>928</v>
      </c>
      <c r="F15" s="25">
        <v>221</v>
      </c>
      <c r="G15" s="25">
        <v>1149</v>
      </c>
      <c r="H15" s="25">
        <v>291898</v>
      </c>
      <c r="I15" s="25">
        <v>160382</v>
      </c>
      <c r="J15" s="25">
        <v>452280</v>
      </c>
      <c r="K15" s="25">
        <v>238801</v>
      </c>
      <c r="L15" s="25">
        <v>691081</v>
      </c>
      <c r="M15" s="25">
        <v>8</v>
      </c>
      <c r="N15" s="25">
        <v>563</v>
      </c>
      <c r="O15" s="25">
        <v>1</v>
      </c>
      <c r="P15" s="25">
        <v>79</v>
      </c>
      <c r="Q15" s="25">
        <v>5</v>
      </c>
      <c r="R15" s="25">
        <v>524</v>
      </c>
      <c r="S15" s="25">
        <v>14</v>
      </c>
      <c r="T15" s="25">
        <v>1166</v>
      </c>
    </row>
    <row r="16" spans="1:20" s="26" customFormat="1" ht="22.5" customHeight="1" x14ac:dyDescent="0.35">
      <c r="A16" s="357">
        <v>12</v>
      </c>
      <c r="B16" s="63" t="s">
        <v>23</v>
      </c>
      <c r="C16" s="25">
        <v>165</v>
      </c>
      <c r="D16" s="25">
        <v>15</v>
      </c>
      <c r="E16" s="25">
        <v>180</v>
      </c>
      <c r="F16" s="25">
        <v>166</v>
      </c>
      <c r="G16" s="25">
        <v>346</v>
      </c>
      <c r="H16" s="25">
        <v>37193</v>
      </c>
      <c r="I16" s="25">
        <v>11231</v>
      </c>
      <c r="J16" s="25">
        <v>48424</v>
      </c>
      <c r="K16" s="25">
        <v>143598</v>
      </c>
      <c r="L16" s="25">
        <v>192022</v>
      </c>
      <c r="M16" s="25">
        <v>3</v>
      </c>
      <c r="N16" s="25">
        <v>141</v>
      </c>
      <c r="O16" s="25"/>
      <c r="P16" s="25"/>
      <c r="Q16" s="25"/>
      <c r="R16" s="25"/>
      <c r="S16" s="25">
        <v>3</v>
      </c>
      <c r="T16" s="25">
        <v>141</v>
      </c>
    </row>
    <row r="17" spans="1:20" s="26" customFormat="1" ht="22.5" customHeight="1" x14ac:dyDescent="0.35">
      <c r="A17" s="357">
        <v>13</v>
      </c>
      <c r="B17" s="63" t="s">
        <v>24</v>
      </c>
      <c r="C17" s="25">
        <v>131</v>
      </c>
      <c r="D17" s="25">
        <v>20</v>
      </c>
      <c r="E17" s="25">
        <v>151</v>
      </c>
      <c r="F17" s="25">
        <v>184</v>
      </c>
      <c r="G17" s="25">
        <v>335</v>
      </c>
      <c r="H17" s="25">
        <v>28946</v>
      </c>
      <c r="I17" s="25">
        <v>3750</v>
      </c>
      <c r="J17" s="25">
        <v>32696</v>
      </c>
      <c r="K17" s="25">
        <v>149582</v>
      </c>
      <c r="L17" s="25">
        <v>182278</v>
      </c>
      <c r="M17" s="25"/>
      <c r="N17" s="25"/>
      <c r="O17" s="25"/>
      <c r="P17" s="25"/>
      <c r="Q17" s="25">
        <v>3</v>
      </c>
      <c r="R17" s="25">
        <v>253</v>
      </c>
      <c r="S17" s="25">
        <v>3</v>
      </c>
      <c r="T17" s="25">
        <v>253</v>
      </c>
    </row>
    <row r="18" spans="1:20" s="26" customFormat="1" ht="22.5" customHeight="1" x14ac:dyDescent="0.35">
      <c r="A18" s="357">
        <v>14</v>
      </c>
      <c r="B18" s="63" t="s">
        <v>25</v>
      </c>
      <c r="C18" s="25">
        <v>207</v>
      </c>
      <c r="D18" s="25">
        <v>77</v>
      </c>
      <c r="E18" s="25">
        <v>284</v>
      </c>
      <c r="F18" s="25">
        <v>150</v>
      </c>
      <c r="G18" s="25">
        <v>434</v>
      </c>
      <c r="H18" s="25">
        <v>116823</v>
      </c>
      <c r="I18" s="25">
        <v>189506</v>
      </c>
      <c r="J18" s="25">
        <v>306329</v>
      </c>
      <c r="K18" s="25">
        <v>392763</v>
      </c>
      <c r="L18" s="25">
        <v>699092</v>
      </c>
      <c r="M18" s="25">
        <v>4</v>
      </c>
      <c r="N18" s="25">
        <v>544</v>
      </c>
      <c r="O18" s="25"/>
      <c r="P18" s="25"/>
      <c r="Q18" s="25">
        <v>4</v>
      </c>
      <c r="R18" s="25">
        <v>847</v>
      </c>
      <c r="S18" s="25">
        <v>8</v>
      </c>
      <c r="T18" s="25">
        <v>1391</v>
      </c>
    </row>
    <row r="19" spans="1:20" s="26" customFormat="1" ht="22.5" customHeight="1" x14ac:dyDescent="0.35">
      <c r="A19" s="357">
        <v>15</v>
      </c>
      <c r="B19" s="63" t="s">
        <v>26</v>
      </c>
      <c r="C19" s="25">
        <v>3175</v>
      </c>
      <c r="D19" s="25">
        <v>494</v>
      </c>
      <c r="E19" s="25">
        <v>3669</v>
      </c>
      <c r="F19" s="25">
        <v>611</v>
      </c>
      <c r="G19" s="25">
        <v>4280</v>
      </c>
      <c r="H19" s="25">
        <v>1074697</v>
      </c>
      <c r="I19" s="25">
        <v>312532</v>
      </c>
      <c r="J19" s="25">
        <v>1387229</v>
      </c>
      <c r="K19" s="25">
        <v>464186</v>
      </c>
      <c r="L19" s="25">
        <v>1851415</v>
      </c>
      <c r="M19" s="25">
        <v>73</v>
      </c>
      <c r="N19" s="25">
        <v>2991</v>
      </c>
      <c r="O19" s="25">
        <v>2</v>
      </c>
      <c r="P19" s="25">
        <v>35</v>
      </c>
      <c r="Q19" s="25">
        <v>2</v>
      </c>
      <c r="R19" s="25">
        <v>69</v>
      </c>
      <c r="S19" s="25">
        <v>77</v>
      </c>
      <c r="T19" s="25">
        <v>3095</v>
      </c>
    </row>
    <row r="20" spans="1:20" s="26" customFormat="1" ht="22.5" customHeight="1" x14ac:dyDescent="0.35">
      <c r="A20" s="357">
        <v>16</v>
      </c>
      <c r="B20" s="63" t="s">
        <v>27</v>
      </c>
      <c r="C20" s="25">
        <v>932</v>
      </c>
      <c r="D20" s="25">
        <v>226</v>
      </c>
      <c r="E20" s="25">
        <v>1158</v>
      </c>
      <c r="F20" s="25">
        <v>292</v>
      </c>
      <c r="G20" s="25">
        <v>1450</v>
      </c>
      <c r="H20" s="25">
        <v>393597</v>
      </c>
      <c r="I20" s="25">
        <v>261910</v>
      </c>
      <c r="J20" s="25">
        <v>655507</v>
      </c>
      <c r="K20" s="25">
        <v>144956</v>
      </c>
      <c r="L20" s="25">
        <v>800463</v>
      </c>
      <c r="M20" s="25">
        <v>27</v>
      </c>
      <c r="N20" s="25">
        <v>1390</v>
      </c>
      <c r="O20" s="25">
        <v>1</v>
      </c>
      <c r="P20" s="25">
        <v>60</v>
      </c>
      <c r="Q20" s="25">
        <v>15</v>
      </c>
      <c r="R20" s="25">
        <v>846</v>
      </c>
      <c r="S20" s="25">
        <v>43</v>
      </c>
      <c r="T20" s="25">
        <v>2296</v>
      </c>
    </row>
    <row r="21" spans="1:20" s="26" customFormat="1" ht="22.5" customHeight="1" x14ac:dyDescent="0.35">
      <c r="A21" s="357">
        <v>17</v>
      </c>
      <c r="B21" s="63" t="s">
        <v>28</v>
      </c>
      <c r="C21" s="25"/>
      <c r="D21" s="25"/>
      <c r="E21" s="25"/>
      <c r="F21" s="25">
        <v>6</v>
      </c>
      <c r="G21" s="25">
        <v>6</v>
      </c>
      <c r="H21" s="25"/>
      <c r="I21" s="25"/>
      <c r="J21" s="25"/>
      <c r="K21" s="25">
        <v>2593</v>
      </c>
      <c r="L21" s="25">
        <v>2593</v>
      </c>
      <c r="M21" s="25"/>
      <c r="N21" s="25"/>
      <c r="O21" s="25"/>
      <c r="P21" s="25"/>
      <c r="Q21" s="25"/>
      <c r="R21" s="25"/>
      <c r="S21" s="25"/>
      <c r="T21" s="25"/>
    </row>
    <row r="22" spans="1:20" s="26" customFormat="1" ht="22.5" customHeight="1" x14ac:dyDescent="0.35">
      <c r="A22" s="357">
        <v>18</v>
      </c>
      <c r="B22" s="63" t="s">
        <v>82</v>
      </c>
      <c r="C22" s="25"/>
      <c r="D22" s="25"/>
      <c r="E22" s="25"/>
      <c r="F22" s="25">
        <v>5</v>
      </c>
      <c r="G22" s="25">
        <v>5</v>
      </c>
      <c r="H22" s="25"/>
      <c r="I22" s="25"/>
      <c r="J22" s="25"/>
      <c r="K22" s="25">
        <v>592</v>
      </c>
      <c r="L22" s="25">
        <v>592</v>
      </c>
      <c r="M22" s="25"/>
      <c r="N22" s="25"/>
      <c r="O22" s="25"/>
      <c r="P22" s="25"/>
      <c r="Q22" s="25"/>
      <c r="R22" s="25"/>
      <c r="S22" s="25"/>
      <c r="T22" s="25"/>
    </row>
    <row r="23" spans="1:20" s="26" customFormat="1" ht="22.5" customHeight="1" x14ac:dyDescent="0.35">
      <c r="A23" s="357">
        <v>19</v>
      </c>
      <c r="B23" s="63" t="s">
        <v>29</v>
      </c>
      <c r="C23" s="25">
        <v>1669</v>
      </c>
      <c r="D23" s="25">
        <v>302</v>
      </c>
      <c r="E23" s="25">
        <v>1971</v>
      </c>
      <c r="F23" s="25">
        <v>688</v>
      </c>
      <c r="G23" s="25">
        <v>2659</v>
      </c>
      <c r="H23" s="25">
        <v>717265</v>
      </c>
      <c r="I23" s="25">
        <v>153898</v>
      </c>
      <c r="J23" s="25">
        <v>871163</v>
      </c>
      <c r="K23" s="25">
        <v>1013936</v>
      </c>
      <c r="L23" s="25">
        <v>1885099</v>
      </c>
      <c r="M23" s="25">
        <v>73</v>
      </c>
      <c r="N23" s="25">
        <v>4546</v>
      </c>
      <c r="O23" s="25">
        <v>3</v>
      </c>
      <c r="P23" s="25">
        <v>46</v>
      </c>
      <c r="Q23" s="25">
        <v>25</v>
      </c>
      <c r="R23" s="25">
        <v>3055</v>
      </c>
      <c r="S23" s="25">
        <v>101</v>
      </c>
      <c r="T23" s="25">
        <v>7647</v>
      </c>
    </row>
    <row r="24" spans="1:20" s="26" customFormat="1" ht="22.5" customHeight="1" x14ac:dyDescent="0.35">
      <c r="A24" s="357">
        <v>20</v>
      </c>
      <c r="B24" s="63" t="s">
        <v>30</v>
      </c>
      <c r="C24" s="25">
        <v>3722</v>
      </c>
      <c r="D24" s="25">
        <v>1262</v>
      </c>
      <c r="E24" s="25">
        <v>4984</v>
      </c>
      <c r="F24" s="25">
        <v>317</v>
      </c>
      <c r="G24" s="25">
        <v>5301</v>
      </c>
      <c r="H24" s="25">
        <v>1553123</v>
      </c>
      <c r="I24" s="25">
        <v>1501417</v>
      </c>
      <c r="J24" s="25">
        <v>3054540</v>
      </c>
      <c r="K24" s="25">
        <v>162356</v>
      </c>
      <c r="L24" s="25">
        <v>3216896</v>
      </c>
      <c r="M24" s="25">
        <v>208</v>
      </c>
      <c r="N24" s="25">
        <v>15222</v>
      </c>
      <c r="O24" s="25">
        <v>3</v>
      </c>
      <c r="P24" s="25">
        <v>926</v>
      </c>
      <c r="Q24" s="25">
        <v>4</v>
      </c>
      <c r="R24" s="25">
        <v>608</v>
      </c>
      <c r="S24" s="25">
        <v>215</v>
      </c>
      <c r="T24" s="25">
        <v>16756</v>
      </c>
    </row>
    <row r="25" spans="1:20" s="26" customFormat="1" ht="22.5" customHeight="1" x14ac:dyDescent="0.35">
      <c r="A25" s="357">
        <v>21</v>
      </c>
      <c r="B25" s="63" t="s">
        <v>31</v>
      </c>
      <c r="C25" s="25">
        <v>44</v>
      </c>
      <c r="D25" s="25">
        <v>20</v>
      </c>
      <c r="E25" s="25">
        <v>64</v>
      </c>
      <c r="F25" s="25">
        <v>52</v>
      </c>
      <c r="G25" s="25">
        <v>116</v>
      </c>
      <c r="H25" s="25">
        <v>10022</v>
      </c>
      <c r="I25" s="25">
        <v>15998</v>
      </c>
      <c r="J25" s="25">
        <v>26020</v>
      </c>
      <c r="K25" s="25">
        <v>60013</v>
      </c>
      <c r="L25" s="25">
        <v>86033</v>
      </c>
      <c r="M25" s="25">
        <v>4</v>
      </c>
      <c r="N25" s="25">
        <v>115</v>
      </c>
      <c r="O25" s="25"/>
      <c r="P25" s="25"/>
      <c r="Q25" s="25"/>
      <c r="R25" s="25"/>
      <c r="S25" s="25">
        <v>4</v>
      </c>
      <c r="T25" s="25">
        <v>115</v>
      </c>
    </row>
    <row r="26" spans="1:20" s="26" customFormat="1" ht="22.5" customHeight="1" x14ac:dyDescent="0.35">
      <c r="A26" s="357">
        <v>22</v>
      </c>
      <c r="B26" s="63" t="s">
        <v>32</v>
      </c>
      <c r="C26" s="25">
        <v>29</v>
      </c>
      <c r="D26" s="25">
        <v>36</v>
      </c>
      <c r="E26" s="25">
        <v>65</v>
      </c>
      <c r="F26" s="25">
        <v>13</v>
      </c>
      <c r="G26" s="25">
        <v>78</v>
      </c>
      <c r="H26" s="25">
        <v>21296</v>
      </c>
      <c r="I26" s="25">
        <v>41017</v>
      </c>
      <c r="J26" s="25">
        <v>62313</v>
      </c>
      <c r="K26" s="25">
        <v>12631</v>
      </c>
      <c r="L26" s="25">
        <v>74944</v>
      </c>
      <c r="M26" s="25">
        <v>1</v>
      </c>
      <c r="N26" s="25">
        <v>41</v>
      </c>
      <c r="O26" s="25"/>
      <c r="P26" s="25"/>
      <c r="Q26" s="25"/>
      <c r="R26" s="25"/>
      <c r="S26" s="25">
        <v>1</v>
      </c>
      <c r="T26" s="25">
        <v>41</v>
      </c>
    </row>
    <row r="27" spans="1:20" s="26" customFormat="1" ht="22.5" customHeight="1" x14ac:dyDescent="0.35">
      <c r="A27" s="357">
        <v>23</v>
      </c>
      <c r="B27" s="63" t="s">
        <v>33</v>
      </c>
      <c r="C27" s="25">
        <v>8</v>
      </c>
      <c r="D27" s="25">
        <v>1</v>
      </c>
      <c r="E27" s="25">
        <v>9</v>
      </c>
      <c r="F27" s="25">
        <v>31</v>
      </c>
      <c r="G27" s="25">
        <v>40</v>
      </c>
      <c r="H27" s="25">
        <v>1100</v>
      </c>
      <c r="I27" s="25">
        <v>6</v>
      </c>
      <c r="J27" s="25">
        <v>1106</v>
      </c>
      <c r="K27" s="25">
        <v>22950</v>
      </c>
      <c r="L27" s="25">
        <v>24056</v>
      </c>
      <c r="M27" s="25"/>
      <c r="N27" s="25"/>
      <c r="O27" s="25"/>
      <c r="P27" s="25"/>
      <c r="Q27" s="25"/>
      <c r="R27" s="25"/>
      <c r="S27" s="25"/>
      <c r="T27" s="25"/>
    </row>
    <row r="28" spans="1:20" s="26" customFormat="1" ht="22.5" customHeight="1" x14ac:dyDescent="0.35">
      <c r="A28" s="357">
        <v>24</v>
      </c>
      <c r="B28" s="63" t="s">
        <v>34</v>
      </c>
      <c r="C28" s="25">
        <v>24</v>
      </c>
      <c r="D28" s="25">
        <v>29</v>
      </c>
      <c r="E28" s="25">
        <v>53</v>
      </c>
      <c r="F28" s="25">
        <v>20</v>
      </c>
      <c r="G28" s="25">
        <v>73</v>
      </c>
      <c r="H28" s="25">
        <v>11342</v>
      </c>
      <c r="I28" s="25">
        <v>12769</v>
      </c>
      <c r="J28" s="25">
        <v>24111</v>
      </c>
      <c r="K28" s="25">
        <v>10814</v>
      </c>
      <c r="L28" s="25">
        <v>34925</v>
      </c>
      <c r="M28" s="25"/>
      <c r="N28" s="25"/>
      <c r="O28" s="25"/>
      <c r="P28" s="25"/>
      <c r="Q28" s="25">
        <v>3</v>
      </c>
      <c r="R28" s="25">
        <v>121</v>
      </c>
      <c r="S28" s="25">
        <v>3</v>
      </c>
      <c r="T28" s="25">
        <v>121</v>
      </c>
    </row>
    <row r="29" spans="1:20" s="26" customFormat="1" ht="22.5" customHeight="1" x14ac:dyDescent="0.35">
      <c r="A29" s="357">
        <v>25</v>
      </c>
      <c r="B29" s="63" t="s">
        <v>35</v>
      </c>
      <c r="C29" s="25">
        <v>715</v>
      </c>
      <c r="D29" s="25">
        <v>470</v>
      </c>
      <c r="E29" s="25">
        <v>1185</v>
      </c>
      <c r="F29" s="25">
        <v>339</v>
      </c>
      <c r="G29" s="25">
        <v>1524</v>
      </c>
      <c r="H29" s="25">
        <v>252541</v>
      </c>
      <c r="I29" s="25">
        <v>305826</v>
      </c>
      <c r="J29" s="25">
        <v>558367</v>
      </c>
      <c r="K29" s="25">
        <v>241673</v>
      </c>
      <c r="L29" s="25">
        <v>800040</v>
      </c>
      <c r="M29" s="25">
        <v>104</v>
      </c>
      <c r="N29" s="25">
        <v>7411</v>
      </c>
      <c r="O29" s="25">
        <v>2</v>
      </c>
      <c r="P29" s="25">
        <v>95</v>
      </c>
      <c r="Q29" s="25">
        <v>1</v>
      </c>
      <c r="R29" s="25">
        <v>100</v>
      </c>
      <c r="S29" s="25">
        <v>107</v>
      </c>
      <c r="T29" s="25">
        <v>7606</v>
      </c>
    </row>
    <row r="30" spans="1:20" s="26" customFormat="1" ht="22.5" customHeight="1" x14ac:dyDescent="0.35">
      <c r="A30" s="357">
        <v>26</v>
      </c>
      <c r="B30" s="63" t="s">
        <v>36</v>
      </c>
      <c r="C30" s="25">
        <v>50</v>
      </c>
      <c r="D30" s="25">
        <v>2</v>
      </c>
      <c r="E30" s="25">
        <v>52</v>
      </c>
      <c r="F30" s="25">
        <v>26</v>
      </c>
      <c r="G30" s="25">
        <v>78</v>
      </c>
      <c r="H30" s="25">
        <v>28987</v>
      </c>
      <c r="I30" s="25">
        <v>446</v>
      </c>
      <c r="J30" s="25">
        <v>29433</v>
      </c>
      <c r="K30" s="25">
        <v>22902</v>
      </c>
      <c r="L30" s="25">
        <v>52335</v>
      </c>
      <c r="M30" s="25">
        <v>2</v>
      </c>
      <c r="N30" s="25">
        <v>76</v>
      </c>
      <c r="O30" s="25"/>
      <c r="P30" s="25"/>
      <c r="Q30" s="25">
        <v>1</v>
      </c>
      <c r="R30" s="25">
        <v>74</v>
      </c>
      <c r="S30" s="25">
        <v>3</v>
      </c>
      <c r="T30" s="25">
        <v>150</v>
      </c>
    </row>
    <row r="31" spans="1:20" s="26" customFormat="1" ht="22.5" customHeight="1" x14ac:dyDescent="0.35">
      <c r="A31" s="357">
        <v>27</v>
      </c>
      <c r="B31" s="63" t="s">
        <v>37</v>
      </c>
      <c r="C31" s="25">
        <v>765</v>
      </c>
      <c r="D31" s="25">
        <v>134</v>
      </c>
      <c r="E31" s="25">
        <v>899</v>
      </c>
      <c r="F31" s="25">
        <v>152</v>
      </c>
      <c r="G31" s="25">
        <v>1051</v>
      </c>
      <c r="H31" s="25">
        <v>266623</v>
      </c>
      <c r="I31" s="25">
        <v>138814</v>
      </c>
      <c r="J31" s="25">
        <v>405437</v>
      </c>
      <c r="K31" s="25">
        <v>125898</v>
      </c>
      <c r="L31" s="25">
        <v>531335</v>
      </c>
      <c r="M31" s="25">
        <v>13</v>
      </c>
      <c r="N31" s="25">
        <v>626</v>
      </c>
      <c r="O31" s="25"/>
      <c r="P31" s="25"/>
      <c r="Q31" s="25"/>
      <c r="R31" s="25"/>
      <c r="S31" s="25">
        <v>13</v>
      </c>
      <c r="T31" s="25">
        <v>626</v>
      </c>
    </row>
    <row r="32" spans="1:20" s="26" customFormat="1" ht="22.5" customHeight="1" x14ac:dyDescent="0.35">
      <c r="A32" s="357">
        <v>28</v>
      </c>
      <c r="B32" s="63" t="s">
        <v>38</v>
      </c>
      <c r="C32" s="25">
        <v>3016</v>
      </c>
      <c r="D32" s="25">
        <v>272</v>
      </c>
      <c r="E32" s="25">
        <v>3288</v>
      </c>
      <c r="F32" s="25">
        <v>842</v>
      </c>
      <c r="G32" s="25">
        <v>4130</v>
      </c>
      <c r="H32" s="25">
        <v>1129577</v>
      </c>
      <c r="I32" s="25">
        <v>103851</v>
      </c>
      <c r="J32" s="25">
        <v>1233428</v>
      </c>
      <c r="K32" s="25">
        <v>632322</v>
      </c>
      <c r="L32" s="25">
        <v>1865750</v>
      </c>
      <c r="M32" s="25">
        <v>118</v>
      </c>
      <c r="N32" s="25">
        <v>5975</v>
      </c>
      <c r="O32" s="25">
        <v>1</v>
      </c>
      <c r="P32" s="25">
        <v>49</v>
      </c>
      <c r="Q32" s="25">
        <v>123</v>
      </c>
      <c r="R32" s="25">
        <v>11896</v>
      </c>
      <c r="S32" s="25">
        <v>242</v>
      </c>
      <c r="T32" s="25">
        <v>17920</v>
      </c>
    </row>
    <row r="33" spans="1:20" s="26" customFormat="1" ht="22.5" customHeight="1" x14ac:dyDescent="0.35">
      <c r="A33" s="357">
        <v>29</v>
      </c>
      <c r="B33" s="63" t="s">
        <v>39</v>
      </c>
      <c r="C33" s="25">
        <v>4</v>
      </c>
      <c r="D33" s="25">
        <v>1</v>
      </c>
      <c r="E33" s="25">
        <v>5</v>
      </c>
      <c r="F33" s="25">
        <v>17</v>
      </c>
      <c r="G33" s="25">
        <v>22</v>
      </c>
      <c r="H33" s="25">
        <v>1059</v>
      </c>
      <c r="I33" s="25">
        <v>7</v>
      </c>
      <c r="J33" s="25">
        <v>1066</v>
      </c>
      <c r="K33" s="25">
        <v>12940</v>
      </c>
      <c r="L33" s="25">
        <v>14006</v>
      </c>
      <c r="M33" s="25"/>
      <c r="N33" s="25"/>
      <c r="O33" s="25"/>
      <c r="P33" s="25"/>
      <c r="Q33" s="25"/>
      <c r="R33" s="25"/>
      <c r="S33" s="25"/>
      <c r="T33" s="25"/>
    </row>
    <row r="34" spans="1:20" s="26" customFormat="1" ht="22.5" customHeight="1" x14ac:dyDescent="0.35">
      <c r="A34" s="357">
        <v>30</v>
      </c>
      <c r="B34" s="63" t="s">
        <v>40</v>
      </c>
      <c r="C34" s="25">
        <v>2305</v>
      </c>
      <c r="D34" s="25">
        <v>262</v>
      </c>
      <c r="E34" s="25">
        <v>2567</v>
      </c>
      <c r="F34" s="25">
        <v>366</v>
      </c>
      <c r="G34" s="25">
        <v>2933</v>
      </c>
      <c r="H34" s="25">
        <v>1488684</v>
      </c>
      <c r="I34" s="25">
        <v>487392</v>
      </c>
      <c r="J34" s="25">
        <v>1976076</v>
      </c>
      <c r="K34" s="25">
        <v>486690</v>
      </c>
      <c r="L34" s="25">
        <v>2462766</v>
      </c>
      <c r="M34" s="25">
        <v>51</v>
      </c>
      <c r="N34" s="25">
        <v>2867</v>
      </c>
      <c r="O34" s="25"/>
      <c r="P34" s="25"/>
      <c r="Q34" s="25">
        <v>2</v>
      </c>
      <c r="R34" s="25">
        <v>165</v>
      </c>
      <c r="S34" s="25">
        <v>53</v>
      </c>
      <c r="T34" s="25">
        <v>3032</v>
      </c>
    </row>
    <row r="35" spans="1:20" s="26" customFormat="1" ht="22.5" customHeight="1" x14ac:dyDescent="0.35">
      <c r="A35" s="357">
        <v>31</v>
      </c>
      <c r="B35" s="63" t="s">
        <v>41</v>
      </c>
      <c r="C35" s="25">
        <v>1434</v>
      </c>
      <c r="D35" s="25">
        <v>81</v>
      </c>
      <c r="E35" s="25">
        <v>1515</v>
      </c>
      <c r="F35" s="25">
        <v>265</v>
      </c>
      <c r="G35" s="25">
        <v>1780</v>
      </c>
      <c r="H35" s="25">
        <v>885372</v>
      </c>
      <c r="I35" s="25">
        <v>44685</v>
      </c>
      <c r="J35" s="25">
        <v>930057</v>
      </c>
      <c r="K35" s="25">
        <v>170026</v>
      </c>
      <c r="L35" s="25">
        <v>1100083</v>
      </c>
      <c r="M35" s="25">
        <v>24</v>
      </c>
      <c r="N35" s="25">
        <v>2296</v>
      </c>
      <c r="O35" s="25"/>
      <c r="P35" s="25"/>
      <c r="Q35" s="25">
        <v>15</v>
      </c>
      <c r="R35" s="25">
        <v>1055</v>
      </c>
      <c r="S35" s="25">
        <v>39</v>
      </c>
      <c r="T35" s="25">
        <v>3351</v>
      </c>
    </row>
    <row r="36" spans="1:20" s="26" customFormat="1" ht="30" x14ac:dyDescent="0.35">
      <c r="A36" s="357">
        <v>32</v>
      </c>
      <c r="B36" s="63" t="s">
        <v>58</v>
      </c>
      <c r="C36" s="25">
        <v>8</v>
      </c>
      <c r="D36" s="25"/>
      <c r="E36" s="25">
        <v>8</v>
      </c>
      <c r="F36" s="25">
        <v>10</v>
      </c>
      <c r="G36" s="25">
        <v>18</v>
      </c>
      <c r="H36" s="25">
        <v>4722</v>
      </c>
      <c r="I36" s="25"/>
      <c r="J36" s="25">
        <v>4722</v>
      </c>
      <c r="K36" s="25">
        <v>7295</v>
      </c>
      <c r="L36" s="25">
        <v>12017</v>
      </c>
      <c r="M36" s="25"/>
      <c r="N36" s="25"/>
      <c r="O36" s="25"/>
      <c r="P36" s="25"/>
      <c r="Q36" s="25"/>
      <c r="R36" s="25"/>
      <c r="S36" s="25"/>
      <c r="T36" s="25"/>
    </row>
    <row r="37" spans="1:20" s="26" customFormat="1" ht="22.5" customHeight="1" x14ac:dyDescent="0.35">
      <c r="A37" s="357">
        <v>33</v>
      </c>
      <c r="B37" s="63" t="s">
        <v>42</v>
      </c>
      <c r="C37" s="25">
        <v>10</v>
      </c>
      <c r="D37" s="25">
        <v>4</v>
      </c>
      <c r="E37" s="25">
        <v>14</v>
      </c>
      <c r="F37" s="25">
        <v>47</v>
      </c>
      <c r="G37" s="25">
        <v>61</v>
      </c>
      <c r="H37" s="25">
        <v>4178</v>
      </c>
      <c r="I37" s="25">
        <v>3292</v>
      </c>
      <c r="J37" s="25">
        <v>7470</v>
      </c>
      <c r="K37" s="25">
        <v>77453</v>
      </c>
      <c r="L37" s="25">
        <v>84923</v>
      </c>
      <c r="M37" s="25">
        <v>1</v>
      </c>
      <c r="N37" s="25">
        <v>64</v>
      </c>
      <c r="O37" s="25"/>
      <c r="P37" s="25"/>
      <c r="Q37" s="25"/>
      <c r="R37" s="25"/>
      <c r="S37" s="25">
        <v>1</v>
      </c>
      <c r="T37" s="25">
        <v>64</v>
      </c>
    </row>
    <row r="38" spans="1:20" s="26" customFormat="1" ht="22.5" customHeight="1" x14ac:dyDescent="0.35">
      <c r="A38" s="357">
        <v>34</v>
      </c>
      <c r="B38" s="63" t="s">
        <v>43</v>
      </c>
      <c r="C38" s="25">
        <v>7052</v>
      </c>
      <c r="D38" s="25">
        <v>775</v>
      </c>
      <c r="E38" s="25">
        <v>7827</v>
      </c>
      <c r="F38" s="25">
        <v>465</v>
      </c>
      <c r="G38" s="25">
        <v>8292</v>
      </c>
      <c r="H38" s="25">
        <v>4608956</v>
      </c>
      <c r="I38" s="25">
        <v>1042091</v>
      </c>
      <c r="J38" s="25">
        <v>5651047</v>
      </c>
      <c r="K38" s="25">
        <v>365837</v>
      </c>
      <c r="L38" s="25">
        <v>6016884</v>
      </c>
      <c r="M38" s="25">
        <v>152</v>
      </c>
      <c r="N38" s="25">
        <v>14528</v>
      </c>
      <c r="O38" s="25">
        <v>1</v>
      </c>
      <c r="P38" s="25">
        <v>98</v>
      </c>
      <c r="Q38" s="25">
        <v>3</v>
      </c>
      <c r="R38" s="25">
        <v>194</v>
      </c>
      <c r="S38" s="25">
        <v>156</v>
      </c>
      <c r="T38" s="25">
        <v>14820</v>
      </c>
    </row>
    <row r="39" spans="1:20" s="26" customFormat="1" ht="22.5" customHeight="1" x14ac:dyDescent="0.35">
      <c r="A39" s="357">
        <v>35</v>
      </c>
      <c r="B39" s="63" t="s">
        <v>44</v>
      </c>
      <c r="C39" s="25">
        <v>202</v>
      </c>
      <c r="D39" s="25">
        <v>42</v>
      </c>
      <c r="E39" s="25">
        <v>244</v>
      </c>
      <c r="F39" s="25">
        <v>138</v>
      </c>
      <c r="G39" s="25">
        <v>382</v>
      </c>
      <c r="H39" s="25">
        <v>78071</v>
      </c>
      <c r="I39" s="25">
        <v>43522</v>
      </c>
      <c r="J39" s="25">
        <v>121593</v>
      </c>
      <c r="K39" s="25">
        <v>119092</v>
      </c>
      <c r="L39" s="25">
        <v>240685</v>
      </c>
      <c r="M39" s="25">
        <v>2</v>
      </c>
      <c r="N39" s="25">
        <v>82</v>
      </c>
      <c r="O39" s="25"/>
      <c r="P39" s="25"/>
      <c r="Q39" s="25"/>
      <c r="R39" s="25"/>
      <c r="S39" s="25">
        <v>2</v>
      </c>
      <c r="T39" s="25">
        <v>82</v>
      </c>
    </row>
    <row r="40" spans="1:20" s="26" customFormat="1" ht="22.5" customHeight="1" x14ac:dyDescent="0.35">
      <c r="A40" s="357">
        <v>36</v>
      </c>
      <c r="B40" s="63" t="s">
        <v>45</v>
      </c>
      <c r="C40" s="25">
        <v>829</v>
      </c>
      <c r="D40" s="25">
        <v>333</v>
      </c>
      <c r="E40" s="25">
        <v>1162</v>
      </c>
      <c r="F40" s="25">
        <v>414</v>
      </c>
      <c r="G40" s="25">
        <v>1576</v>
      </c>
      <c r="H40" s="25">
        <v>327534</v>
      </c>
      <c r="I40" s="25">
        <v>532158</v>
      </c>
      <c r="J40" s="25">
        <v>859692</v>
      </c>
      <c r="K40" s="25">
        <v>848361</v>
      </c>
      <c r="L40" s="25">
        <v>1708053</v>
      </c>
      <c r="M40" s="25">
        <v>5</v>
      </c>
      <c r="N40" s="25">
        <v>305</v>
      </c>
      <c r="O40" s="25">
        <v>1</v>
      </c>
      <c r="P40" s="25">
        <v>39</v>
      </c>
      <c r="Q40" s="25">
        <v>2</v>
      </c>
      <c r="R40" s="25">
        <v>208</v>
      </c>
      <c r="S40" s="25">
        <v>8</v>
      </c>
      <c r="T40" s="25">
        <v>552</v>
      </c>
    </row>
    <row r="41" spans="1:20" ht="15" x14ac:dyDescent="0.3">
      <c r="A41" s="686" t="s">
        <v>46</v>
      </c>
      <c r="B41" s="686"/>
      <c r="C41" s="41">
        <v>32513</v>
      </c>
      <c r="D41" s="41">
        <v>6011</v>
      </c>
      <c r="E41" s="41">
        <v>38524</v>
      </c>
      <c r="F41" s="41">
        <v>7944</v>
      </c>
      <c r="G41" s="41">
        <v>46468</v>
      </c>
      <c r="H41" s="41">
        <v>15792934</v>
      </c>
      <c r="I41" s="41">
        <v>6434592</v>
      </c>
      <c r="J41" s="41">
        <v>22227526</v>
      </c>
      <c r="K41" s="41">
        <v>8885598</v>
      </c>
      <c r="L41" s="41">
        <v>31113124</v>
      </c>
      <c r="M41" s="41">
        <v>1082</v>
      </c>
      <c r="N41" s="41">
        <v>77008</v>
      </c>
      <c r="O41" s="41">
        <v>22</v>
      </c>
      <c r="P41" s="41">
        <v>1971</v>
      </c>
      <c r="Q41" s="41">
        <v>275</v>
      </c>
      <c r="R41" s="41">
        <v>27792</v>
      </c>
      <c r="S41" s="41">
        <v>1379</v>
      </c>
      <c r="T41" s="41">
        <v>106771</v>
      </c>
    </row>
    <row r="42" spans="1:20" x14ac:dyDescent="0.3">
      <c r="G42" s="638" t="s">
        <v>1039</v>
      </c>
      <c r="L42" s="638" t="s">
        <v>1041</v>
      </c>
      <c r="T42" s="638" t="s">
        <v>1040</v>
      </c>
    </row>
  </sheetData>
  <mergeCells count="21">
    <mergeCell ref="M1:T1"/>
    <mergeCell ref="A2:A3"/>
    <mergeCell ref="B2:B3"/>
    <mergeCell ref="C2:C3"/>
    <mergeCell ref="D2:D3"/>
    <mergeCell ref="E2:E3"/>
    <mergeCell ref="F2:F3"/>
    <mergeCell ref="M2:N2"/>
    <mergeCell ref="O2:P2"/>
    <mergeCell ref="Q2:R2"/>
    <mergeCell ref="S2:T2"/>
    <mergeCell ref="G2:G3"/>
    <mergeCell ref="H2:H3"/>
    <mergeCell ref="I2:I3"/>
    <mergeCell ref="J2:J3"/>
    <mergeCell ref="K2:K3"/>
    <mergeCell ref="L2:L3"/>
    <mergeCell ref="A1:B1"/>
    <mergeCell ref="C1:G1"/>
    <mergeCell ref="H1:L1"/>
    <mergeCell ref="A41:B41"/>
  </mergeCells>
  <pageMargins left="0.98425196850393704" right="0.19685039370078741" top="0.39370078740157483" bottom="0.39370078740157483" header="0.31496062992125984" footer="0.19685039370078741"/>
  <pageSetup scale="78" firstPageNumber="9" orientation="portrait" r:id="rId1"/>
  <headerFooter>
    <oddFooter>&amp;L&amp;"Arial,Italic"&amp;9AISHE 2023-24</oddFooter>
  </headerFooter>
  <colBreaks count="1" manualBreakCount="1">
    <brk id="12" max="4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4839-2066-42D9-B3AA-4281C0613EDD}">
  <dimension ref="A1:AC41"/>
  <sheetViews>
    <sheetView showZeros="0" view="pageBreakPreview" zoomScaleNormal="100" zoomScaleSheetLayoutView="100" workbookViewId="0">
      <pane xSplit="2" ySplit="3" topLeftCell="T17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7.1796875" defaultRowHeight="15.5" x14ac:dyDescent="0.35"/>
  <cols>
    <col min="1" max="1" width="7.1796875" style="29" bestFit="1" customWidth="1"/>
    <col min="2" max="2" width="26.1796875" style="29" bestFit="1" customWidth="1"/>
    <col min="3" max="7" width="10" style="29" customWidth="1"/>
    <col min="8" max="8" width="9.26953125" style="29" customWidth="1"/>
    <col min="9" max="9" width="10" style="29" customWidth="1"/>
    <col min="10" max="10" width="10.453125" style="29" customWidth="1"/>
    <col min="11" max="11" width="11.81640625" style="29" customWidth="1"/>
    <col min="12" max="14" width="11.81640625" style="29" bestFit="1" customWidth="1"/>
    <col min="15" max="15" width="9" style="29" bestFit="1" customWidth="1"/>
    <col min="16" max="16" width="8" style="29" bestFit="1" customWidth="1"/>
    <col min="17" max="20" width="10" style="29" customWidth="1"/>
    <col min="21" max="26" width="9.7265625" style="29" customWidth="1"/>
    <col min="27" max="28" width="11.81640625" style="29" bestFit="1" customWidth="1"/>
    <col min="29" max="29" width="13.1796875" style="29" customWidth="1"/>
    <col min="30" max="16384" width="7.1796875" style="29"/>
  </cols>
  <sheetData>
    <row r="1" spans="1:29" ht="33" customHeight="1" x14ac:dyDescent="0.35">
      <c r="A1" s="694"/>
      <c r="B1" s="694"/>
      <c r="C1" s="691" t="s">
        <v>985</v>
      </c>
      <c r="D1" s="691"/>
      <c r="E1" s="691"/>
      <c r="F1" s="691"/>
      <c r="G1" s="691"/>
      <c r="H1" s="691"/>
      <c r="I1" s="691"/>
      <c r="J1" s="691"/>
      <c r="K1" s="691"/>
      <c r="L1" s="691" t="str">
        <f>C1</f>
        <v>Table 6. States/UTs-wise Estimated Enrolment at various levels</v>
      </c>
      <c r="M1" s="691"/>
      <c r="N1" s="691"/>
      <c r="O1" s="691"/>
      <c r="P1" s="691"/>
      <c r="Q1" s="691"/>
      <c r="R1" s="691"/>
      <c r="S1" s="691"/>
      <c r="T1" s="691"/>
      <c r="U1" s="691" t="str">
        <f>C1</f>
        <v>Table 6. States/UTs-wise Estimated Enrolment at various levels</v>
      </c>
      <c r="V1" s="691"/>
      <c r="W1" s="691"/>
      <c r="X1" s="691"/>
      <c r="Y1" s="691"/>
      <c r="Z1" s="691"/>
      <c r="AA1" s="691"/>
      <c r="AB1" s="691"/>
      <c r="AC1" s="691"/>
    </row>
    <row r="2" spans="1:29" s="32" customFormat="1" ht="15" x14ac:dyDescent="0.35">
      <c r="A2" s="692" t="s">
        <v>94</v>
      </c>
      <c r="B2" s="693" t="s">
        <v>885</v>
      </c>
      <c r="C2" s="693" t="s">
        <v>95</v>
      </c>
      <c r="D2" s="693"/>
      <c r="E2" s="693"/>
      <c r="F2" s="693" t="s">
        <v>96</v>
      </c>
      <c r="G2" s="693"/>
      <c r="H2" s="693"/>
      <c r="I2" s="693" t="s">
        <v>97</v>
      </c>
      <c r="J2" s="693"/>
      <c r="K2" s="693"/>
      <c r="L2" s="693" t="s">
        <v>98</v>
      </c>
      <c r="M2" s="693"/>
      <c r="N2" s="693"/>
      <c r="O2" s="693" t="s">
        <v>99</v>
      </c>
      <c r="P2" s="693"/>
      <c r="Q2" s="693"/>
      <c r="R2" s="693" t="s">
        <v>100</v>
      </c>
      <c r="S2" s="693"/>
      <c r="T2" s="693"/>
      <c r="U2" s="693" t="s">
        <v>101</v>
      </c>
      <c r="V2" s="693"/>
      <c r="W2" s="693"/>
      <c r="X2" s="693" t="s">
        <v>102</v>
      </c>
      <c r="Y2" s="693"/>
      <c r="Z2" s="693"/>
      <c r="AA2" s="693" t="s">
        <v>12</v>
      </c>
      <c r="AB2" s="693"/>
      <c r="AC2" s="693"/>
    </row>
    <row r="3" spans="1:29" s="34" customFormat="1" ht="15" customHeight="1" x14ac:dyDescent="0.35">
      <c r="A3" s="692"/>
      <c r="B3" s="693"/>
      <c r="C3" s="33" t="s">
        <v>103</v>
      </c>
      <c r="D3" s="33" t="s">
        <v>104</v>
      </c>
      <c r="E3" s="33" t="s">
        <v>89</v>
      </c>
      <c r="F3" s="33" t="s">
        <v>103</v>
      </c>
      <c r="G3" s="33" t="s">
        <v>104</v>
      </c>
      <c r="H3" s="33" t="s">
        <v>89</v>
      </c>
      <c r="I3" s="33" t="s">
        <v>103</v>
      </c>
      <c r="J3" s="33" t="s">
        <v>104</v>
      </c>
      <c r="K3" s="33" t="s">
        <v>89</v>
      </c>
      <c r="L3" s="33" t="s">
        <v>103</v>
      </c>
      <c r="M3" s="33" t="s">
        <v>104</v>
      </c>
      <c r="N3" s="33" t="s">
        <v>89</v>
      </c>
      <c r="O3" s="33" t="s">
        <v>103</v>
      </c>
      <c r="P3" s="33" t="s">
        <v>104</v>
      </c>
      <c r="Q3" s="33" t="s">
        <v>89</v>
      </c>
      <c r="R3" s="33" t="s">
        <v>103</v>
      </c>
      <c r="S3" s="33" t="s">
        <v>104</v>
      </c>
      <c r="T3" s="33" t="s">
        <v>89</v>
      </c>
      <c r="U3" s="33" t="s">
        <v>103</v>
      </c>
      <c r="V3" s="33" t="s">
        <v>104</v>
      </c>
      <c r="W3" s="33" t="s">
        <v>89</v>
      </c>
      <c r="X3" s="33" t="s">
        <v>103</v>
      </c>
      <c r="Y3" s="33" t="s">
        <v>104</v>
      </c>
      <c r="Z3" s="33" t="s">
        <v>89</v>
      </c>
      <c r="AA3" s="33" t="s">
        <v>103</v>
      </c>
      <c r="AB3" s="33" t="s">
        <v>104</v>
      </c>
      <c r="AC3" s="33" t="s">
        <v>89</v>
      </c>
    </row>
    <row r="4" spans="1:29" s="36" customFormat="1" ht="11.5" x14ac:dyDescent="0.35">
      <c r="A4" s="56">
        <v>1</v>
      </c>
      <c r="B4" s="56">
        <v>2</v>
      </c>
      <c r="C4" s="56">
        <v>3</v>
      </c>
      <c r="D4" s="56">
        <v>4</v>
      </c>
      <c r="E4" s="56">
        <v>5</v>
      </c>
      <c r="F4" s="56">
        <v>6</v>
      </c>
      <c r="G4" s="56">
        <v>7</v>
      </c>
      <c r="H4" s="56">
        <v>8</v>
      </c>
      <c r="I4" s="56">
        <v>9</v>
      </c>
      <c r="J4" s="56">
        <v>10</v>
      </c>
      <c r="K4" s="56">
        <v>11</v>
      </c>
      <c r="L4" s="56">
        <v>12</v>
      </c>
      <c r="M4" s="56">
        <v>13</v>
      </c>
      <c r="N4" s="56">
        <v>14</v>
      </c>
      <c r="O4" s="56">
        <v>15</v>
      </c>
      <c r="P4" s="56">
        <v>16</v>
      </c>
      <c r="Q4" s="56">
        <v>17</v>
      </c>
      <c r="R4" s="56">
        <v>18</v>
      </c>
      <c r="S4" s="56">
        <v>19</v>
      </c>
      <c r="T4" s="56">
        <v>20</v>
      </c>
      <c r="U4" s="56">
        <v>21</v>
      </c>
      <c r="V4" s="56">
        <v>22</v>
      </c>
      <c r="W4" s="56">
        <v>23</v>
      </c>
      <c r="X4" s="56">
        <v>24</v>
      </c>
      <c r="Y4" s="56">
        <v>25</v>
      </c>
      <c r="Z4" s="56">
        <v>26</v>
      </c>
      <c r="AA4" s="56">
        <v>27</v>
      </c>
      <c r="AB4" s="56">
        <v>28</v>
      </c>
      <c r="AC4" s="56">
        <v>29</v>
      </c>
    </row>
    <row r="5" spans="1:29" s="34" customFormat="1" ht="26.25" customHeight="1" x14ac:dyDescent="0.35">
      <c r="A5" s="37">
        <v>1</v>
      </c>
      <c r="B5" s="92" t="s">
        <v>56</v>
      </c>
      <c r="C5" s="311"/>
      <c r="D5" s="311"/>
      <c r="E5" s="311"/>
      <c r="F5" s="311"/>
      <c r="G5" s="311"/>
      <c r="H5" s="311"/>
      <c r="I5" s="311">
        <v>492</v>
      </c>
      <c r="J5" s="311">
        <v>813</v>
      </c>
      <c r="K5" s="311">
        <v>1305</v>
      </c>
      <c r="L5" s="311">
        <v>2575</v>
      </c>
      <c r="M5" s="311">
        <v>2338</v>
      </c>
      <c r="N5" s="311">
        <v>4913</v>
      </c>
      <c r="O5" s="311">
        <v>23</v>
      </c>
      <c r="P5" s="311">
        <v>30</v>
      </c>
      <c r="Q5" s="311">
        <v>53</v>
      </c>
      <c r="R5" s="311">
        <v>369</v>
      </c>
      <c r="S5" s="311">
        <v>309</v>
      </c>
      <c r="T5" s="311">
        <v>678</v>
      </c>
      <c r="U5" s="311"/>
      <c r="V5" s="311"/>
      <c r="W5" s="311"/>
      <c r="X5" s="311">
        <v>48</v>
      </c>
      <c r="Y5" s="311">
        <v>131</v>
      </c>
      <c r="Z5" s="311">
        <v>179</v>
      </c>
      <c r="AA5" s="311">
        <v>3507</v>
      </c>
      <c r="AB5" s="311">
        <v>3621</v>
      </c>
      <c r="AC5" s="311">
        <v>7128</v>
      </c>
    </row>
    <row r="6" spans="1:29" s="34" customFormat="1" ht="26.25" customHeight="1" x14ac:dyDescent="0.35">
      <c r="A6" s="37">
        <v>2</v>
      </c>
      <c r="B6" s="79" t="s">
        <v>13</v>
      </c>
      <c r="C6" s="311">
        <v>4490</v>
      </c>
      <c r="D6" s="311">
        <v>3837</v>
      </c>
      <c r="E6" s="311">
        <v>8327</v>
      </c>
      <c r="F6" s="311"/>
      <c r="G6" s="311"/>
      <c r="H6" s="311"/>
      <c r="I6" s="311">
        <v>99603.977204532159</v>
      </c>
      <c r="J6" s="311">
        <v>103195.37268088624</v>
      </c>
      <c r="K6" s="311">
        <v>202799.3498854184</v>
      </c>
      <c r="L6" s="311">
        <v>731768.60589461378</v>
      </c>
      <c r="M6" s="311">
        <v>701269.8314645018</v>
      </c>
      <c r="N6" s="311">
        <v>1433038.4373591156</v>
      </c>
      <c r="O6" s="311">
        <v>1638</v>
      </c>
      <c r="P6" s="311">
        <v>1027</v>
      </c>
      <c r="Q6" s="311">
        <v>2665</v>
      </c>
      <c r="R6" s="311">
        <v>83707</v>
      </c>
      <c r="S6" s="311">
        <v>61212</v>
      </c>
      <c r="T6" s="311">
        <v>144919</v>
      </c>
      <c r="U6" s="311">
        <v>385</v>
      </c>
      <c r="V6" s="311">
        <v>191</v>
      </c>
      <c r="W6" s="311">
        <v>576</v>
      </c>
      <c r="X6" s="311">
        <v>7512</v>
      </c>
      <c r="Y6" s="311">
        <v>4531</v>
      </c>
      <c r="Z6" s="311">
        <v>12043</v>
      </c>
      <c r="AA6" s="311">
        <v>929104.58309914614</v>
      </c>
      <c r="AB6" s="311">
        <v>875263.20414538798</v>
      </c>
      <c r="AC6" s="311">
        <v>1804367.7872445341</v>
      </c>
    </row>
    <row r="7" spans="1:29" s="34" customFormat="1" ht="26.25" customHeight="1" x14ac:dyDescent="0.35">
      <c r="A7" s="37">
        <v>3</v>
      </c>
      <c r="B7" s="79" t="s">
        <v>14</v>
      </c>
      <c r="C7" s="311">
        <v>750</v>
      </c>
      <c r="D7" s="311">
        <v>607</v>
      </c>
      <c r="E7" s="311">
        <v>1357</v>
      </c>
      <c r="F7" s="311"/>
      <c r="G7" s="311"/>
      <c r="H7" s="311"/>
      <c r="I7" s="311">
        <v>5269</v>
      </c>
      <c r="J7" s="311">
        <v>5519</v>
      </c>
      <c r="K7" s="311">
        <v>10788</v>
      </c>
      <c r="L7" s="311">
        <v>22695</v>
      </c>
      <c r="M7" s="311">
        <v>20562</v>
      </c>
      <c r="N7" s="311">
        <v>43257</v>
      </c>
      <c r="O7" s="311">
        <v>109</v>
      </c>
      <c r="P7" s="311">
        <v>86</v>
      </c>
      <c r="Q7" s="311">
        <v>195</v>
      </c>
      <c r="R7" s="311">
        <v>1146</v>
      </c>
      <c r="S7" s="311">
        <v>1366</v>
      </c>
      <c r="T7" s="311">
        <v>2512</v>
      </c>
      <c r="U7" s="311">
        <v>332</v>
      </c>
      <c r="V7" s="311">
        <v>186</v>
      </c>
      <c r="W7" s="311">
        <v>518</v>
      </c>
      <c r="X7" s="311">
        <v>1086</v>
      </c>
      <c r="Y7" s="311">
        <v>735</v>
      </c>
      <c r="Z7" s="311">
        <v>1821</v>
      </c>
      <c r="AA7" s="311">
        <v>31387</v>
      </c>
      <c r="AB7" s="311">
        <v>29061</v>
      </c>
      <c r="AC7" s="311">
        <v>60448</v>
      </c>
    </row>
    <row r="8" spans="1:29" s="34" customFormat="1" ht="26.25" customHeight="1" x14ac:dyDescent="0.35">
      <c r="A8" s="37">
        <v>4</v>
      </c>
      <c r="B8" s="79" t="s">
        <v>15</v>
      </c>
      <c r="C8" s="311">
        <v>5818</v>
      </c>
      <c r="D8" s="311">
        <v>5510</v>
      </c>
      <c r="E8" s="311">
        <v>11328</v>
      </c>
      <c r="F8" s="311">
        <v>9</v>
      </c>
      <c r="G8" s="311">
        <v>49</v>
      </c>
      <c r="H8" s="311">
        <v>58</v>
      </c>
      <c r="I8" s="311">
        <v>41593</v>
      </c>
      <c r="J8" s="311">
        <v>66887.947368421053</v>
      </c>
      <c r="K8" s="311">
        <v>108480.94736842105</v>
      </c>
      <c r="L8" s="311">
        <v>289003.05263157899</v>
      </c>
      <c r="M8" s="311">
        <v>311786.68421052629</v>
      </c>
      <c r="N8" s="311">
        <v>600789.73684210528</v>
      </c>
      <c r="O8" s="311">
        <v>526</v>
      </c>
      <c r="P8" s="311">
        <v>576</v>
      </c>
      <c r="Q8" s="311">
        <v>1102</v>
      </c>
      <c r="R8" s="311">
        <v>17683</v>
      </c>
      <c r="S8" s="311">
        <v>21509</v>
      </c>
      <c r="T8" s="311">
        <v>39192</v>
      </c>
      <c r="U8" s="311">
        <v>10511</v>
      </c>
      <c r="V8" s="311">
        <v>14612</v>
      </c>
      <c r="W8" s="311">
        <v>25123</v>
      </c>
      <c r="X8" s="311">
        <v>3155</v>
      </c>
      <c r="Y8" s="311">
        <v>4231</v>
      </c>
      <c r="Z8" s="311">
        <v>7386</v>
      </c>
      <c r="AA8" s="311">
        <v>368298.05263157893</v>
      </c>
      <c r="AB8" s="311">
        <v>425161.63157894736</v>
      </c>
      <c r="AC8" s="311">
        <v>793459.68421052629</v>
      </c>
    </row>
    <row r="9" spans="1:29" s="34" customFormat="1" ht="26.25" customHeight="1" x14ac:dyDescent="0.35">
      <c r="A9" s="37">
        <v>5</v>
      </c>
      <c r="B9" s="79" t="s">
        <v>16</v>
      </c>
      <c r="C9" s="311">
        <v>3287</v>
      </c>
      <c r="D9" s="311">
        <v>2407</v>
      </c>
      <c r="E9" s="311">
        <v>5694</v>
      </c>
      <c r="F9" s="311">
        <v>4</v>
      </c>
      <c r="G9" s="311">
        <v>4</v>
      </c>
      <c r="H9" s="311">
        <v>8</v>
      </c>
      <c r="I9" s="311">
        <v>87198.416666666672</v>
      </c>
      <c r="J9" s="311">
        <v>98826.361111111109</v>
      </c>
      <c r="K9" s="311">
        <v>186024.77777777778</v>
      </c>
      <c r="L9" s="311">
        <v>1188996.8888888888</v>
      </c>
      <c r="M9" s="311">
        <v>1221731.5833333333</v>
      </c>
      <c r="N9" s="311">
        <v>2410728.472222222</v>
      </c>
      <c r="O9" s="311">
        <v>1712</v>
      </c>
      <c r="P9" s="311">
        <v>1007</v>
      </c>
      <c r="Q9" s="311">
        <v>2719</v>
      </c>
      <c r="R9" s="311">
        <v>74984</v>
      </c>
      <c r="S9" s="311">
        <v>65178</v>
      </c>
      <c r="T9" s="311">
        <v>140162</v>
      </c>
      <c r="U9" s="311">
        <v>5998</v>
      </c>
      <c r="V9" s="311">
        <v>3965</v>
      </c>
      <c r="W9" s="311">
        <v>9963</v>
      </c>
      <c r="X9" s="311">
        <v>2624</v>
      </c>
      <c r="Y9" s="311">
        <v>1947</v>
      </c>
      <c r="Z9" s="311">
        <v>4571</v>
      </c>
      <c r="AA9" s="311">
        <v>1364804.3055555555</v>
      </c>
      <c r="AB9" s="311">
        <v>1395065.9444444445</v>
      </c>
      <c r="AC9" s="311">
        <v>2759870.25</v>
      </c>
    </row>
    <row r="10" spans="1:29" s="34" customFormat="1" ht="26.25" customHeight="1" x14ac:dyDescent="0.35">
      <c r="A10" s="37">
        <v>6</v>
      </c>
      <c r="B10" s="79" t="s">
        <v>17</v>
      </c>
      <c r="C10" s="311">
        <v>1320</v>
      </c>
      <c r="D10" s="311">
        <v>2032</v>
      </c>
      <c r="E10" s="311">
        <v>3352</v>
      </c>
      <c r="F10" s="311"/>
      <c r="G10" s="311"/>
      <c r="H10" s="311"/>
      <c r="I10" s="311">
        <v>8235</v>
      </c>
      <c r="J10" s="311">
        <v>12255</v>
      </c>
      <c r="K10" s="311">
        <v>20490</v>
      </c>
      <c r="L10" s="311">
        <v>36798</v>
      </c>
      <c r="M10" s="311">
        <v>34547</v>
      </c>
      <c r="N10" s="311">
        <v>71345</v>
      </c>
      <c r="O10" s="311">
        <v>769</v>
      </c>
      <c r="P10" s="311">
        <v>868</v>
      </c>
      <c r="Q10" s="311">
        <v>1637</v>
      </c>
      <c r="R10" s="311">
        <v>2120</v>
      </c>
      <c r="S10" s="311">
        <v>2942</v>
      </c>
      <c r="T10" s="311">
        <v>5062</v>
      </c>
      <c r="U10" s="311">
        <v>400</v>
      </c>
      <c r="V10" s="311">
        <v>217</v>
      </c>
      <c r="W10" s="311">
        <v>617</v>
      </c>
      <c r="X10" s="311">
        <v>878</v>
      </c>
      <c r="Y10" s="311">
        <v>1333</v>
      </c>
      <c r="Z10" s="311">
        <v>2211</v>
      </c>
      <c r="AA10" s="311">
        <v>50520</v>
      </c>
      <c r="AB10" s="311">
        <v>54194</v>
      </c>
      <c r="AC10" s="311">
        <v>104714</v>
      </c>
    </row>
    <row r="11" spans="1:29" s="34" customFormat="1" ht="26.25" customHeight="1" x14ac:dyDescent="0.35">
      <c r="A11" s="37">
        <v>7</v>
      </c>
      <c r="B11" s="79" t="s">
        <v>18</v>
      </c>
      <c r="C11" s="311">
        <v>2349</v>
      </c>
      <c r="D11" s="311">
        <v>2159</v>
      </c>
      <c r="E11" s="311">
        <v>4508</v>
      </c>
      <c r="F11" s="311">
        <v>12</v>
      </c>
      <c r="G11" s="311">
        <v>25</v>
      </c>
      <c r="H11" s="311">
        <v>37</v>
      </c>
      <c r="I11" s="311">
        <v>61020.802325581404</v>
      </c>
      <c r="J11" s="311">
        <v>90476.116279069771</v>
      </c>
      <c r="K11" s="311">
        <v>151496.91860465117</v>
      </c>
      <c r="L11" s="311">
        <v>260687.6918604651</v>
      </c>
      <c r="M11" s="311">
        <v>336555.77906976745</v>
      </c>
      <c r="N11" s="311">
        <v>597243.47093023255</v>
      </c>
      <c r="O11" s="311">
        <v>6911</v>
      </c>
      <c r="P11" s="311">
        <v>8103</v>
      </c>
      <c r="Q11" s="311">
        <v>15014</v>
      </c>
      <c r="R11" s="311">
        <v>25742</v>
      </c>
      <c r="S11" s="311">
        <v>21058</v>
      </c>
      <c r="T11" s="311">
        <v>46800</v>
      </c>
      <c r="U11" s="311">
        <v>414</v>
      </c>
      <c r="V11" s="311">
        <v>443</v>
      </c>
      <c r="W11" s="311">
        <v>857</v>
      </c>
      <c r="X11" s="311">
        <v>3169</v>
      </c>
      <c r="Y11" s="311">
        <v>2983</v>
      </c>
      <c r="Z11" s="311">
        <v>6152</v>
      </c>
      <c r="AA11" s="311">
        <v>360305.49418604642</v>
      </c>
      <c r="AB11" s="311">
        <v>461802.89534883725</v>
      </c>
      <c r="AC11" s="311">
        <v>822108.38953488367</v>
      </c>
    </row>
    <row r="12" spans="1:29" s="34" customFormat="1" ht="26.25" customHeight="1" x14ac:dyDescent="0.35">
      <c r="A12" s="37">
        <v>8</v>
      </c>
      <c r="B12" s="79" t="s">
        <v>19</v>
      </c>
      <c r="C12" s="311">
        <v>9882</v>
      </c>
      <c r="D12" s="311">
        <v>8752</v>
      </c>
      <c r="E12" s="311">
        <v>18634</v>
      </c>
      <c r="F12" s="311">
        <v>27</v>
      </c>
      <c r="G12" s="311">
        <v>72</v>
      </c>
      <c r="H12" s="311">
        <v>99</v>
      </c>
      <c r="I12" s="311">
        <v>80040.183216374251</v>
      </c>
      <c r="J12" s="311">
        <v>108959.18298245614</v>
      </c>
      <c r="K12" s="311">
        <v>188999.36619883039</v>
      </c>
      <c r="L12" s="311">
        <v>499049.50046783627</v>
      </c>
      <c r="M12" s="311">
        <v>469236.10175438598</v>
      </c>
      <c r="N12" s="311">
        <v>968285.60222222225</v>
      </c>
      <c r="O12" s="311">
        <v>7804</v>
      </c>
      <c r="P12" s="311">
        <v>6649</v>
      </c>
      <c r="Q12" s="311">
        <v>14453</v>
      </c>
      <c r="R12" s="311">
        <v>17031</v>
      </c>
      <c r="S12" s="311">
        <v>15485</v>
      </c>
      <c r="T12" s="311">
        <v>32516</v>
      </c>
      <c r="U12" s="311">
        <v>1110</v>
      </c>
      <c r="V12" s="311">
        <v>1083</v>
      </c>
      <c r="W12" s="311">
        <v>2193</v>
      </c>
      <c r="X12" s="311">
        <v>5313</v>
      </c>
      <c r="Y12" s="311">
        <v>4465</v>
      </c>
      <c r="Z12" s="311">
        <v>9778</v>
      </c>
      <c r="AA12" s="311">
        <v>620256.68368421053</v>
      </c>
      <c r="AB12" s="311">
        <v>614701.28473684215</v>
      </c>
      <c r="AC12" s="311">
        <v>1234957.9684210527</v>
      </c>
    </row>
    <row r="13" spans="1:29" s="34" customFormat="1" ht="26.25" customHeight="1" x14ac:dyDescent="0.35">
      <c r="A13" s="37">
        <v>9</v>
      </c>
      <c r="B13" s="79" t="s">
        <v>20</v>
      </c>
      <c r="C13" s="311">
        <v>851</v>
      </c>
      <c r="D13" s="311">
        <v>965</v>
      </c>
      <c r="E13" s="311">
        <v>1816</v>
      </c>
      <c r="F13" s="311">
        <v>4</v>
      </c>
      <c r="G13" s="311">
        <v>11</v>
      </c>
      <c r="H13" s="311">
        <v>15</v>
      </c>
      <c r="I13" s="311">
        <v>3600</v>
      </c>
      <c r="J13" s="311">
        <v>5162</v>
      </c>
      <c r="K13" s="311">
        <v>8762</v>
      </c>
      <c r="L13" s="311">
        <v>22614</v>
      </c>
      <c r="M13" s="311">
        <v>22796</v>
      </c>
      <c r="N13" s="311">
        <v>45410</v>
      </c>
      <c r="O13" s="311">
        <v>84</v>
      </c>
      <c r="P13" s="311">
        <v>105</v>
      </c>
      <c r="Q13" s="311">
        <v>189</v>
      </c>
      <c r="R13" s="311">
        <v>3373</v>
      </c>
      <c r="S13" s="311">
        <v>1405</v>
      </c>
      <c r="T13" s="311">
        <v>4778</v>
      </c>
      <c r="U13" s="311">
        <v>406</v>
      </c>
      <c r="V13" s="311">
        <v>168</v>
      </c>
      <c r="W13" s="311">
        <v>574</v>
      </c>
      <c r="X13" s="311">
        <v>1698</v>
      </c>
      <c r="Y13" s="311">
        <v>1389</v>
      </c>
      <c r="Z13" s="311">
        <v>3087</v>
      </c>
      <c r="AA13" s="311">
        <v>32630</v>
      </c>
      <c r="AB13" s="311">
        <v>32001</v>
      </c>
      <c r="AC13" s="311">
        <v>64631</v>
      </c>
    </row>
    <row r="14" spans="1:29" s="34" customFormat="1" ht="26.25" customHeight="1" x14ac:dyDescent="0.35">
      <c r="A14" s="37">
        <v>10</v>
      </c>
      <c r="B14" s="79" t="s">
        <v>21</v>
      </c>
      <c r="C14" s="311">
        <v>9232</v>
      </c>
      <c r="D14" s="311">
        <v>7824</v>
      </c>
      <c r="E14" s="311">
        <v>17056</v>
      </c>
      <c r="F14" s="311"/>
      <c r="G14" s="311">
        <v>27</v>
      </c>
      <c r="H14" s="311">
        <v>27</v>
      </c>
      <c r="I14" s="311">
        <v>116596</v>
      </c>
      <c r="J14" s="311">
        <v>141810</v>
      </c>
      <c r="K14" s="311">
        <v>258406</v>
      </c>
      <c r="L14" s="311">
        <v>782376</v>
      </c>
      <c r="M14" s="311">
        <v>642326</v>
      </c>
      <c r="N14" s="311">
        <v>1424702</v>
      </c>
      <c r="O14" s="311">
        <v>4681</v>
      </c>
      <c r="P14" s="311">
        <v>4043</v>
      </c>
      <c r="Q14" s="311">
        <v>8724</v>
      </c>
      <c r="R14" s="311">
        <v>114602</v>
      </c>
      <c r="S14" s="311">
        <v>73245</v>
      </c>
      <c r="T14" s="311">
        <v>187847</v>
      </c>
      <c r="U14" s="311">
        <v>8365</v>
      </c>
      <c r="V14" s="311">
        <v>5981</v>
      </c>
      <c r="W14" s="311">
        <v>14346</v>
      </c>
      <c r="X14" s="311">
        <v>17646</v>
      </c>
      <c r="Y14" s="311">
        <v>13504</v>
      </c>
      <c r="Z14" s="311">
        <v>31150</v>
      </c>
      <c r="AA14" s="311">
        <v>1053498</v>
      </c>
      <c r="AB14" s="311">
        <v>888760</v>
      </c>
      <c r="AC14" s="311">
        <v>1942258</v>
      </c>
    </row>
    <row r="15" spans="1:29" s="34" customFormat="1" ht="26.25" customHeight="1" x14ac:dyDescent="0.35">
      <c r="A15" s="37">
        <v>11</v>
      </c>
      <c r="B15" s="79" t="s">
        <v>22</v>
      </c>
      <c r="C15" s="311">
        <v>5118</v>
      </c>
      <c r="D15" s="311">
        <v>8076</v>
      </c>
      <c r="E15" s="311">
        <v>13194</v>
      </c>
      <c r="F15" s="311">
        <v>27</v>
      </c>
      <c r="G15" s="311">
        <v>49</v>
      </c>
      <c r="H15" s="311">
        <v>76</v>
      </c>
      <c r="I15" s="311">
        <v>53961</v>
      </c>
      <c r="J15" s="311">
        <v>93710</v>
      </c>
      <c r="K15" s="311">
        <v>147671</v>
      </c>
      <c r="L15" s="311">
        <v>405585</v>
      </c>
      <c r="M15" s="311">
        <v>445277</v>
      </c>
      <c r="N15" s="311">
        <v>850862</v>
      </c>
      <c r="O15" s="311">
        <v>2247</v>
      </c>
      <c r="P15" s="311">
        <v>2124</v>
      </c>
      <c r="Q15" s="311">
        <v>4371</v>
      </c>
      <c r="R15" s="311">
        <v>66208</v>
      </c>
      <c r="S15" s="311">
        <v>36157</v>
      </c>
      <c r="T15" s="311">
        <v>102365</v>
      </c>
      <c r="U15" s="311">
        <v>892</v>
      </c>
      <c r="V15" s="311">
        <v>1223</v>
      </c>
      <c r="W15" s="311">
        <v>2115</v>
      </c>
      <c r="X15" s="311">
        <v>13403</v>
      </c>
      <c r="Y15" s="311">
        <v>13332</v>
      </c>
      <c r="Z15" s="311">
        <v>26735</v>
      </c>
      <c r="AA15" s="311">
        <v>547441</v>
      </c>
      <c r="AB15" s="311">
        <v>599948</v>
      </c>
      <c r="AC15" s="311">
        <v>1147389</v>
      </c>
    </row>
    <row r="16" spans="1:29" s="34" customFormat="1" ht="26.25" customHeight="1" x14ac:dyDescent="0.35">
      <c r="A16" s="37">
        <v>12</v>
      </c>
      <c r="B16" s="79" t="s">
        <v>23</v>
      </c>
      <c r="C16" s="311">
        <v>1252</v>
      </c>
      <c r="D16" s="311">
        <v>1198</v>
      </c>
      <c r="E16" s="311">
        <v>2450</v>
      </c>
      <c r="F16" s="311">
        <v>11</v>
      </c>
      <c r="G16" s="311">
        <v>1</v>
      </c>
      <c r="H16" s="311">
        <v>12</v>
      </c>
      <c r="I16" s="311">
        <v>20836.573898281593</v>
      </c>
      <c r="J16" s="311">
        <v>24632.213614256678</v>
      </c>
      <c r="K16" s="311">
        <v>45468.787512538271</v>
      </c>
      <c r="L16" s="311">
        <v>120725.48467789829</v>
      </c>
      <c r="M16" s="311">
        <v>144116.65797632246</v>
      </c>
      <c r="N16" s="311">
        <v>264842.14265422075</v>
      </c>
      <c r="O16" s="311">
        <v>577</v>
      </c>
      <c r="P16" s="311">
        <v>786</v>
      </c>
      <c r="Q16" s="311">
        <v>1363</v>
      </c>
      <c r="R16" s="311">
        <v>9512</v>
      </c>
      <c r="S16" s="311">
        <v>9602</v>
      </c>
      <c r="T16" s="311">
        <v>19114</v>
      </c>
      <c r="U16" s="311">
        <v>183</v>
      </c>
      <c r="V16" s="311">
        <v>121</v>
      </c>
      <c r="W16" s="311">
        <v>304</v>
      </c>
      <c r="X16" s="311">
        <v>1333</v>
      </c>
      <c r="Y16" s="311">
        <v>1285</v>
      </c>
      <c r="Z16" s="311">
        <v>2618</v>
      </c>
      <c r="AA16" s="311">
        <v>154430.05857617987</v>
      </c>
      <c r="AB16" s="311">
        <v>181741.87159057913</v>
      </c>
      <c r="AC16" s="311">
        <v>336171.930166759</v>
      </c>
    </row>
    <row r="17" spans="1:29" s="34" customFormat="1" ht="26.25" customHeight="1" x14ac:dyDescent="0.35">
      <c r="A17" s="37">
        <v>13</v>
      </c>
      <c r="B17" s="79" t="s">
        <v>24</v>
      </c>
      <c r="C17" s="311">
        <v>2461</v>
      </c>
      <c r="D17" s="311">
        <v>2799</v>
      </c>
      <c r="E17" s="311">
        <v>5260</v>
      </c>
      <c r="F17" s="311"/>
      <c r="G17" s="311"/>
      <c r="H17" s="311"/>
      <c r="I17" s="311">
        <v>22059</v>
      </c>
      <c r="J17" s="311">
        <v>38099</v>
      </c>
      <c r="K17" s="311">
        <v>60158</v>
      </c>
      <c r="L17" s="311">
        <v>120638</v>
      </c>
      <c r="M17" s="311">
        <v>132005</v>
      </c>
      <c r="N17" s="311">
        <v>252643</v>
      </c>
      <c r="O17" s="311">
        <v>544</v>
      </c>
      <c r="P17" s="311">
        <v>415</v>
      </c>
      <c r="Q17" s="311">
        <v>959</v>
      </c>
      <c r="R17" s="311">
        <v>10457</v>
      </c>
      <c r="S17" s="311">
        <v>11215</v>
      </c>
      <c r="T17" s="311">
        <v>21672</v>
      </c>
      <c r="U17" s="311">
        <v>181</v>
      </c>
      <c r="V17" s="311">
        <v>800</v>
      </c>
      <c r="W17" s="311">
        <v>981</v>
      </c>
      <c r="X17" s="311">
        <v>4867</v>
      </c>
      <c r="Y17" s="311">
        <v>5947</v>
      </c>
      <c r="Z17" s="311">
        <v>10814</v>
      </c>
      <c r="AA17" s="311">
        <v>161207</v>
      </c>
      <c r="AB17" s="311">
        <v>191280</v>
      </c>
      <c r="AC17" s="311">
        <v>352487</v>
      </c>
    </row>
    <row r="18" spans="1:29" s="34" customFormat="1" ht="26.25" customHeight="1" x14ac:dyDescent="0.35">
      <c r="A18" s="37">
        <v>14</v>
      </c>
      <c r="B18" s="79" t="s">
        <v>25</v>
      </c>
      <c r="C18" s="311">
        <v>2807</v>
      </c>
      <c r="D18" s="311">
        <v>1913</v>
      </c>
      <c r="E18" s="311">
        <v>4720</v>
      </c>
      <c r="F18" s="311">
        <v>21</v>
      </c>
      <c r="G18" s="311">
        <v>70</v>
      </c>
      <c r="H18" s="311">
        <v>91</v>
      </c>
      <c r="I18" s="311">
        <v>42925</v>
      </c>
      <c r="J18" s="311">
        <v>62146</v>
      </c>
      <c r="K18" s="311">
        <v>105071</v>
      </c>
      <c r="L18" s="311">
        <v>352440</v>
      </c>
      <c r="M18" s="311">
        <v>371097</v>
      </c>
      <c r="N18" s="311">
        <v>723537</v>
      </c>
      <c r="O18" s="311">
        <v>2451</v>
      </c>
      <c r="P18" s="311">
        <v>1405</v>
      </c>
      <c r="Q18" s="311">
        <v>3856</v>
      </c>
      <c r="R18" s="311">
        <v>45810</v>
      </c>
      <c r="S18" s="311">
        <v>30170</v>
      </c>
      <c r="T18" s="311">
        <v>75980</v>
      </c>
      <c r="U18" s="311">
        <v>1940</v>
      </c>
      <c r="V18" s="311">
        <v>963</v>
      </c>
      <c r="W18" s="311">
        <v>2903</v>
      </c>
      <c r="X18" s="311">
        <v>3332</v>
      </c>
      <c r="Y18" s="311">
        <v>2365</v>
      </c>
      <c r="Z18" s="311">
        <v>5697</v>
      </c>
      <c r="AA18" s="311">
        <v>451726</v>
      </c>
      <c r="AB18" s="311">
        <v>470129</v>
      </c>
      <c r="AC18" s="311">
        <v>921855</v>
      </c>
    </row>
    <row r="19" spans="1:29" s="34" customFormat="1" ht="26.25" customHeight="1" x14ac:dyDescent="0.35">
      <c r="A19" s="37">
        <v>15</v>
      </c>
      <c r="B19" s="79" t="s">
        <v>26</v>
      </c>
      <c r="C19" s="311">
        <v>9200</v>
      </c>
      <c r="D19" s="311">
        <v>9101</v>
      </c>
      <c r="E19" s="311">
        <v>18301</v>
      </c>
      <c r="F19" s="311">
        <v>38</v>
      </c>
      <c r="G19" s="311">
        <v>179</v>
      </c>
      <c r="H19" s="311">
        <v>217</v>
      </c>
      <c r="I19" s="311">
        <v>141900.7332352208</v>
      </c>
      <c r="J19" s="311">
        <v>178386.89987365514</v>
      </c>
      <c r="K19" s="311">
        <v>320287.63310887595</v>
      </c>
      <c r="L19" s="311">
        <v>1055517.6556390964</v>
      </c>
      <c r="M19" s="311">
        <v>1043525.7920722805</v>
      </c>
      <c r="N19" s="311">
        <v>2099043.4477113769</v>
      </c>
      <c r="O19" s="311">
        <v>3760</v>
      </c>
      <c r="P19" s="311">
        <v>2953</v>
      </c>
      <c r="Q19" s="311">
        <v>6713</v>
      </c>
      <c r="R19" s="311">
        <v>158801</v>
      </c>
      <c r="S19" s="311">
        <v>104908</v>
      </c>
      <c r="T19" s="311">
        <v>263709</v>
      </c>
      <c r="U19" s="311">
        <v>15991</v>
      </c>
      <c r="V19" s="311">
        <v>15573</v>
      </c>
      <c r="W19" s="311">
        <v>31564</v>
      </c>
      <c r="X19" s="311">
        <v>10212</v>
      </c>
      <c r="Y19" s="311">
        <v>9886</v>
      </c>
      <c r="Z19" s="311">
        <v>20098</v>
      </c>
      <c r="AA19" s="311">
        <v>1395420.3888743175</v>
      </c>
      <c r="AB19" s="311">
        <v>1364512.6919459356</v>
      </c>
      <c r="AC19" s="311">
        <v>2759933.0808202531</v>
      </c>
    </row>
    <row r="20" spans="1:29" s="34" customFormat="1" ht="26.25" customHeight="1" x14ac:dyDescent="0.35">
      <c r="A20" s="37">
        <v>16</v>
      </c>
      <c r="B20" s="79" t="s">
        <v>27</v>
      </c>
      <c r="C20" s="311">
        <v>4252</v>
      </c>
      <c r="D20" s="311">
        <v>8354</v>
      </c>
      <c r="E20" s="311">
        <v>12606</v>
      </c>
      <c r="F20" s="311">
        <v>8</v>
      </c>
      <c r="G20" s="311">
        <v>42</v>
      </c>
      <c r="H20" s="311">
        <v>50</v>
      </c>
      <c r="I20" s="311">
        <v>52995.515231365949</v>
      </c>
      <c r="J20" s="311">
        <v>126101.87347542352</v>
      </c>
      <c r="K20" s="311">
        <v>179097.38870678947</v>
      </c>
      <c r="L20" s="311">
        <v>415901.86345166201</v>
      </c>
      <c r="M20" s="311">
        <v>550444.67857769516</v>
      </c>
      <c r="N20" s="311">
        <v>966346.54202935717</v>
      </c>
      <c r="O20" s="311">
        <v>1073</v>
      </c>
      <c r="P20" s="311">
        <v>2022</v>
      </c>
      <c r="Q20" s="311">
        <v>3095</v>
      </c>
      <c r="R20" s="311">
        <v>55902</v>
      </c>
      <c r="S20" s="311">
        <v>40569</v>
      </c>
      <c r="T20" s="311">
        <v>96471</v>
      </c>
      <c r="U20" s="311">
        <v>1528</v>
      </c>
      <c r="V20" s="311">
        <v>1409</v>
      </c>
      <c r="W20" s="311">
        <v>2937</v>
      </c>
      <c r="X20" s="311">
        <v>6482</v>
      </c>
      <c r="Y20" s="311">
        <v>9763</v>
      </c>
      <c r="Z20" s="311">
        <v>16245</v>
      </c>
      <c r="AA20" s="311">
        <v>538142.37868302793</v>
      </c>
      <c r="AB20" s="311">
        <v>738705.55205311871</v>
      </c>
      <c r="AC20" s="311">
        <v>1276847.9307361466</v>
      </c>
    </row>
    <row r="21" spans="1:29" s="34" customFormat="1" ht="26.25" customHeight="1" x14ac:dyDescent="0.35">
      <c r="A21" s="37">
        <v>17</v>
      </c>
      <c r="B21" s="79" t="s">
        <v>28</v>
      </c>
      <c r="C21" s="311"/>
      <c r="D21" s="311"/>
      <c r="E21" s="311"/>
      <c r="F21" s="311"/>
      <c r="G21" s="311"/>
      <c r="H21" s="311"/>
      <c r="I21" s="311">
        <v>149</v>
      </c>
      <c r="J21" s="311">
        <v>271</v>
      </c>
      <c r="K21" s="311">
        <v>420</v>
      </c>
      <c r="L21" s="311">
        <v>1194</v>
      </c>
      <c r="M21" s="311">
        <v>2162.9999999999991</v>
      </c>
      <c r="N21" s="311">
        <v>3356.9999999999991</v>
      </c>
      <c r="O21" s="311"/>
      <c r="P21" s="311"/>
      <c r="Q21" s="311"/>
      <c r="R21" s="311">
        <v>274</v>
      </c>
      <c r="S21" s="311">
        <v>521</v>
      </c>
      <c r="T21" s="311">
        <v>795</v>
      </c>
      <c r="U21" s="311">
        <v>111</v>
      </c>
      <c r="V21" s="311">
        <v>82</v>
      </c>
      <c r="W21" s="311">
        <v>193</v>
      </c>
      <c r="X21" s="311"/>
      <c r="Y21" s="311"/>
      <c r="Z21" s="311"/>
      <c r="AA21" s="311">
        <v>1728</v>
      </c>
      <c r="AB21" s="311">
        <v>3036.9999999999991</v>
      </c>
      <c r="AC21" s="311">
        <v>4764.9999999999991</v>
      </c>
    </row>
    <row r="22" spans="1:29" s="34" customFormat="1" ht="26.25" customHeight="1" x14ac:dyDescent="0.35">
      <c r="A22" s="37">
        <v>18</v>
      </c>
      <c r="B22" s="79" t="s">
        <v>82</v>
      </c>
      <c r="C22" s="311"/>
      <c r="D22" s="311"/>
      <c r="E22" s="311"/>
      <c r="F22" s="311"/>
      <c r="G22" s="311"/>
      <c r="H22" s="311"/>
      <c r="I22" s="311"/>
      <c r="J22" s="311"/>
      <c r="K22" s="311"/>
      <c r="L22" s="311">
        <v>122</v>
      </c>
      <c r="M22" s="311">
        <v>371</v>
      </c>
      <c r="N22" s="311">
        <v>493</v>
      </c>
      <c r="O22" s="311"/>
      <c r="P22" s="311"/>
      <c r="Q22" s="311"/>
      <c r="R22" s="311">
        <v>77</v>
      </c>
      <c r="S22" s="311">
        <v>22</v>
      </c>
      <c r="T22" s="311">
        <v>99</v>
      </c>
      <c r="U22" s="311"/>
      <c r="V22" s="311"/>
      <c r="W22" s="311"/>
      <c r="X22" s="311"/>
      <c r="Y22" s="311"/>
      <c r="Z22" s="311"/>
      <c r="AA22" s="311">
        <v>199</v>
      </c>
      <c r="AB22" s="311">
        <v>393</v>
      </c>
      <c r="AC22" s="311">
        <v>592</v>
      </c>
    </row>
    <row r="23" spans="1:29" s="34" customFormat="1" ht="26.25" customHeight="1" x14ac:dyDescent="0.35">
      <c r="A23" s="37">
        <v>19</v>
      </c>
      <c r="B23" s="79" t="s">
        <v>29</v>
      </c>
      <c r="C23" s="311">
        <v>6275</v>
      </c>
      <c r="D23" s="311">
        <v>5151</v>
      </c>
      <c r="E23" s="311">
        <v>11426</v>
      </c>
      <c r="F23" s="311">
        <v>2</v>
      </c>
      <c r="G23" s="311">
        <v>24</v>
      </c>
      <c r="H23" s="311">
        <v>26</v>
      </c>
      <c r="I23" s="311">
        <v>228926.77014325705</v>
      </c>
      <c r="J23" s="311">
        <v>271352.79789907113</v>
      </c>
      <c r="K23" s="311">
        <v>500279.56804232817</v>
      </c>
      <c r="L23" s="311">
        <v>1034683.4521015844</v>
      </c>
      <c r="M23" s="311">
        <v>930663.5262378942</v>
      </c>
      <c r="N23" s="311">
        <v>1965346.9783394786</v>
      </c>
      <c r="O23" s="311">
        <v>20201</v>
      </c>
      <c r="P23" s="311">
        <v>22224</v>
      </c>
      <c r="Q23" s="311">
        <v>42425</v>
      </c>
      <c r="R23" s="311">
        <v>126828</v>
      </c>
      <c r="S23" s="311">
        <v>77963</v>
      </c>
      <c r="T23" s="311">
        <v>204791</v>
      </c>
      <c r="U23" s="311">
        <v>2840</v>
      </c>
      <c r="V23" s="311">
        <v>1647</v>
      </c>
      <c r="W23" s="311">
        <v>4487</v>
      </c>
      <c r="X23" s="311">
        <v>24769</v>
      </c>
      <c r="Y23" s="311">
        <v>20877</v>
      </c>
      <c r="Z23" s="311">
        <v>45646</v>
      </c>
      <c r="AA23" s="311">
        <v>1444525.2222448415</v>
      </c>
      <c r="AB23" s="311">
        <v>1329902.3241369654</v>
      </c>
      <c r="AC23" s="311">
        <v>2774427.546381807</v>
      </c>
    </row>
    <row r="24" spans="1:29" s="34" customFormat="1" ht="26.25" customHeight="1" x14ac:dyDescent="0.35">
      <c r="A24" s="37">
        <v>20</v>
      </c>
      <c r="B24" s="79" t="s">
        <v>30</v>
      </c>
      <c r="C24" s="311">
        <v>17597</v>
      </c>
      <c r="D24" s="311">
        <v>15683</v>
      </c>
      <c r="E24" s="311">
        <v>33280</v>
      </c>
      <c r="F24" s="311">
        <v>18</v>
      </c>
      <c r="G24" s="311">
        <v>18</v>
      </c>
      <c r="H24" s="311">
        <v>36</v>
      </c>
      <c r="I24" s="311">
        <v>303012.01543234632</v>
      </c>
      <c r="J24" s="311">
        <v>316596.82970233896</v>
      </c>
      <c r="K24" s="311">
        <v>619608.84513468528</v>
      </c>
      <c r="L24" s="311">
        <v>1882657.4929465794</v>
      </c>
      <c r="M24" s="311">
        <v>1621388.6444922888</v>
      </c>
      <c r="N24" s="311">
        <v>3504046.1374388682</v>
      </c>
      <c r="O24" s="311">
        <v>11382</v>
      </c>
      <c r="P24" s="311">
        <v>8508</v>
      </c>
      <c r="Q24" s="311">
        <v>19890</v>
      </c>
      <c r="R24" s="311">
        <v>232782</v>
      </c>
      <c r="S24" s="311">
        <v>195465</v>
      </c>
      <c r="T24" s="311">
        <v>428247</v>
      </c>
      <c r="U24" s="311">
        <v>12571</v>
      </c>
      <c r="V24" s="311">
        <v>9955</v>
      </c>
      <c r="W24" s="311">
        <v>22526</v>
      </c>
      <c r="X24" s="311">
        <v>13038</v>
      </c>
      <c r="Y24" s="311">
        <v>12897</v>
      </c>
      <c r="Z24" s="311">
        <v>25935</v>
      </c>
      <c r="AA24" s="311">
        <v>2473057.5083789262</v>
      </c>
      <c r="AB24" s="311">
        <v>2180511.4741946277</v>
      </c>
      <c r="AC24" s="311">
        <v>4653568.9825735539</v>
      </c>
    </row>
    <row r="25" spans="1:29" s="34" customFormat="1" ht="26.25" customHeight="1" x14ac:dyDescent="0.35">
      <c r="A25" s="37">
        <v>21</v>
      </c>
      <c r="B25" s="79" t="s">
        <v>31</v>
      </c>
      <c r="C25" s="311">
        <v>1518</v>
      </c>
      <c r="D25" s="311">
        <v>1621</v>
      </c>
      <c r="E25" s="311">
        <v>3139</v>
      </c>
      <c r="F25" s="311">
        <v>4</v>
      </c>
      <c r="G25" s="311">
        <v>8</v>
      </c>
      <c r="H25" s="311">
        <v>12</v>
      </c>
      <c r="I25" s="311">
        <v>6265</v>
      </c>
      <c r="J25" s="311">
        <v>6584</v>
      </c>
      <c r="K25" s="311">
        <v>12849</v>
      </c>
      <c r="L25" s="311">
        <v>45832</v>
      </c>
      <c r="M25" s="311">
        <v>45060</v>
      </c>
      <c r="N25" s="311">
        <v>90892</v>
      </c>
      <c r="O25" s="311">
        <v>339</v>
      </c>
      <c r="P25" s="311">
        <v>293</v>
      </c>
      <c r="Q25" s="311">
        <v>632</v>
      </c>
      <c r="R25" s="311">
        <v>1535</v>
      </c>
      <c r="S25" s="311">
        <v>2792</v>
      </c>
      <c r="T25" s="311">
        <v>4327</v>
      </c>
      <c r="U25" s="311">
        <v>51</v>
      </c>
      <c r="V25" s="311">
        <v>61</v>
      </c>
      <c r="W25" s="311">
        <v>112</v>
      </c>
      <c r="X25" s="311">
        <v>264</v>
      </c>
      <c r="Y25" s="311">
        <v>154</v>
      </c>
      <c r="Z25" s="311">
        <v>418</v>
      </c>
      <c r="AA25" s="311">
        <v>55808</v>
      </c>
      <c r="AB25" s="311">
        <v>56573</v>
      </c>
      <c r="AC25" s="311">
        <v>112381</v>
      </c>
    </row>
    <row r="26" spans="1:29" s="34" customFormat="1" ht="26.25" customHeight="1" x14ac:dyDescent="0.35">
      <c r="A26" s="37">
        <v>22</v>
      </c>
      <c r="B26" s="79" t="s">
        <v>32</v>
      </c>
      <c r="C26" s="311">
        <v>1112</v>
      </c>
      <c r="D26" s="311">
        <v>1213</v>
      </c>
      <c r="E26" s="311">
        <v>2325</v>
      </c>
      <c r="F26" s="311">
        <v>1</v>
      </c>
      <c r="G26" s="311"/>
      <c r="H26" s="311">
        <v>1</v>
      </c>
      <c r="I26" s="311">
        <v>5926.8125</v>
      </c>
      <c r="J26" s="311">
        <v>9542.09375</v>
      </c>
      <c r="K26" s="311">
        <v>15468.90625</v>
      </c>
      <c r="L26" s="311">
        <v>39272.588068181823</v>
      </c>
      <c r="M26" s="311">
        <v>47720.215909090897</v>
      </c>
      <c r="N26" s="311">
        <v>86992.803977272721</v>
      </c>
      <c r="O26" s="311">
        <v>120</v>
      </c>
      <c r="P26" s="311">
        <v>109</v>
      </c>
      <c r="Q26" s="311">
        <v>229</v>
      </c>
      <c r="R26" s="311">
        <v>1279</v>
      </c>
      <c r="S26" s="311">
        <v>2207</v>
      </c>
      <c r="T26" s="311">
        <v>3486</v>
      </c>
      <c r="U26" s="311">
        <v>330</v>
      </c>
      <c r="V26" s="311">
        <v>338</v>
      </c>
      <c r="W26" s="311">
        <v>668</v>
      </c>
      <c r="X26" s="311">
        <v>284</v>
      </c>
      <c r="Y26" s="311">
        <v>361</v>
      </c>
      <c r="Z26" s="311">
        <v>645</v>
      </c>
      <c r="AA26" s="311">
        <v>48325.400568181823</v>
      </c>
      <c r="AB26" s="311">
        <v>61490.309659090897</v>
      </c>
      <c r="AC26" s="311">
        <v>109815.71022727272</v>
      </c>
    </row>
    <row r="27" spans="1:29" s="34" customFormat="1" ht="26.25" customHeight="1" x14ac:dyDescent="0.35">
      <c r="A27" s="37">
        <v>23</v>
      </c>
      <c r="B27" s="79" t="s">
        <v>33</v>
      </c>
      <c r="C27" s="311">
        <v>760</v>
      </c>
      <c r="D27" s="311">
        <v>708</v>
      </c>
      <c r="E27" s="311">
        <v>1468</v>
      </c>
      <c r="F27" s="311"/>
      <c r="G27" s="311"/>
      <c r="H27" s="311"/>
      <c r="I27" s="311">
        <v>2255</v>
      </c>
      <c r="J27" s="311">
        <v>2775</v>
      </c>
      <c r="K27" s="311">
        <v>5030</v>
      </c>
      <c r="L27" s="311">
        <v>14869</v>
      </c>
      <c r="M27" s="311">
        <v>13705</v>
      </c>
      <c r="N27" s="311">
        <v>28574</v>
      </c>
      <c r="O27" s="311">
        <v>41</v>
      </c>
      <c r="P27" s="311">
        <v>17</v>
      </c>
      <c r="Q27" s="311">
        <v>58</v>
      </c>
      <c r="R27" s="311">
        <v>4299</v>
      </c>
      <c r="S27" s="311">
        <v>5426</v>
      </c>
      <c r="T27" s="311">
        <v>9725</v>
      </c>
      <c r="U27" s="311">
        <v>271</v>
      </c>
      <c r="V27" s="311">
        <v>251</v>
      </c>
      <c r="W27" s="311">
        <v>522</v>
      </c>
      <c r="X27" s="311"/>
      <c r="Y27" s="311"/>
      <c r="Z27" s="311"/>
      <c r="AA27" s="311">
        <v>22495</v>
      </c>
      <c r="AB27" s="311">
        <v>22882</v>
      </c>
      <c r="AC27" s="311">
        <v>45377</v>
      </c>
    </row>
    <row r="28" spans="1:29" s="34" customFormat="1" ht="26.25" customHeight="1" x14ac:dyDescent="0.35">
      <c r="A28" s="37">
        <v>24</v>
      </c>
      <c r="B28" s="79" t="s">
        <v>34</v>
      </c>
      <c r="C28" s="311">
        <v>405</v>
      </c>
      <c r="D28" s="311">
        <v>467</v>
      </c>
      <c r="E28" s="311">
        <v>872</v>
      </c>
      <c r="F28" s="311"/>
      <c r="G28" s="311"/>
      <c r="H28" s="311"/>
      <c r="I28" s="311">
        <v>2704</v>
      </c>
      <c r="J28" s="311">
        <v>4415</v>
      </c>
      <c r="K28" s="311">
        <v>7119</v>
      </c>
      <c r="L28" s="311">
        <v>18172</v>
      </c>
      <c r="M28" s="311">
        <v>20572</v>
      </c>
      <c r="N28" s="311">
        <v>38744</v>
      </c>
      <c r="O28" s="311">
        <v>13</v>
      </c>
      <c r="P28" s="311">
        <v>30</v>
      </c>
      <c r="Q28" s="311">
        <v>43</v>
      </c>
      <c r="R28" s="311">
        <v>837</v>
      </c>
      <c r="S28" s="311">
        <v>1562</v>
      </c>
      <c r="T28" s="311">
        <v>2399</v>
      </c>
      <c r="U28" s="311">
        <v>352</v>
      </c>
      <c r="V28" s="311">
        <v>395</v>
      </c>
      <c r="W28" s="311">
        <v>747</v>
      </c>
      <c r="X28" s="311"/>
      <c r="Y28" s="311"/>
      <c r="Z28" s="311"/>
      <c r="AA28" s="311">
        <v>22483</v>
      </c>
      <c r="AB28" s="311">
        <v>27441</v>
      </c>
      <c r="AC28" s="311">
        <v>49924</v>
      </c>
    </row>
    <row r="29" spans="1:29" s="34" customFormat="1" ht="26.25" customHeight="1" x14ac:dyDescent="0.35">
      <c r="A29" s="37">
        <v>25</v>
      </c>
      <c r="B29" s="79" t="s">
        <v>35</v>
      </c>
      <c r="C29" s="311">
        <v>4569</v>
      </c>
      <c r="D29" s="311">
        <v>3621</v>
      </c>
      <c r="E29" s="311">
        <v>8190</v>
      </c>
      <c r="F29" s="311">
        <v>17</v>
      </c>
      <c r="G29" s="311">
        <v>21</v>
      </c>
      <c r="H29" s="311">
        <v>38</v>
      </c>
      <c r="I29" s="311">
        <v>60588</v>
      </c>
      <c r="J29" s="311">
        <v>68580</v>
      </c>
      <c r="K29" s="311">
        <v>129168</v>
      </c>
      <c r="L29" s="311">
        <v>419619</v>
      </c>
      <c r="M29" s="311">
        <v>432275</v>
      </c>
      <c r="N29" s="311">
        <v>851894</v>
      </c>
      <c r="O29" s="311">
        <v>1690</v>
      </c>
      <c r="P29" s="311">
        <v>1204</v>
      </c>
      <c r="Q29" s="311">
        <v>2894</v>
      </c>
      <c r="R29" s="311">
        <v>121143</v>
      </c>
      <c r="S29" s="311">
        <v>56328</v>
      </c>
      <c r="T29" s="311">
        <v>177471</v>
      </c>
      <c r="U29" s="311">
        <v>886</v>
      </c>
      <c r="V29" s="311">
        <v>1402</v>
      </c>
      <c r="W29" s="311">
        <v>2288</v>
      </c>
      <c r="X29" s="311">
        <v>7024</v>
      </c>
      <c r="Y29" s="311">
        <v>6964</v>
      </c>
      <c r="Z29" s="311">
        <v>13988</v>
      </c>
      <c r="AA29" s="311">
        <v>615536</v>
      </c>
      <c r="AB29" s="311">
        <v>570395</v>
      </c>
      <c r="AC29" s="311">
        <v>1185931</v>
      </c>
    </row>
    <row r="30" spans="1:29" s="34" customFormat="1" ht="26.25" customHeight="1" x14ac:dyDescent="0.35">
      <c r="A30" s="37">
        <v>26</v>
      </c>
      <c r="B30" s="79" t="s">
        <v>36</v>
      </c>
      <c r="C30" s="311">
        <v>1132</v>
      </c>
      <c r="D30" s="311">
        <v>1055</v>
      </c>
      <c r="E30" s="311">
        <v>2187</v>
      </c>
      <c r="F30" s="311">
        <v>1</v>
      </c>
      <c r="G30" s="311">
        <v>7</v>
      </c>
      <c r="H30" s="311">
        <v>8</v>
      </c>
      <c r="I30" s="311">
        <v>17602.330645161288</v>
      </c>
      <c r="J30" s="311">
        <v>18485.891129032258</v>
      </c>
      <c r="K30" s="311">
        <v>36088.221774193546</v>
      </c>
      <c r="L30" s="311">
        <v>34054.862903225796</v>
      </c>
      <c r="M30" s="311">
        <v>38569.870967741932</v>
      </c>
      <c r="N30" s="311">
        <v>72624.733870967728</v>
      </c>
      <c r="O30" s="311">
        <v>37</v>
      </c>
      <c r="P30" s="311">
        <v>21</v>
      </c>
      <c r="Q30" s="311">
        <v>58</v>
      </c>
      <c r="R30" s="311">
        <v>2405</v>
      </c>
      <c r="S30" s="311">
        <v>1166</v>
      </c>
      <c r="T30" s="311">
        <v>3571</v>
      </c>
      <c r="U30" s="311"/>
      <c r="V30" s="311"/>
      <c r="W30" s="311"/>
      <c r="X30" s="311">
        <v>548</v>
      </c>
      <c r="Y30" s="311">
        <v>949</v>
      </c>
      <c r="Z30" s="311">
        <v>1497</v>
      </c>
      <c r="AA30" s="311">
        <v>55780.193548387084</v>
      </c>
      <c r="AB30" s="311">
        <v>60253.76209677419</v>
      </c>
      <c r="AC30" s="311">
        <v>116033.95564516127</v>
      </c>
    </row>
    <row r="31" spans="1:29" s="34" customFormat="1" ht="26.25" customHeight="1" x14ac:dyDescent="0.35">
      <c r="A31" s="37">
        <v>27</v>
      </c>
      <c r="B31" s="79" t="s">
        <v>37</v>
      </c>
      <c r="C31" s="311">
        <v>5444</v>
      </c>
      <c r="D31" s="311">
        <v>7246</v>
      </c>
      <c r="E31" s="311">
        <v>12690</v>
      </c>
      <c r="F31" s="311"/>
      <c r="G31" s="311">
        <v>18</v>
      </c>
      <c r="H31" s="311">
        <v>18</v>
      </c>
      <c r="I31" s="311">
        <v>56609</v>
      </c>
      <c r="J31" s="311">
        <v>65812</v>
      </c>
      <c r="K31" s="311">
        <v>122421</v>
      </c>
      <c r="L31" s="311">
        <v>341490</v>
      </c>
      <c r="M31" s="311">
        <v>318360</v>
      </c>
      <c r="N31" s="311">
        <v>659850</v>
      </c>
      <c r="O31" s="311">
        <v>2717</v>
      </c>
      <c r="P31" s="311">
        <v>3024</v>
      </c>
      <c r="Q31" s="311">
        <v>5741</v>
      </c>
      <c r="R31" s="311">
        <v>42865</v>
      </c>
      <c r="S31" s="311">
        <v>56113</v>
      </c>
      <c r="T31" s="311">
        <v>98978</v>
      </c>
      <c r="U31" s="311">
        <v>2488</v>
      </c>
      <c r="V31" s="311">
        <v>3589</v>
      </c>
      <c r="W31" s="311">
        <v>6077</v>
      </c>
      <c r="X31" s="311">
        <v>11761</v>
      </c>
      <c r="Y31" s="311">
        <v>16128</v>
      </c>
      <c r="Z31" s="311">
        <v>27889</v>
      </c>
      <c r="AA31" s="311">
        <v>463374</v>
      </c>
      <c r="AB31" s="311">
        <v>470290</v>
      </c>
      <c r="AC31" s="311">
        <v>933664</v>
      </c>
    </row>
    <row r="32" spans="1:29" s="34" customFormat="1" ht="26.25" customHeight="1" x14ac:dyDescent="0.35">
      <c r="A32" s="37">
        <v>28</v>
      </c>
      <c r="B32" s="79" t="s">
        <v>38</v>
      </c>
      <c r="C32" s="311">
        <v>8882</v>
      </c>
      <c r="D32" s="311">
        <v>10256</v>
      </c>
      <c r="E32" s="311">
        <v>19138</v>
      </c>
      <c r="F32" s="311">
        <v>29</v>
      </c>
      <c r="G32" s="311">
        <v>84</v>
      </c>
      <c r="H32" s="311">
        <v>113</v>
      </c>
      <c r="I32" s="311">
        <v>160599.63966569881</v>
      </c>
      <c r="J32" s="311">
        <v>189481.68608308461</v>
      </c>
      <c r="K32" s="311">
        <v>350081.32574878342</v>
      </c>
      <c r="L32" s="311">
        <v>1032947.8941434092</v>
      </c>
      <c r="M32" s="311">
        <v>999523.12212448462</v>
      </c>
      <c r="N32" s="311">
        <v>2032471.0162678938</v>
      </c>
      <c r="O32" s="311">
        <v>7460</v>
      </c>
      <c r="P32" s="311">
        <v>4941</v>
      </c>
      <c r="Q32" s="311">
        <v>12401</v>
      </c>
      <c r="R32" s="311">
        <v>113813</v>
      </c>
      <c r="S32" s="311">
        <v>60162</v>
      </c>
      <c r="T32" s="311">
        <v>173975</v>
      </c>
      <c r="U32" s="311">
        <v>1681</v>
      </c>
      <c r="V32" s="311">
        <v>2082</v>
      </c>
      <c r="W32" s="311">
        <v>3763</v>
      </c>
      <c r="X32" s="311">
        <v>70199</v>
      </c>
      <c r="Y32" s="311">
        <v>75584</v>
      </c>
      <c r="Z32" s="311">
        <v>145783</v>
      </c>
      <c r="AA32" s="311">
        <v>1395611.5338091082</v>
      </c>
      <c r="AB32" s="311">
        <v>1342113.8082075692</v>
      </c>
      <c r="AC32" s="311">
        <v>2737725.3420166774</v>
      </c>
    </row>
    <row r="33" spans="1:29" s="34" customFormat="1" ht="26.25" customHeight="1" x14ac:dyDescent="0.35">
      <c r="A33" s="37">
        <v>29</v>
      </c>
      <c r="B33" s="79" t="s">
        <v>39</v>
      </c>
      <c r="C33" s="311">
        <v>226</v>
      </c>
      <c r="D33" s="311">
        <v>173</v>
      </c>
      <c r="E33" s="311">
        <v>399</v>
      </c>
      <c r="F33" s="311"/>
      <c r="G33" s="311"/>
      <c r="H33" s="311"/>
      <c r="I33" s="311">
        <v>2882</v>
      </c>
      <c r="J33" s="311">
        <v>3998</v>
      </c>
      <c r="K33" s="311">
        <v>6880</v>
      </c>
      <c r="L33" s="311">
        <v>13048</v>
      </c>
      <c r="M33" s="311">
        <v>13010</v>
      </c>
      <c r="N33" s="311">
        <v>26058</v>
      </c>
      <c r="O33" s="311">
        <v>24</v>
      </c>
      <c r="P33" s="311">
        <v>12</v>
      </c>
      <c r="Q33" s="311">
        <v>36</v>
      </c>
      <c r="R33" s="311">
        <v>1751</v>
      </c>
      <c r="S33" s="311">
        <v>1309</v>
      </c>
      <c r="T33" s="311">
        <v>3060</v>
      </c>
      <c r="U33" s="311">
        <v>4</v>
      </c>
      <c r="V33" s="311">
        <v>4</v>
      </c>
      <c r="W33" s="311">
        <v>8</v>
      </c>
      <c r="X33" s="311">
        <v>188</v>
      </c>
      <c r="Y33" s="311">
        <v>292</v>
      </c>
      <c r="Z33" s="311">
        <v>480</v>
      </c>
      <c r="AA33" s="311">
        <v>18123</v>
      </c>
      <c r="AB33" s="311">
        <v>18798</v>
      </c>
      <c r="AC33" s="311">
        <v>36921</v>
      </c>
    </row>
    <row r="34" spans="1:29" s="34" customFormat="1" ht="26.25" customHeight="1" x14ac:dyDescent="0.35">
      <c r="A34" s="37">
        <v>30</v>
      </c>
      <c r="B34" s="79" t="s">
        <v>40</v>
      </c>
      <c r="C34" s="311">
        <v>21211</v>
      </c>
      <c r="D34" s="311">
        <v>27274</v>
      </c>
      <c r="E34" s="311">
        <v>48485</v>
      </c>
      <c r="F34" s="311">
        <v>336</v>
      </c>
      <c r="G34" s="311">
        <v>557</v>
      </c>
      <c r="H34" s="311">
        <v>893</v>
      </c>
      <c r="I34" s="311">
        <v>200409.11018583481</v>
      </c>
      <c r="J34" s="311">
        <v>279638.68640036834</v>
      </c>
      <c r="K34" s="311">
        <v>480047.79658620316</v>
      </c>
      <c r="L34" s="311">
        <v>1390410.0541483806</v>
      </c>
      <c r="M34" s="311">
        <v>1361529.0121450978</v>
      </c>
      <c r="N34" s="311">
        <v>2751939.0662934785</v>
      </c>
      <c r="O34" s="311">
        <v>2789</v>
      </c>
      <c r="P34" s="311">
        <v>2458</v>
      </c>
      <c r="Q34" s="311">
        <v>5247</v>
      </c>
      <c r="R34" s="311">
        <v>182470</v>
      </c>
      <c r="S34" s="311">
        <v>51057</v>
      </c>
      <c r="T34" s="311">
        <v>233527</v>
      </c>
      <c r="U34" s="311">
        <v>3840</v>
      </c>
      <c r="V34" s="311">
        <v>22028</v>
      </c>
      <c r="W34" s="311">
        <v>25868</v>
      </c>
      <c r="X34" s="311">
        <v>15109</v>
      </c>
      <c r="Y34" s="311">
        <v>15931</v>
      </c>
      <c r="Z34" s="311">
        <v>31040</v>
      </c>
      <c r="AA34" s="311">
        <v>1816574.1643342152</v>
      </c>
      <c r="AB34" s="311">
        <v>1760472.6985454662</v>
      </c>
      <c r="AC34" s="311">
        <v>3577046.8628796814</v>
      </c>
    </row>
    <row r="35" spans="1:29" s="34" customFormat="1" ht="26.25" customHeight="1" x14ac:dyDescent="0.35">
      <c r="A35" s="37">
        <v>31</v>
      </c>
      <c r="B35" s="79" t="s">
        <v>41</v>
      </c>
      <c r="C35" s="311">
        <v>5528</v>
      </c>
      <c r="D35" s="311">
        <v>3819</v>
      </c>
      <c r="E35" s="311">
        <v>9347</v>
      </c>
      <c r="F35" s="311">
        <v>13</v>
      </c>
      <c r="G35" s="311">
        <v>43</v>
      </c>
      <c r="H35" s="311">
        <v>56</v>
      </c>
      <c r="I35" s="311">
        <v>102415.49810665619</v>
      </c>
      <c r="J35" s="311">
        <v>141432.78418520672</v>
      </c>
      <c r="K35" s="311">
        <v>243848.28229186291</v>
      </c>
      <c r="L35" s="311">
        <v>709810.91600351443</v>
      </c>
      <c r="M35" s="311">
        <v>721308.09240771818</v>
      </c>
      <c r="N35" s="311">
        <v>1431119.0084112326</v>
      </c>
      <c r="O35" s="311">
        <v>6197</v>
      </c>
      <c r="P35" s="311">
        <v>5850</v>
      </c>
      <c r="Q35" s="311">
        <v>12047</v>
      </c>
      <c r="R35" s="311">
        <v>41784</v>
      </c>
      <c r="S35" s="311">
        <v>34644</v>
      </c>
      <c r="T35" s="311">
        <v>76428</v>
      </c>
      <c r="U35" s="311">
        <v>2119</v>
      </c>
      <c r="V35" s="311">
        <v>1668</v>
      </c>
      <c r="W35" s="311">
        <v>3787</v>
      </c>
      <c r="X35" s="311">
        <v>6377</v>
      </c>
      <c r="Y35" s="311">
        <v>4451</v>
      </c>
      <c r="Z35" s="311">
        <v>10828</v>
      </c>
      <c r="AA35" s="311">
        <v>874244.41411017056</v>
      </c>
      <c r="AB35" s="311">
        <v>913215.87659292493</v>
      </c>
      <c r="AC35" s="311">
        <v>1787460.2907030955</v>
      </c>
    </row>
    <row r="36" spans="1:29" s="34" customFormat="1" ht="31.5" customHeight="1" x14ac:dyDescent="0.35">
      <c r="A36" s="37">
        <v>32</v>
      </c>
      <c r="B36" s="92" t="s">
        <v>58</v>
      </c>
      <c r="C36" s="311"/>
      <c r="D36" s="311">
        <v>2</v>
      </c>
      <c r="E36" s="311">
        <v>2</v>
      </c>
      <c r="F36" s="311"/>
      <c r="G36" s="311"/>
      <c r="H36" s="311"/>
      <c r="I36" s="311">
        <v>231</v>
      </c>
      <c r="J36" s="311">
        <v>535</v>
      </c>
      <c r="K36" s="311">
        <v>766</v>
      </c>
      <c r="L36" s="311">
        <v>4596</v>
      </c>
      <c r="M36" s="311">
        <v>5108</v>
      </c>
      <c r="N36" s="311">
        <v>9704</v>
      </c>
      <c r="O36" s="311">
        <v>40</v>
      </c>
      <c r="P36" s="311">
        <v>17</v>
      </c>
      <c r="Q36" s="311">
        <v>57</v>
      </c>
      <c r="R36" s="311">
        <v>1489</v>
      </c>
      <c r="S36" s="311">
        <v>472</v>
      </c>
      <c r="T36" s="311">
        <v>1961</v>
      </c>
      <c r="U36" s="311"/>
      <c r="V36" s="311"/>
      <c r="W36" s="311"/>
      <c r="X36" s="311">
        <v>54</v>
      </c>
      <c r="Y36" s="311">
        <v>76</v>
      </c>
      <c r="Z36" s="311">
        <v>130</v>
      </c>
      <c r="AA36" s="311">
        <v>6410</v>
      </c>
      <c r="AB36" s="311">
        <v>6210</v>
      </c>
      <c r="AC36" s="311">
        <v>12620</v>
      </c>
    </row>
    <row r="37" spans="1:29" s="34" customFormat="1" ht="26.25" customHeight="1" x14ac:dyDescent="0.35">
      <c r="A37" s="37">
        <v>33</v>
      </c>
      <c r="B37" s="79" t="s">
        <v>42</v>
      </c>
      <c r="C37" s="311">
        <v>372</v>
      </c>
      <c r="D37" s="311">
        <v>232</v>
      </c>
      <c r="E37" s="311">
        <v>604</v>
      </c>
      <c r="F37" s="311"/>
      <c r="G37" s="311"/>
      <c r="H37" s="311"/>
      <c r="I37" s="311">
        <v>4832</v>
      </c>
      <c r="J37" s="311">
        <v>5331</v>
      </c>
      <c r="K37" s="311">
        <v>10163</v>
      </c>
      <c r="L37" s="311">
        <v>45733</v>
      </c>
      <c r="M37" s="311">
        <v>45942</v>
      </c>
      <c r="N37" s="311">
        <v>91675</v>
      </c>
      <c r="O37" s="311">
        <v>71</v>
      </c>
      <c r="P37" s="311">
        <v>36</v>
      </c>
      <c r="Q37" s="311">
        <v>107</v>
      </c>
      <c r="R37" s="311">
        <v>2622</v>
      </c>
      <c r="S37" s="311">
        <v>2548</v>
      </c>
      <c r="T37" s="311">
        <v>5170</v>
      </c>
      <c r="U37" s="311">
        <v>22</v>
      </c>
      <c r="V37" s="311">
        <v>51</v>
      </c>
      <c r="W37" s="311">
        <v>73</v>
      </c>
      <c r="X37" s="311">
        <v>1391</v>
      </c>
      <c r="Y37" s="311">
        <v>1186</v>
      </c>
      <c r="Z37" s="311">
        <v>2577</v>
      </c>
      <c r="AA37" s="311">
        <v>55043</v>
      </c>
      <c r="AB37" s="311">
        <v>55326</v>
      </c>
      <c r="AC37" s="311">
        <v>110369</v>
      </c>
    </row>
    <row r="38" spans="1:29" s="34" customFormat="1" ht="26.25" customHeight="1" x14ac:dyDescent="0.35">
      <c r="A38" s="37">
        <v>34</v>
      </c>
      <c r="B38" s="79" t="s">
        <v>43</v>
      </c>
      <c r="C38" s="311">
        <v>19145</v>
      </c>
      <c r="D38" s="311">
        <v>16135</v>
      </c>
      <c r="E38" s="311">
        <v>35280</v>
      </c>
      <c r="F38" s="311">
        <v>9</v>
      </c>
      <c r="G38" s="311">
        <v>56</v>
      </c>
      <c r="H38" s="311">
        <v>65</v>
      </c>
      <c r="I38" s="311">
        <v>384001.35828334122</v>
      </c>
      <c r="J38" s="311">
        <v>491872.72634458862</v>
      </c>
      <c r="K38" s="311">
        <v>875874.08462792984</v>
      </c>
      <c r="L38" s="311">
        <v>2938158.1374911428</v>
      </c>
      <c r="M38" s="311">
        <v>2814870.9719692725</v>
      </c>
      <c r="N38" s="311">
        <v>5753029.1094604153</v>
      </c>
      <c r="O38" s="311">
        <v>11271</v>
      </c>
      <c r="P38" s="311">
        <v>8059</v>
      </c>
      <c r="Q38" s="311">
        <v>19330</v>
      </c>
      <c r="R38" s="311">
        <v>280017</v>
      </c>
      <c r="S38" s="311">
        <v>192501</v>
      </c>
      <c r="T38" s="311">
        <v>472518</v>
      </c>
      <c r="U38" s="311">
        <v>17949</v>
      </c>
      <c r="V38" s="311">
        <v>16673</v>
      </c>
      <c r="W38" s="311">
        <v>34622</v>
      </c>
      <c r="X38" s="311">
        <v>48801</v>
      </c>
      <c r="Y38" s="311">
        <v>29579</v>
      </c>
      <c r="Z38" s="311">
        <v>78380</v>
      </c>
      <c r="AA38" s="311">
        <v>3699351.4957744842</v>
      </c>
      <c r="AB38" s="311">
        <v>3569746.6983138612</v>
      </c>
      <c r="AC38" s="311">
        <v>7269098.1940883454</v>
      </c>
    </row>
    <row r="39" spans="1:29" s="34" customFormat="1" ht="26.25" customHeight="1" x14ac:dyDescent="0.35">
      <c r="A39" s="37">
        <v>35</v>
      </c>
      <c r="B39" s="79" t="s">
        <v>44</v>
      </c>
      <c r="C39" s="311">
        <v>4897</v>
      </c>
      <c r="D39" s="311">
        <v>4248</v>
      </c>
      <c r="E39" s="311">
        <v>9145</v>
      </c>
      <c r="F39" s="311"/>
      <c r="G39" s="311"/>
      <c r="H39" s="311"/>
      <c r="I39" s="311">
        <v>50967.42957321521</v>
      </c>
      <c r="J39" s="311">
        <v>66736.726541641779</v>
      </c>
      <c r="K39" s="311">
        <v>117704.15611485699</v>
      </c>
      <c r="L39" s="311">
        <v>234145.33939728915</v>
      </c>
      <c r="M39" s="311">
        <v>241240.44388426642</v>
      </c>
      <c r="N39" s="311">
        <v>475385.78328155557</v>
      </c>
      <c r="O39" s="311">
        <v>397</v>
      </c>
      <c r="P39" s="311">
        <v>375</v>
      </c>
      <c r="Q39" s="311">
        <v>772</v>
      </c>
      <c r="R39" s="311">
        <v>22814</v>
      </c>
      <c r="S39" s="311">
        <v>8572</v>
      </c>
      <c r="T39" s="311">
        <v>31386</v>
      </c>
      <c r="U39" s="311">
        <v>270</v>
      </c>
      <c r="V39" s="311">
        <v>111</v>
      </c>
      <c r="W39" s="311">
        <v>381</v>
      </c>
      <c r="X39" s="311">
        <v>3851</v>
      </c>
      <c r="Y39" s="311">
        <v>2670</v>
      </c>
      <c r="Z39" s="311">
        <v>6521</v>
      </c>
      <c r="AA39" s="311">
        <v>317341.7689705044</v>
      </c>
      <c r="AB39" s="311">
        <v>323953.17042590817</v>
      </c>
      <c r="AC39" s="311">
        <v>641294.93939641258</v>
      </c>
    </row>
    <row r="40" spans="1:29" s="34" customFormat="1" ht="26.25" customHeight="1" x14ac:dyDescent="0.35">
      <c r="A40" s="37">
        <v>36</v>
      </c>
      <c r="B40" s="79" t="s">
        <v>45</v>
      </c>
      <c r="C40" s="311">
        <v>10214</v>
      </c>
      <c r="D40" s="311">
        <v>6765</v>
      </c>
      <c r="E40" s="311">
        <v>16979</v>
      </c>
      <c r="F40" s="311">
        <v>77</v>
      </c>
      <c r="G40" s="311">
        <v>53</v>
      </c>
      <c r="H40" s="311">
        <v>130</v>
      </c>
      <c r="I40" s="311">
        <v>103879.44091226233</v>
      </c>
      <c r="J40" s="311">
        <v>152849.22654369441</v>
      </c>
      <c r="K40" s="311">
        <v>256728.66745595675</v>
      </c>
      <c r="L40" s="311">
        <v>949842.53030699457</v>
      </c>
      <c r="M40" s="311">
        <v>1001242.5120966336</v>
      </c>
      <c r="N40" s="311">
        <v>1951085.0424036281</v>
      </c>
      <c r="O40" s="311">
        <v>2559</v>
      </c>
      <c r="P40" s="311">
        <v>1955</v>
      </c>
      <c r="Q40" s="311">
        <v>4514</v>
      </c>
      <c r="R40" s="311">
        <v>119548</v>
      </c>
      <c r="S40" s="311">
        <v>80489</v>
      </c>
      <c r="T40" s="311">
        <v>200037</v>
      </c>
      <c r="U40" s="311">
        <v>3421</v>
      </c>
      <c r="V40" s="311">
        <v>3518</v>
      </c>
      <c r="W40" s="311">
        <v>6939</v>
      </c>
      <c r="X40" s="311">
        <v>9945</v>
      </c>
      <c r="Y40" s="311">
        <v>7122</v>
      </c>
      <c r="Z40" s="311">
        <v>17067</v>
      </c>
      <c r="AA40" s="311">
        <v>1199485.971219257</v>
      </c>
      <c r="AB40" s="311">
        <v>1253993.7386403279</v>
      </c>
      <c r="AC40" s="311">
        <v>2453479.7098595849</v>
      </c>
    </row>
    <row r="41" spans="1:29" s="38" customFormat="1" ht="26.25" customHeight="1" x14ac:dyDescent="0.35">
      <c r="A41" s="690" t="s">
        <v>46</v>
      </c>
      <c r="B41" s="690"/>
      <c r="C41" s="621">
        <f>SUM(C5:C40)</f>
        <v>172356</v>
      </c>
      <c r="D41" s="621">
        <f t="shared" ref="D41:AC41" si="0">SUM(D5:D40)</f>
        <v>171203</v>
      </c>
      <c r="E41" s="621">
        <f t="shared" si="0"/>
        <v>343559</v>
      </c>
      <c r="F41" s="621">
        <f t="shared" si="0"/>
        <v>668</v>
      </c>
      <c r="G41" s="621">
        <f t="shared" si="0"/>
        <v>1418</v>
      </c>
      <c r="H41" s="621">
        <f t="shared" si="0"/>
        <v>2086</v>
      </c>
      <c r="I41" s="621">
        <f t="shared" si="0"/>
        <v>2532581.6072257962</v>
      </c>
      <c r="J41" s="621">
        <f t="shared" si="0"/>
        <v>3253270.4159643059</v>
      </c>
      <c r="K41" s="621">
        <f t="shared" si="0"/>
        <v>5785852.0231901025</v>
      </c>
      <c r="L41" s="621">
        <f t="shared" si="0"/>
        <v>17458030.011022341</v>
      </c>
      <c r="M41" s="621">
        <f t="shared" si="0"/>
        <v>17124237.520693302</v>
      </c>
      <c r="N41" s="621">
        <f t="shared" si="0"/>
        <v>34582267.531715646</v>
      </c>
      <c r="O41" s="621">
        <f t="shared" si="0"/>
        <v>102257</v>
      </c>
      <c r="P41" s="621">
        <f t="shared" si="0"/>
        <v>91332</v>
      </c>
      <c r="Q41" s="621">
        <f t="shared" si="0"/>
        <v>193589</v>
      </c>
      <c r="R41" s="621">
        <f t="shared" si="0"/>
        <v>1988079</v>
      </c>
      <c r="S41" s="621">
        <f t="shared" si="0"/>
        <v>1327649</v>
      </c>
      <c r="T41" s="621">
        <f t="shared" si="0"/>
        <v>3315728</v>
      </c>
      <c r="U41" s="621">
        <f t="shared" si="0"/>
        <v>97842</v>
      </c>
      <c r="V41" s="621">
        <f t="shared" si="0"/>
        <v>110790</v>
      </c>
      <c r="W41" s="621">
        <f t="shared" si="0"/>
        <v>208632</v>
      </c>
      <c r="X41" s="621">
        <f t="shared" si="0"/>
        <v>296361</v>
      </c>
      <c r="Y41" s="621">
        <f t="shared" si="0"/>
        <v>273048</v>
      </c>
      <c r="Z41" s="621">
        <f t="shared" si="0"/>
        <v>569409</v>
      </c>
      <c r="AA41" s="621">
        <f t="shared" si="0"/>
        <v>22648174.618248139</v>
      </c>
      <c r="AB41" s="621">
        <f t="shared" si="0"/>
        <v>22352947.936657611</v>
      </c>
      <c r="AC41" s="621">
        <f t="shared" si="0"/>
        <v>45001122.554905757</v>
      </c>
    </row>
  </sheetData>
  <mergeCells count="16">
    <mergeCell ref="A41:B41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1:B1"/>
  </mergeCells>
  <pageMargins left="0.51181102362204722" right="0.15748031496062992" top="0.39370078740157483" bottom="0.39370078740157483" header="0.31496062992125984" footer="0.19685039370078741"/>
  <pageSetup paperSize="9" scale="74" firstPageNumber="5" orientation="portrait" r:id="rId1"/>
  <headerFooter>
    <oddFooter>&amp;L&amp;"Arial,Italic"&amp;9AISHE 2023-24&amp;RT-6</oddFooter>
  </headerFooter>
  <colBreaks count="2" manualBreakCount="2">
    <brk id="11" max="40" man="1"/>
    <brk id="20" max="4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C02A-713F-45E6-90AF-300A2F0B0B90}">
  <dimension ref="A1:AC41"/>
  <sheetViews>
    <sheetView view="pageBreakPreview" zoomScaleNormal="100" zoomScaleSheetLayoutView="100" workbookViewId="0">
      <pane xSplit="2" ySplit="3" topLeftCell="L37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9.453125" defaultRowHeight="14" x14ac:dyDescent="0.3"/>
  <cols>
    <col min="1" max="1" width="6.54296875" style="50" bestFit="1" customWidth="1"/>
    <col min="2" max="2" width="32.1796875" style="50" bestFit="1" customWidth="1"/>
    <col min="3" max="5" width="10.7265625" style="50" customWidth="1"/>
    <col min="6" max="8" width="10" style="50" customWidth="1"/>
    <col min="9" max="11" width="11.54296875" style="50" customWidth="1"/>
    <col min="12" max="12" width="12.81640625" style="50" customWidth="1"/>
    <col min="13" max="13" width="12.7265625" style="50" customWidth="1"/>
    <col min="14" max="14" width="12.81640625" style="50" customWidth="1"/>
    <col min="15" max="15" width="8.453125" style="50" bestFit="1" customWidth="1"/>
    <col min="16" max="16" width="9.1796875" style="50" bestFit="1" customWidth="1"/>
    <col min="17" max="17" width="9.81640625" style="50" bestFit="1" customWidth="1"/>
    <col min="18" max="20" width="11" style="50" bestFit="1" customWidth="1"/>
    <col min="21" max="22" width="9" style="50" customWidth="1"/>
    <col min="23" max="26" width="9.81640625" style="50" bestFit="1" customWidth="1"/>
    <col min="27" max="29" width="13.453125" style="50" customWidth="1"/>
    <col min="30" max="16384" width="9.453125" style="50"/>
  </cols>
  <sheetData>
    <row r="1" spans="1:29" s="34" customFormat="1" ht="28.5" customHeight="1" x14ac:dyDescent="0.35">
      <c r="A1" s="291"/>
      <c r="B1" s="636"/>
      <c r="C1" s="697" t="s">
        <v>986</v>
      </c>
      <c r="D1" s="697"/>
      <c r="E1" s="697"/>
      <c r="F1" s="697"/>
      <c r="G1" s="697"/>
      <c r="H1" s="697"/>
      <c r="I1" s="697"/>
      <c r="J1" s="697"/>
      <c r="K1" s="697"/>
      <c r="L1" s="697" t="str">
        <f>C1</f>
        <v>Table 6(a). States/UTs-wise Enrolment through Regular Mode at various levels</v>
      </c>
      <c r="M1" s="697"/>
      <c r="N1" s="697"/>
      <c r="O1" s="697"/>
      <c r="P1" s="697"/>
      <c r="Q1" s="697"/>
      <c r="R1" s="697"/>
      <c r="S1" s="697"/>
      <c r="T1" s="697"/>
      <c r="U1" s="697" t="str">
        <f>C1</f>
        <v>Table 6(a). States/UTs-wise Enrolment through Regular Mode at various levels</v>
      </c>
      <c r="V1" s="697"/>
      <c r="W1" s="697"/>
      <c r="X1" s="697"/>
      <c r="Y1" s="697"/>
      <c r="Z1" s="697"/>
      <c r="AA1" s="697"/>
      <c r="AB1" s="697"/>
      <c r="AC1" s="697"/>
    </row>
    <row r="2" spans="1:29" s="40" customFormat="1" ht="15" x14ac:dyDescent="0.35">
      <c r="A2" s="698" t="s">
        <v>94</v>
      </c>
      <c r="B2" s="700" t="s">
        <v>885</v>
      </c>
      <c r="C2" s="701" t="s">
        <v>95</v>
      </c>
      <c r="D2" s="702"/>
      <c r="E2" s="703"/>
      <c r="F2" s="701" t="s">
        <v>96</v>
      </c>
      <c r="G2" s="702"/>
      <c r="H2" s="703"/>
      <c r="I2" s="701" t="s">
        <v>97</v>
      </c>
      <c r="J2" s="702"/>
      <c r="K2" s="703"/>
      <c r="L2" s="701" t="s">
        <v>98</v>
      </c>
      <c r="M2" s="702"/>
      <c r="N2" s="703"/>
      <c r="O2" s="701" t="s">
        <v>99</v>
      </c>
      <c r="P2" s="702"/>
      <c r="Q2" s="703"/>
      <c r="R2" s="701" t="s">
        <v>100</v>
      </c>
      <c r="S2" s="702"/>
      <c r="T2" s="703"/>
      <c r="U2" s="701" t="s">
        <v>101</v>
      </c>
      <c r="V2" s="702"/>
      <c r="W2" s="703"/>
      <c r="X2" s="701" t="s">
        <v>102</v>
      </c>
      <c r="Y2" s="702"/>
      <c r="Z2" s="703"/>
      <c r="AA2" s="700" t="s">
        <v>12</v>
      </c>
      <c r="AB2" s="700"/>
      <c r="AC2" s="700"/>
    </row>
    <row r="3" spans="1:29" s="42" customFormat="1" ht="15" x14ac:dyDescent="0.35">
      <c r="A3" s="699"/>
      <c r="B3" s="700"/>
      <c r="C3" s="557" t="s">
        <v>103</v>
      </c>
      <c r="D3" s="557" t="s">
        <v>104</v>
      </c>
      <c r="E3" s="557" t="s">
        <v>89</v>
      </c>
      <c r="F3" s="557" t="s">
        <v>103</v>
      </c>
      <c r="G3" s="557" t="s">
        <v>104</v>
      </c>
      <c r="H3" s="557" t="s">
        <v>89</v>
      </c>
      <c r="I3" s="557" t="s">
        <v>103</v>
      </c>
      <c r="J3" s="557" t="s">
        <v>104</v>
      </c>
      <c r="K3" s="557" t="s">
        <v>89</v>
      </c>
      <c r="L3" s="557" t="s">
        <v>103</v>
      </c>
      <c r="M3" s="557" t="s">
        <v>104</v>
      </c>
      <c r="N3" s="557" t="s">
        <v>89</v>
      </c>
      <c r="O3" s="557" t="s">
        <v>103</v>
      </c>
      <c r="P3" s="557" t="s">
        <v>104</v>
      </c>
      <c r="Q3" s="557" t="s">
        <v>89</v>
      </c>
      <c r="R3" s="557" t="s">
        <v>103</v>
      </c>
      <c r="S3" s="557" t="s">
        <v>104</v>
      </c>
      <c r="T3" s="557" t="s">
        <v>89</v>
      </c>
      <c r="U3" s="557" t="s">
        <v>103</v>
      </c>
      <c r="V3" s="557" t="s">
        <v>104</v>
      </c>
      <c r="W3" s="557" t="s">
        <v>89</v>
      </c>
      <c r="X3" s="557" t="s">
        <v>103</v>
      </c>
      <c r="Y3" s="557" t="s">
        <v>104</v>
      </c>
      <c r="Z3" s="557" t="s">
        <v>89</v>
      </c>
      <c r="AA3" s="557" t="s">
        <v>103</v>
      </c>
      <c r="AB3" s="557" t="s">
        <v>104</v>
      </c>
      <c r="AC3" s="557" t="s">
        <v>89</v>
      </c>
    </row>
    <row r="4" spans="1:29" s="43" customFormat="1" ht="11.5" x14ac:dyDescent="0.35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  <c r="S4" s="35">
        <v>19</v>
      </c>
      <c r="T4" s="35">
        <v>20</v>
      </c>
      <c r="U4" s="35">
        <v>21</v>
      </c>
      <c r="V4" s="35">
        <v>22</v>
      </c>
      <c r="W4" s="35">
        <v>23</v>
      </c>
      <c r="X4" s="35">
        <v>24</v>
      </c>
      <c r="Y4" s="35">
        <v>25</v>
      </c>
      <c r="Z4" s="35">
        <v>26</v>
      </c>
      <c r="AA4" s="35">
        <v>27</v>
      </c>
      <c r="AB4" s="35">
        <v>28</v>
      </c>
      <c r="AC4" s="35">
        <v>29</v>
      </c>
    </row>
    <row r="5" spans="1:29" s="42" customFormat="1" ht="29.25" customHeight="1" x14ac:dyDescent="0.35">
      <c r="A5" s="37">
        <v>1</v>
      </c>
      <c r="B5" s="44" t="s">
        <v>56</v>
      </c>
      <c r="C5" s="45"/>
      <c r="D5" s="45"/>
      <c r="E5" s="45"/>
      <c r="F5" s="45"/>
      <c r="G5" s="45"/>
      <c r="H5" s="45"/>
      <c r="I5" s="45"/>
      <c r="J5" s="45"/>
      <c r="K5" s="45"/>
      <c r="L5" s="45">
        <v>964</v>
      </c>
      <c r="M5" s="45">
        <v>980</v>
      </c>
      <c r="N5" s="45">
        <v>1944</v>
      </c>
      <c r="O5" s="45">
        <v>1</v>
      </c>
      <c r="P5" s="45"/>
      <c r="Q5" s="45">
        <v>1</v>
      </c>
      <c r="R5" s="45">
        <v>349</v>
      </c>
      <c r="S5" s="45">
        <v>275</v>
      </c>
      <c r="T5" s="45">
        <v>624</v>
      </c>
      <c r="U5" s="45"/>
      <c r="V5" s="45"/>
      <c r="W5" s="45"/>
      <c r="X5" s="45">
        <v>48</v>
      </c>
      <c r="Y5" s="45">
        <v>131</v>
      </c>
      <c r="Z5" s="45">
        <v>179</v>
      </c>
      <c r="AA5" s="45">
        <v>1362</v>
      </c>
      <c r="AB5" s="45">
        <v>1386</v>
      </c>
      <c r="AC5" s="45">
        <v>2748</v>
      </c>
    </row>
    <row r="6" spans="1:29" s="42" customFormat="1" ht="29.25" customHeight="1" x14ac:dyDescent="0.35">
      <c r="A6" s="37">
        <v>2</v>
      </c>
      <c r="B6" s="46" t="s">
        <v>13</v>
      </c>
      <c r="C6" s="45">
        <v>4490</v>
      </c>
      <c r="D6" s="45">
        <v>3837</v>
      </c>
      <c r="E6" s="45">
        <v>8327</v>
      </c>
      <c r="F6" s="45"/>
      <c r="G6" s="45"/>
      <c r="H6" s="45"/>
      <c r="I6" s="45">
        <v>77620</v>
      </c>
      <c r="J6" s="45">
        <v>80875</v>
      </c>
      <c r="K6" s="45">
        <v>158495</v>
      </c>
      <c r="L6" s="45">
        <v>634680</v>
      </c>
      <c r="M6" s="45">
        <v>630415</v>
      </c>
      <c r="N6" s="45">
        <v>1265094</v>
      </c>
      <c r="O6" s="45">
        <v>377</v>
      </c>
      <c r="P6" s="45">
        <v>288</v>
      </c>
      <c r="Q6" s="45">
        <v>665</v>
      </c>
      <c r="R6" s="45">
        <v>83372</v>
      </c>
      <c r="S6" s="45">
        <v>60789</v>
      </c>
      <c r="T6" s="45">
        <v>144161</v>
      </c>
      <c r="U6" s="45">
        <v>275</v>
      </c>
      <c r="V6" s="45">
        <v>127</v>
      </c>
      <c r="W6" s="45">
        <v>402</v>
      </c>
      <c r="X6" s="45">
        <v>7512</v>
      </c>
      <c r="Y6" s="45">
        <v>4531</v>
      </c>
      <c r="Z6" s="45">
        <v>12043</v>
      </c>
      <c r="AA6" s="45">
        <v>808326</v>
      </c>
      <c r="AB6" s="45">
        <v>780862</v>
      </c>
      <c r="AC6" s="45">
        <v>1589188</v>
      </c>
    </row>
    <row r="7" spans="1:29" s="42" customFormat="1" ht="29.25" customHeight="1" x14ac:dyDescent="0.35">
      <c r="A7" s="37">
        <v>3</v>
      </c>
      <c r="B7" s="46" t="s">
        <v>14</v>
      </c>
      <c r="C7" s="45">
        <v>750</v>
      </c>
      <c r="D7" s="45">
        <v>607</v>
      </c>
      <c r="E7" s="45">
        <v>1357</v>
      </c>
      <c r="F7" s="45"/>
      <c r="G7" s="45"/>
      <c r="H7" s="45"/>
      <c r="I7" s="45">
        <v>3591</v>
      </c>
      <c r="J7" s="45">
        <v>2933</v>
      </c>
      <c r="K7" s="45">
        <v>6524</v>
      </c>
      <c r="L7" s="45">
        <v>20303</v>
      </c>
      <c r="M7" s="45">
        <v>17561</v>
      </c>
      <c r="N7" s="45">
        <v>37864</v>
      </c>
      <c r="O7" s="45">
        <v>97</v>
      </c>
      <c r="P7" s="45">
        <v>72</v>
      </c>
      <c r="Q7" s="45">
        <v>169</v>
      </c>
      <c r="R7" s="45">
        <v>1134</v>
      </c>
      <c r="S7" s="45">
        <v>1310</v>
      </c>
      <c r="T7" s="45">
        <v>2444</v>
      </c>
      <c r="U7" s="45">
        <v>332</v>
      </c>
      <c r="V7" s="45">
        <v>186</v>
      </c>
      <c r="W7" s="45">
        <v>518</v>
      </c>
      <c r="X7" s="45">
        <v>1086</v>
      </c>
      <c r="Y7" s="45">
        <v>735</v>
      </c>
      <c r="Z7" s="45">
        <v>1821</v>
      </c>
      <c r="AA7" s="45">
        <v>27293</v>
      </c>
      <c r="AB7" s="45">
        <v>23404</v>
      </c>
      <c r="AC7" s="45">
        <v>50697</v>
      </c>
    </row>
    <row r="8" spans="1:29" s="42" customFormat="1" ht="29.25" customHeight="1" x14ac:dyDescent="0.35">
      <c r="A8" s="37">
        <v>4</v>
      </c>
      <c r="B8" s="46" t="s">
        <v>15</v>
      </c>
      <c r="C8" s="45">
        <v>5818</v>
      </c>
      <c r="D8" s="45">
        <v>5510</v>
      </c>
      <c r="E8" s="45">
        <v>11328</v>
      </c>
      <c r="F8" s="45">
        <v>9</v>
      </c>
      <c r="G8" s="45">
        <v>49</v>
      </c>
      <c r="H8" s="45">
        <v>58</v>
      </c>
      <c r="I8" s="45">
        <v>15280</v>
      </c>
      <c r="J8" s="45">
        <v>23937</v>
      </c>
      <c r="K8" s="45">
        <v>39217</v>
      </c>
      <c r="L8" s="45">
        <v>266441</v>
      </c>
      <c r="M8" s="45">
        <v>298615</v>
      </c>
      <c r="N8" s="45">
        <v>565056</v>
      </c>
      <c r="O8" s="45">
        <v>289</v>
      </c>
      <c r="P8" s="45">
        <v>351</v>
      </c>
      <c r="Q8" s="45">
        <v>640</v>
      </c>
      <c r="R8" s="45">
        <v>17216</v>
      </c>
      <c r="S8" s="45">
        <v>20847</v>
      </c>
      <c r="T8" s="45">
        <v>38063</v>
      </c>
      <c r="U8" s="45">
        <v>10409</v>
      </c>
      <c r="V8" s="45">
        <v>14493</v>
      </c>
      <c r="W8" s="45">
        <v>24902</v>
      </c>
      <c r="X8" s="45">
        <v>3155</v>
      </c>
      <c r="Y8" s="45">
        <v>4231</v>
      </c>
      <c r="Z8" s="45">
        <v>7386</v>
      </c>
      <c r="AA8" s="45">
        <v>318617</v>
      </c>
      <c r="AB8" s="45">
        <v>368033</v>
      </c>
      <c r="AC8" s="45">
        <v>686650</v>
      </c>
    </row>
    <row r="9" spans="1:29" s="42" customFormat="1" ht="29.25" customHeight="1" x14ac:dyDescent="0.35">
      <c r="A9" s="37">
        <v>5</v>
      </c>
      <c r="B9" s="46" t="s">
        <v>16</v>
      </c>
      <c r="C9" s="45">
        <v>3287</v>
      </c>
      <c r="D9" s="45">
        <v>2407</v>
      </c>
      <c r="E9" s="45">
        <v>5694</v>
      </c>
      <c r="F9" s="45">
        <v>4</v>
      </c>
      <c r="G9" s="45">
        <v>4</v>
      </c>
      <c r="H9" s="45">
        <v>8</v>
      </c>
      <c r="I9" s="45">
        <v>62489</v>
      </c>
      <c r="J9" s="45">
        <v>74984</v>
      </c>
      <c r="K9" s="45">
        <v>137474</v>
      </c>
      <c r="L9" s="45">
        <v>1121333</v>
      </c>
      <c r="M9" s="45">
        <v>1172725</v>
      </c>
      <c r="N9" s="45">
        <v>2294057</v>
      </c>
      <c r="O9" s="45">
        <v>883</v>
      </c>
      <c r="P9" s="45">
        <v>609</v>
      </c>
      <c r="Q9" s="45">
        <v>1492</v>
      </c>
      <c r="R9" s="45">
        <v>74749</v>
      </c>
      <c r="S9" s="45">
        <v>64504</v>
      </c>
      <c r="T9" s="45">
        <v>139253</v>
      </c>
      <c r="U9" s="45">
        <v>5998</v>
      </c>
      <c r="V9" s="45">
        <v>3965</v>
      </c>
      <c r="W9" s="45">
        <v>9963</v>
      </c>
      <c r="X9" s="45">
        <v>2624</v>
      </c>
      <c r="Y9" s="45">
        <v>1947</v>
      </c>
      <c r="Z9" s="45">
        <v>4571</v>
      </c>
      <c r="AA9" s="45">
        <v>1271367</v>
      </c>
      <c r="AB9" s="45">
        <v>1321145</v>
      </c>
      <c r="AC9" s="45">
        <v>2592512</v>
      </c>
    </row>
    <row r="10" spans="1:29" s="42" customFormat="1" ht="29.25" customHeight="1" x14ac:dyDescent="0.35">
      <c r="A10" s="37">
        <v>6</v>
      </c>
      <c r="B10" s="46" t="s">
        <v>17</v>
      </c>
      <c r="C10" s="45">
        <v>1320</v>
      </c>
      <c r="D10" s="45">
        <v>2032</v>
      </c>
      <c r="E10" s="45">
        <v>3352</v>
      </c>
      <c r="F10" s="45"/>
      <c r="G10" s="45"/>
      <c r="H10" s="45"/>
      <c r="I10" s="45">
        <v>4450</v>
      </c>
      <c r="J10" s="45">
        <v>7116</v>
      </c>
      <c r="K10" s="45">
        <v>11566</v>
      </c>
      <c r="L10" s="45">
        <v>25154</v>
      </c>
      <c r="M10" s="45">
        <v>27302</v>
      </c>
      <c r="N10" s="45">
        <v>52456</v>
      </c>
      <c r="O10" s="45">
        <v>388</v>
      </c>
      <c r="P10" s="45">
        <v>407</v>
      </c>
      <c r="Q10" s="45">
        <v>795</v>
      </c>
      <c r="R10" s="45">
        <v>1707</v>
      </c>
      <c r="S10" s="45">
        <v>1321</v>
      </c>
      <c r="T10" s="45">
        <v>3028</v>
      </c>
      <c r="U10" s="45">
        <v>386</v>
      </c>
      <c r="V10" s="45">
        <v>211</v>
      </c>
      <c r="W10" s="45">
        <v>597</v>
      </c>
      <c r="X10" s="45">
        <v>878</v>
      </c>
      <c r="Y10" s="45">
        <v>1333</v>
      </c>
      <c r="Z10" s="45">
        <v>2211</v>
      </c>
      <c r="AA10" s="45">
        <v>34283</v>
      </c>
      <c r="AB10" s="45">
        <v>39722</v>
      </c>
      <c r="AC10" s="45">
        <v>74005</v>
      </c>
    </row>
    <row r="11" spans="1:29" s="42" customFormat="1" ht="29.25" customHeight="1" x14ac:dyDescent="0.35">
      <c r="A11" s="37">
        <v>7</v>
      </c>
      <c r="B11" s="46" t="s">
        <v>18</v>
      </c>
      <c r="C11" s="47">
        <v>2349</v>
      </c>
      <c r="D11" s="45">
        <v>2159</v>
      </c>
      <c r="E11" s="45">
        <v>4508</v>
      </c>
      <c r="F11" s="45">
        <v>12</v>
      </c>
      <c r="G11" s="45">
        <v>25</v>
      </c>
      <c r="H11" s="45">
        <v>37</v>
      </c>
      <c r="I11" s="45">
        <v>30554</v>
      </c>
      <c r="J11" s="45">
        <v>49844</v>
      </c>
      <c r="K11" s="45">
        <v>80398</v>
      </c>
      <c r="L11" s="45">
        <v>185651</v>
      </c>
      <c r="M11" s="45">
        <v>260923</v>
      </c>
      <c r="N11" s="45">
        <v>446573</v>
      </c>
      <c r="O11" s="45">
        <v>6343</v>
      </c>
      <c r="P11" s="45">
        <v>7751</v>
      </c>
      <c r="Q11" s="45">
        <v>14094</v>
      </c>
      <c r="R11" s="45">
        <v>22788</v>
      </c>
      <c r="S11" s="45">
        <v>17747</v>
      </c>
      <c r="T11" s="45">
        <v>40535</v>
      </c>
      <c r="U11" s="45">
        <v>408</v>
      </c>
      <c r="V11" s="45">
        <v>437</v>
      </c>
      <c r="W11" s="45">
        <v>845</v>
      </c>
      <c r="X11" s="45">
        <v>3169</v>
      </c>
      <c r="Y11" s="45">
        <v>2983</v>
      </c>
      <c r="Z11" s="45">
        <v>6152</v>
      </c>
      <c r="AA11" s="45">
        <v>251273</v>
      </c>
      <c r="AB11" s="45">
        <v>341869</v>
      </c>
      <c r="AC11" s="45">
        <v>593142</v>
      </c>
    </row>
    <row r="12" spans="1:29" s="42" customFormat="1" ht="29.25" customHeight="1" x14ac:dyDescent="0.35">
      <c r="A12" s="37">
        <v>8</v>
      </c>
      <c r="B12" s="46" t="s">
        <v>19</v>
      </c>
      <c r="C12" s="45">
        <v>9882</v>
      </c>
      <c r="D12" s="45">
        <v>8752</v>
      </c>
      <c r="E12" s="45">
        <v>18634</v>
      </c>
      <c r="F12" s="45">
        <v>27</v>
      </c>
      <c r="G12" s="45">
        <v>72</v>
      </c>
      <c r="H12" s="45">
        <v>99</v>
      </c>
      <c r="I12" s="45">
        <v>25249</v>
      </c>
      <c r="J12" s="45">
        <v>24106</v>
      </c>
      <c r="K12" s="45">
        <v>49355</v>
      </c>
      <c r="L12" s="45">
        <v>188028</v>
      </c>
      <c r="M12" s="45">
        <v>200350</v>
      </c>
      <c r="N12" s="45">
        <v>388378</v>
      </c>
      <c r="O12" s="45">
        <v>4437</v>
      </c>
      <c r="P12" s="45">
        <v>3140</v>
      </c>
      <c r="Q12" s="45">
        <v>7577</v>
      </c>
      <c r="R12" s="45">
        <v>15411</v>
      </c>
      <c r="S12" s="45">
        <v>11921</v>
      </c>
      <c r="T12" s="45">
        <v>27332</v>
      </c>
      <c r="U12" s="45">
        <v>1065</v>
      </c>
      <c r="V12" s="45">
        <v>1065</v>
      </c>
      <c r="W12" s="45">
        <v>2130</v>
      </c>
      <c r="X12" s="45">
        <v>5313</v>
      </c>
      <c r="Y12" s="45">
        <v>4465</v>
      </c>
      <c r="Z12" s="45">
        <v>9778</v>
      </c>
      <c r="AA12" s="45">
        <v>249412</v>
      </c>
      <c r="AB12" s="45">
        <v>253871</v>
      </c>
      <c r="AC12" s="45">
        <v>503283</v>
      </c>
    </row>
    <row r="13" spans="1:29" s="42" customFormat="1" ht="29.25" customHeight="1" x14ac:dyDescent="0.35">
      <c r="A13" s="37">
        <v>9</v>
      </c>
      <c r="B13" s="46" t="s">
        <v>20</v>
      </c>
      <c r="C13" s="45">
        <v>851</v>
      </c>
      <c r="D13" s="45">
        <v>965</v>
      </c>
      <c r="E13" s="45">
        <v>1816</v>
      </c>
      <c r="F13" s="45">
        <v>4</v>
      </c>
      <c r="G13" s="45">
        <v>11</v>
      </c>
      <c r="H13" s="45">
        <v>15</v>
      </c>
      <c r="I13" s="45">
        <v>2774</v>
      </c>
      <c r="J13" s="45">
        <v>3967</v>
      </c>
      <c r="K13" s="45">
        <v>6741</v>
      </c>
      <c r="L13" s="45">
        <v>20650</v>
      </c>
      <c r="M13" s="45">
        <v>21830</v>
      </c>
      <c r="N13" s="45">
        <v>42480</v>
      </c>
      <c r="O13" s="45">
        <v>42</v>
      </c>
      <c r="P13" s="45">
        <v>59</v>
      </c>
      <c r="Q13" s="45">
        <v>101</v>
      </c>
      <c r="R13" s="45">
        <v>3354</v>
      </c>
      <c r="S13" s="45">
        <v>1369</v>
      </c>
      <c r="T13" s="45">
        <v>4723</v>
      </c>
      <c r="U13" s="45">
        <v>241</v>
      </c>
      <c r="V13" s="45">
        <v>11</v>
      </c>
      <c r="W13" s="45">
        <v>252</v>
      </c>
      <c r="X13" s="45">
        <v>1698</v>
      </c>
      <c r="Y13" s="45">
        <v>1389</v>
      </c>
      <c r="Z13" s="45">
        <v>3087</v>
      </c>
      <c r="AA13" s="45">
        <v>29614</v>
      </c>
      <c r="AB13" s="45">
        <v>29601</v>
      </c>
      <c r="AC13" s="45">
        <v>59215</v>
      </c>
    </row>
    <row r="14" spans="1:29" s="42" customFormat="1" ht="29.25" customHeight="1" x14ac:dyDescent="0.35">
      <c r="A14" s="37">
        <v>10</v>
      </c>
      <c r="B14" s="46" t="s">
        <v>21</v>
      </c>
      <c r="C14" s="45">
        <v>9232</v>
      </c>
      <c r="D14" s="45">
        <v>7824</v>
      </c>
      <c r="E14" s="45">
        <v>17056</v>
      </c>
      <c r="F14" s="45"/>
      <c r="G14" s="45">
        <v>27</v>
      </c>
      <c r="H14" s="45">
        <v>27</v>
      </c>
      <c r="I14" s="45">
        <v>99237</v>
      </c>
      <c r="J14" s="45">
        <v>114181</v>
      </c>
      <c r="K14" s="45">
        <v>213418</v>
      </c>
      <c r="L14" s="45">
        <v>729877</v>
      </c>
      <c r="M14" s="45">
        <v>598666</v>
      </c>
      <c r="N14" s="45">
        <v>1328543</v>
      </c>
      <c r="O14" s="45">
        <v>4263</v>
      </c>
      <c r="P14" s="45">
        <v>3834</v>
      </c>
      <c r="Q14" s="45">
        <v>8097</v>
      </c>
      <c r="R14" s="45">
        <v>112158</v>
      </c>
      <c r="S14" s="45">
        <v>71070</v>
      </c>
      <c r="T14" s="45">
        <v>183228</v>
      </c>
      <c r="U14" s="45">
        <v>3849</v>
      </c>
      <c r="V14" s="45">
        <v>3505</v>
      </c>
      <c r="W14" s="45">
        <v>7354</v>
      </c>
      <c r="X14" s="45">
        <v>17646</v>
      </c>
      <c r="Y14" s="45">
        <v>13504</v>
      </c>
      <c r="Z14" s="45">
        <v>31150</v>
      </c>
      <c r="AA14" s="45">
        <v>976262</v>
      </c>
      <c r="AB14" s="45">
        <v>812611</v>
      </c>
      <c r="AC14" s="45">
        <v>1788873</v>
      </c>
    </row>
    <row r="15" spans="1:29" s="42" customFormat="1" ht="29.25" customHeight="1" x14ac:dyDescent="0.35">
      <c r="A15" s="37">
        <v>11</v>
      </c>
      <c r="B15" s="46" t="s">
        <v>22</v>
      </c>
      <c r="C15" s="45">
        <v>5118</v>
      </c>
      <c r="D15" s="45">
        <v>8076</v>
      </c>
      <c r="E15" s="45">
        <v>13194</v>
      </c>
      <c r="F15" s="45">
        <v>27</v>
      </c>
      <c r="G15" s="45">
        <v>49</v>
      </c>
      <c r="H15" s="45">
        <v>76</v>
      </c>
      <c r="I15" s="45">
        <v>37804</v>
      </c>
      <c r="J15" s="45">
        <v>65972</v>
      </c>
      <c r="K15" s="45">
        <v>103776</v>
      </c>
      <c r="L15" s="45">
        <v>350850</v>
      </c>
      <c r="M15" s="45">
        <v>390371</v>
      </c>
      <c r="N15" s="45">
        <v>741221</v>
      </c>
      <c r="O15" s="45">
        <v>1613</v>
      </c>
      <c r="P15" s="45">
        <v>1669</v>
      </c>
      <c r="Q15" s="45">
        <v>3282</v>
      </c>
      <c r="R15" s="45">
        <v>64711</v>
      </c>
      <c r="S15" s="45">
        <v>32206</v>
      </c>
      <c r="T15" s="45">
        <v>96917</v>
      </c>
      <c r="U15" s="45">
        <v>874</v>
      </c>
      <c r="V15" s="45">
        <v>1211</v>
      </c>
      <c r="W15" s="45">
        <v>2085</v>
      </c>
      <c r="X15" s="45">
        <v>13403</v>
      </c>
      <c r="Y15" s="45">
        <v>13332</v>
      </c>
      <c r="Z15" s="45">
        <v>26735</v>
      </c>
      <c r="AA15" s="45">
        <v>474400</v>
      </c>
      <c r="AB15" s="45">
        <v>512886</v>
      </c>
      <c r="AC15" s="45">
        <v>987286</v>
      </c>
    </row>
    <row r="16" spans="1:29" s="42" customFormat="1" ht="29.25" customHeight="1" x14ac:dyDescent="0.35">
      <c r="A16" s="37">
        <v>12</v>
      </c>
      <c r="B16" s="46" t="s">
        <v>23</v>
      </c>
      <c r="C16" s="45">
        <v>1252</v>
      </c>
      <c r="D16" s="45">
        <v>1198</v>
      </c>
      <c r="E16" s="45">
        <v>2450</v>
      </c>
      <c r="F16" s="45">
        <v>11</v>
      </c>
      <c r="G16" s="45">
        <v>1</v>
      </c>
      <c r="H16" s="45">
        <v>12</v>
      </c>
      <c r="I16" s="45">
        <v>11184</v>
      </c>
      <c r="J16" s="45">
        <v>15836</v>
      </c>
      <c r="K16" s="45">
        <v>27020</v>
      </c>
      <c r="L16" s="45">
        <v>96791</v>
      </c>
      <c r="M16" s="45">
        <v>124007</v>
      </c>
      <c r="N16" s="45">
        <v>220798</v>
      </c>
      <c r="O16" s="45">
        <v>452</v>
      </c>
      <c r="P16" s="45">
        <v>687</v>
      </c>
      <c r="Q16" s="45">
        <v>1139</v>
      </c>
      <c r="R16" s="45">
        <v>9201</v>
      </c>
      <c r="S16" s="45">
        <v>8042</v>
      </c>
      <c r="T16" s="45">
        <v>17243</v>
      </c>
      <c r="U16" s="45">
        <v>183</v>
      </c>
      <c r="V16" s="45">
        <v>121</v>
      </c>
      <c r="W16" s="45">
        <v>304</v>
      </c>
      <c r="X16" s="45">
        <v>1333</v>
      </c>
      <c r="Y16" s="45">
        <v>1285</v>
      </c>
      <c r="Z16" s="45">
        <v>2618</v>
      </c>
      <c r="AA16" s="45">
        <v>120407</v>
      </c>
      <c r="AB16" s="45">
        <v>151177</v>
      </c>
      <c r="AC16" s="45">
        <v>271584</v>
      </c>
    </row>
    <row r="17" spans="1:29" s="42" customFormat="1" ht="29.25" customHeight="1" x14ac:dyDescent="0.35">
      <c r="A17" s="37">
        <v>13</v>
      </c>
      <c r="B17" s="46" t="s">
        <v>24</v>
      </c>
      <c r="C17" s="45">
        <v>2461</v>
      </c>
      <c r="D17" s="45">
        <v>2799</v>
      </c>
      <c r="E17" s="45">
        <v>5260</v>
      </c>
      <c r="F17" s="45"/>
      <c r="G17" s="45"/>
      <c r="H17" s="45"/>
      <c r="I17" s="45">
        <v>8793</v>
      </c>
      <c r="J17" s="45">
        <v>11406</v>
      </c>
      <c r="K17" s="45">
        <v>20199</v>
      </c>
      <c r="L17" s="45">
        <v>88869</v>
      </c>
      <c r="M17" s="45">
        <v>101489</v>
      </c>
      <c r="N17" s="45">
        <v>190358</v>
      </c>
      <c r="O17" s="45">
        <v>160</v>
      </c>
      <c r="P17" s="45">
        <v>138</v>
      </c>
      <c r="Q17" s="45">
        <v>298</v>
      </c>
      <c r="R17" s="45">
        <v>10115</v>
      </c>
      <c r="S17" s="45">
        <v>10380</v>
      </c>
      <c r="T17" s="45">
        <v>20495</v>
      </c>
      <c r="U17" s="45">
        <v>174</v>
      </c>
      <c r="V17" s="45">
        <v>260</v>
      </c>
      <c r="W17" s="45">
        <v>434</v>
      </c>
      <c r="X17" s="45">
        <v>4867</v>
      </c>
      <c r="Y17" s="45">
        <v>5947</v>
      </c>
      <c r="Z17" s="45">
        <v>10814</v>
      </c>
      <c r="AA17" s="45">
        <v>115439</v>
      </c>
      <c r="AB17" s="45">
        <v>132419</v>
      </c>
      <c r="AC17" s="45">
        <v>247858</v>
      </c>
    </row>
    <row r="18" spans="1:29" s="42" customFormat="1" ht="29.25" customHeight="1" x14ac:dyDescent="0.35">
      <c r="A18" s="37">
        <v>14</v>
      </c>
      <c r="B18" s="46" t="s">
        <v>25</v>
      </c>
      <c r="C18" s="45">
        <v>2807</v>
      </c>
      <c r="D18" s="45">
        <v>1913</v>
      </c>
      <c r="E18" s="45">
        <v>4720</v>
      </c>
      <c r="F18" s="45">
        <v>21</v>
      </c>
      <c r="G18" s="45">
        <v>70</v>
      </c>
      <c r="H18" s="45">
        <v>91</v>
      </c>
      <c r="I18" s="45">
        <v>35018</v>
      </c>
      <c r="J18" s="45">
        <v>51262</v>
      </c>
      <c r="K18" s="45">
        <v>86280</v>
      </c>
      <c r="L18" s="45">
        <v>335562</v>
      </c>
      <c r="M18" s="45">
        <v>361467</v>
      </c>
      <c r="N18" s="45">
        <v>697029</v>
      </c>
      <c r="O18" s="45">
        <v>1490</v>
      </c>
      <c r="P18" s="45">
        <v>979</v>
      </c>
      <c r="Q18" s="45">
        <v>2469</v>
      </c>
      <c r="R18" s="45">
        <v>45679</v>
      </c>
      <c r="S18" s="45">
        <v>29693</v>
      </c>
      <c r="T18" s="45">
        <v>75372</v>
      </c>
      <c r="U18" s="45">
        <v>1940</v>
      </c>
      <c r="V18" s="45">
        <v>963</v>
      </c>
      <c r="W18" s="45">
        <v>2903</v>
      </c>
      <c r="X18" s="45">
        <v>3332</v>
      </c>
      <c r="Y18" s="45">
        <v>2365</v>
      </c>
      <c r="Z18" s="45">
        <v>5697</v>
      </c>
      <c r="AA18" s="45">
        <v>425849</v>
      </c>
      <c r="AB18" s="45">
        <v>448712</v>
      </c>
      <c r="AC18" s="45">
        <v>874561</v>
      </c>
    </row>
    <row r="19" spans="1:29" s="42" customFormat="1" ht="29.25" customHeight="1" x14ac:dyDescent="0.35">
      <c r="A19" s="37">
        <v>15</v>
      </c>
      <c r="B19" s="46" t="s">
        <v>26</v>
      </c>
      <c r="C19" s="45">
        <v>9200</v>
      </c>
      <c r="D19" s="45">
        <v>9101</v>
      </c>
      <c r="E19" s="45">
        <v>18301</v>
      </c>
      <c r="F19" s="45">
        <v>38</v>
      </c>
      <c r="G19" s="45">
        <v>179</v>
      </c>
      <c r="H19" s="45">
        <v>217</v>
      </c>
      <c r="I19" s="45">
        <v>117506</v>
      </c>
      <c r="J19" s="45">
        <v>141485</v>
      </c>
      <c r="K19" s="45">
        <v>258991</v>
      </c>
      <c r="L19" s="45">
        <v>1020546</v>
      </c>
      <c r="M19" s="45">
        <v>1019782</v>
      </c>
      <c r="N19" s="45">
        <v>2040327</v>
      </c>
      <c r="O19" s="45">
        <v>2543</v>
      </c>
      <c r="P19" s="45">
        <v>1988</v>
      </c>
      <c r="Q19" s="45">
        <v>4531</v>
      </c>
      <c r="R19" s="45">
        <v>156400</v>
      </c>
      <c r="S19" s="45">
        <v>102235</v>
      </c>
      <c r="T19" s="45">
        <v>258635</v>
      </c>
      <c r="U19" s="45">
        <v>1267</v>
      </c>
      <c r="V19" s="45">
        <v>1039</v>
      </c>
      <c r="W19" s="45">
        <v>2306</v>
      </c>
      <c r="X19" s="45">
        <v>10212</v>
      </c>
      <c r="Y19" s="45">
        <v>9886</v>
      </c>
      <c r="Z19" s="45">
        <v>20098</v>
      </c>
      <c r="AA19" s="45">
        <v>1317711</v>
      </c>
      <c r="AB19" s="45">
        <v>1285695</v>
      </c>
      <c r="AC19" s="45">
        <v>2603406</v>
      </c>
    </row>
    <row r="20" spans="1:29" s="42" customFormat="1" ht="29.25" customHeight="1" x14ac:dyDescent="0.35">
      <c r="A20" s="37">
        <v>16</v>
      </c>
      <c r="B20" s="46" t="s">
        <v>27</v>
      </c>
      <c r="C20" s="45">
        <v>4252</v>
      </c>
      <c r="D20" s="45">
        <v>8354</v>
      </c>
      <c r="E20" s="45">
        <v>12606</v>
      </c>
      <c r="F20" s="45">
        <v>8</v>
      </c>
      <c r="G20" s="45">
        <v>42</v>
      </c>
      <c r="H20" s="45">
        <v>50</v>
      </c>
      <c r="I20" s="45">
        <v>28324</v>
      </c>
      <c r="J20" s="45">
        <v>78949</v>
      </c>
      <c r="K20" s="45">
        <v>107272</v>
      </c>
      <c r="L20" s="45">
        <v>337782</v>
      </c>
      <c r="M20" s="45">
        <v>448830</v>
      </c>
      <c r="N20" s="45">
        <v>786612</v>
      </c>
      <c r="O20" s="45">
        <v>576</v>
      </c>
      <c r="P20" s="45">
        <v>1260</v>
      </c>
      <c r="Q20" s="45">
        <v>1836</v>
      </c>
      <c r="R20" s="45">
        <v>55698</v>
      </c>
      <c r="S20" s="45">
        <v>39731</v>
      </c>
      <c r="T20" s="45">
        <v>95429</v>
      </c>
      <c r="U20" s="45">
        <v>1338</v>
      </c>
      <c r="V20" s="45">
        <v>1028</v>
      </c>
      <c r="W20" s="45">
        <v>2366</v>
      </c>
      <c r="X20" s="45">
        <v>6471</v>
      </c>
      <c r="Y20" s="45">
        <v>9755</v>
      </c>
      <c r="Z20" s="45">
        <v>16226</v>
      </c>
      <c r="AA20" s="45">
        <v>434448</v>
      </c>
      <c r="AB20" s="45">
        <v>587949</v>
      </c>
      <c r="AC20" s="45">
        <v>1022397</v>
      </c>
    </row>
    <row r="21" spans="1:29" s="42" customFormat="1" ht="29.25" customHeight="1" x14ac:dyDescent="0.35">
      <c r="A21" s="37">
        <v>17</v>
      </c>
      <c r="B21" s="46" t="s">
        <v>28</v>
      </c>
      <c r="C21" s="45"/>
      <c r="D21" s="45"/>
      <c r="E21" s="45"/>
      <c r="F21" s="45"/>
      <c r="G21" s="45"/>
      <c r="H21" s="45"/>
      <c r="I21" s="45">
        <v>149</v>
      </c>
      <c r="J21" s="45">
        <v>271</v>
      </c>
      <c r="K21" s="45">
        <v>420</v>
      </c>
      <c r="L21" s="45">
        <v>1194</v>
      </c>
      <c r="M21" s="45">
        <v>2163</v>
      </c>
      <c r="N21" s="45">
        <v>3357</v>
      </c>
      <c r="O21" s="45"/>
      <c r="P21" s="45"/>
      <c r="Q21" s="45"/>
      <c r="R21" s="45">
        <v>274</v>
      </c>
      <c r="S21" s="45">
        <v>521</v>
      </c>
      <c r="T21" s="45">
        <v>795</v>
      </c>
      <c r="U21" s="45">
        <v>111</v>
      </c>
      <c r="V21" s="45">
        <v>82</v>
      </c>
      <c r="W21" s="45">
        <v>193</v>
      </c>
      <c r="X21" s="45"/>
      <c r="Y21" s="45"/>
      <c r="Z21" s="45"/>
      <c r="AA21" s="45">
        <v>1728</v>
      </c>
      <c r="AB21" s="45">
        <v>3037</v>
      </c>
      <c r="AC21" s="45">
        <v>4765</v>
      </c>
    </row>
    <row r="22" spans="1:29" s="42" customFormat="1" ht="29.25" customHeight="1" x14ac:dyDescent="0.35">
      <c r="A22" s="37">
        <v>18</v>
      </c>
      <c r="B22" s="46" t="s">
        <v>82</v>
      </c>
      <c r="C22" s="45"/>
      <c r="D22" s="45"/>
      <c r="E22" s="45"/>
      <c r="F22" s="45"/>
      <c r="G22" s="45"/>
      <c r="H22" s="45"/>
      <c r="I22" s="45"/>
      <c r="J22" s="45"/>
      <c r="K22" s="45"/>
      <c r="L22" s="45">
        <v>122</v>
      </c>
      <c r="M22" s="45">
        <v>371</v>
      </c>
      <c r="N22" s="45">
        <v>493</v>
      </c>
      <c r="O22" s="45"/>
      <c r="P22" s="45"/>
      <c r="Q22" s="45"/>
      <c r="R22" s="45">
        <v>77</v>
      </c>
      <c r="S22" s="45">
        <v>22</v>
      </c>
      <c r="T22" s="45">
        <v>99</v>
      </c>
      <c r="U22" s="45"/>
      <c r="V22" s="45"/>
      <c r="W22" s="45"/>
      <c r="X22" s="45"/>
      <c r="Y22" s="45"/>
      <c r="Z22" s="45"/>
      <c r="AA22" s="45">
        <v>199</v>
      </c>
      <c r="AB22" s="45">
        <v>393</v>
      </c>
      <c r="AC22" s="45">
        <v>592</v>
      </c>
    </row>
    <row r="23" spans="1:29" s="42" customFormat="1" ht="29.25" customHeight="1" x14ac:dyDescent="0.35">
      <c r="A23" s="37">
        <v>19</v>
      </c>
      <c r="B23" s="46" t="s">
        <v>29</v>
      </c>
      <c r="C23" s="45">
        <v>6275</v>
      </c>
      <c r="D23" s="45">
        <v>5151</v>
      </c>
      <c r="E23" s="45">
        <v>11426</v>
      </c>
      <c r="F23" s="45">
        <v>2</v>
      </c>
      <c r="G23" s="45">
        <v>24</v>
      </c>
      <c r="H23" s="45">
        <v>26</v>
      </c>
      <c r="I23" s="45">
        <v>170879</v>
      </c>
      <c r="J23" s="45">
        <v>213860</v>
      </c>
      <c r="K23" s="45">
        <v>384739</v>
      </c>
      <c r="L23" s="45">
        <v>912736</v>
      </c>
      <c r="M23" s="45">
        <v>844037</v>
      </c>
      <c r="N23" s="45">
        <v>1756773</v>
      </c>
      <c r="O23" s="45">
        <v>19620</v>
      </c>
      <c r="P23" s="45">
        <v>21950</v>
      </c>
      <c r="Q23" s="45">
        <v>41570</v>
      </c>
      <c r="R23" s="45">
        <v>125033</v>
      </c>
      <c r="S23" s="45">
        <v>75820</v>
      </c>
      <c r="T23" s="45">
        <v>200853</v>
      </c>
      <c r="U23" s="45">
        <v>2769</v>
      </c>
      <c r="V23" s="45">
        <v>1611</v>
      </c>
      <c r="W23" s="45">
        <v>4380</v>
      </c>
      <c r="X23" s="45">
        <v>24769</v>
      </c>
      <c r="Y23" s="45">
        <v>20877</v>
      </c>
      <c r="Z23" s="45">
        <v>45646</v>
      </c>
      <c r="AA23" s="45">
        <v>1262083</v>
      </c>
      <c r="AB23" s="45">
        <v>1183329</v>
      </c>
      <c r="AC23" s="45">
        <v>2445413</v>
      </c>
    </row>
    <row r="24" spans="1:29" s="42" customFormat="1" ht="29.25" customHeight="1" x14ac:dyDescent="0.35">
      <c r="A24" s="37">
        <v>20</v>
      </c>
      <c r="B24" s="46" t="s">
        <v>30</v>
      </c>
      <c r="C24" s="45">
        <v>17597</v>
      </c>
      <c r="D24" s="45">
        <v>15683</v>
      </c>
      <c r="E24" s="45">
        <v>33280</v>
      </c>
      <c r="F24" s="45">
        <v>18</v>
      </c>
      <c r="G24" s="45">
        <v>18</v>
      </c>
      <c r="H24" s="45">
        <v>36</v>
      </c>
      <c r="I24" s="45">
        <v>209970</v>
      </c>
      <c r="J24" s="45">
        <v>229886</v>
      </c>
      <c r="K24" s="45">
        <v>439856</v>
      </c>
      <c r="L24" s="45">
        <v>1626959</v>
      </c>
      <c r="M24" s="45">
        <v>1457001</v>
      </c>
      <c r="N24" s="45">
        <v>3083960</v>
      </c>
      <c r="O24" s="45">
        <v>10135</v>
      </c>
      <c r="P24" s="45">
        <v>7687</v>
      </c>
      <c r="Q24" s="45">
        <v>17822</v>
      </c>
      <c r="R24" s="45">
        <v>218771</v>
      </c>
      <c r="S24" s="45">
        <v>184552</v>
      </c>
      <c r="T24" s="45">
        <v>403323</v>
      </c>
      <c r="U24" s="45">
        <v>6190</v>
      </c>
      <c r="V24" s="45">
        <v>6748</v>
      </c>
      <c r="W24" s="45">
        <v>12938</v>
      </c>
      <c r="X24" s="45">
        <v>13005</v>
      </c>
      <c r="Y24" s="45">
        <v>12850</v>
      </c>
      <c r="Z24" s="45">
        <v>25855</v>
      </c>
      <c r="AA24" s="45">
        <v>2102646</v>
      </c>
      <c r="AB24" s="45">
        <v>1914424</v>
      </c>
      <c r="AC24" s="45">
        <v>4017070</v>
      </c>
    </row>
    <row r="25" spans="1:29" s="42" customFormat="1" ht="29.25" customHeight="1" x14ac:dyDescent="0.35">
      <c r="A25" s="37">
        <v>21</v>
      </c>
      <c r="B25" s="46" t="s">
        <v>31</v>
      </c>
      <c r="C25" s="45">
        <v>1518</v>
      </c>
      <c r="D25" s="45">
        <v>1621</v>
      </c>
      <c r="E25" s="45">
        <v>3139</v>
      </c>
      <c r="F25" s="45">
        <v>4</v>
      </c>
      <c r="G25" s="45">
        <v>8</v>
      </c>
      <c r="H25" s="45">
        <v>12</v>
      </c>
      <c r="I25" s="45">
        <v>4749</v>
      </c>
      <c r="J25" s="45">
        <v>4958</v>
      </c>
      <c r="K25" s="45">
        <v>9707</v>
      </c>
      <c r="L25" s="45">
        <v>45067</v>
      </c>
      <c r="M25" s="45">
        <v>44515</v>
      </c>
      <c r="N25" s="45">
        <v>89582</v>
      </c>
      <c r="O25" s="45">
        <v>316</v>
      </c>
      <c r="P25" s="45">
        <v>270</v>
      </c>
      <c r="Q25" s="45">
        <v>586</v>
      </c>
      <c r="R25" s="45">
        <v>1499</v>
      </c>
      <c r="S25" s="45">
        <v>2722</v>
      </c>
      <c r="T25" s="45">
        <v>4221</v>
      </c>
      <c r="U25" s="45">
        <v>23</v>
      </c>
      <c r="V25" s="45">
        <v>34</v>
      </c>
      <c r="W25" s="45">
        <v>57</v>
      </c>
      <c r="X25" s="45">
        <v>264</v>
      </c>
      <c r="Y25" s="45">
        <v>154</v>
      </c>
      <c r="Z25" s="45">
        <v>418</v>
      </c>
      <c r="AA25" s="45">
        <v>53440</v>
      </c>
      <c r="AB25" s="45">
        <v>54282</v>
      </c>
      <c r="AC25" s="45">
        <v>107722</v>
      </c>
    </row>
    <row r="26" spans="1:29" s="42" customFormat="1" ht="29.25" customHeight="1" x14ac:dyDescent="0.35">
      <c r="A26" s="37">
        <v>22</v>
      </c>
      <c r="B26" s="46" t="s">
        <v>32</v>
      </c>
      <c r="C26" s="45">
        <v>1112</v>
      </c>
      <c r="D26" s="45">
        <v>1213</v>
      </c>
      <c r="E26" s="45">
        <v>2325</v>
      </c>
      <c r="F26" s="45">
        <v>1</v>
      </c>
      <c r="G26" s="45"/>
      <c r="H26" s="45">
        <v>1</v>
      </c>
      <c r="I26" s="45">
        <v>4104</v>
      </c>
      <c r="J26" s="45">
        <v>6376</v>
      </c>
      <c r="K26" s="45">
        <v>10480</v>
      </c>
      <c r="L26" s="45">
        <v>38163</v>
      </c>
      <c r="M26" s="45">
        <v>46464</v>
      </c>
      <c r="N26" s="45">
        <v>84627</v>
      </c>
      <c r="O26" s="45">
        <v>59</v>
      </c>
      <c r="P26" s="45">
        <v>61</v>
      </c>
      <c r="Q26" s="45">
        <v>120</v>
      </c>
      <c r="R26" s="45">
        <v>1265</v>
      </c>
      <c r="S26" s="45">
        <v>2133</v>
      </c>
      <c r="T26" s="45">
        <v>3398</v>
      </c>
      <c r="U26" s="45">
        <v>330</v>
      </c>
      <c r="V26" s="45">
        <v>338</v>
      </c>
      <c r="W26" s="45">
        <v>668</v>
      </c>
      <c r="X26" s="45">
        <v>284</v>
      </c>
      <c r="Y26" s="45">
        <v>361</v>
      </c>
      <c r="Z26" s="45">
        <v>645</v>
      </c>
      <c r="AA26" s="45">
        <v>45317</v>
      </c>
      <c r="AB26" s="45">
        <v>56946</v>
      </c>
      <c r="AC26" s="45">
        <v>102264</v>
      </c>
    </row>
    <row r="27" spans="1:29" s="42" customFormat="1" ht="29.25" customHeight="1" x14ac:dyDescent="0.35">
      <c r="A27" s="37">
        <v>23</v>
      </c>
      <c r="B27" s="46" t="s">
        <v>33</v>
      </c>
      <c r="C27" s="45">
        <v>760</v>
      </c>
      <c r="D27" s="45">
        <v>708</v>
      </c>
      <c r="E27" s="45">
        <v>1468</v>
      </c>
      <c r="F27" s="45"/>
      <c r="G27" s="45"/>
      <c r="H27" s="45"/>
      <c r="I27" s="45">
        <v>1300</v>
      </c>
      <c r="J27" s="45">
        <v>1523</v>
      </c>
      <c r="K27" s="45">
        <v>2823</v>
      </c>
      <c r="L27" s="45">
        <v>13144</v>
      </c>
      <c r="M27" s="45">
        <v>11627</v>
      </c>
      <c r="N27" s="45">
        <v>24771</v>
      </c>
      <c r="O27" s="45">
        <v>25</v>
      </c>
      <c r="P27" s="45"/>
      <c r="Q27" s="45">
        <v>25</v>
      </c>
      <c r="R27" s="45">
        <v>4203</v>
      </c>
      <c r="S27" s="45">
        <v>5216</v>
      </c>
      <c r="T27" s="45">
        <v>9419</v>
      </c>
      <c r="U27" s="45">
        <v>120</v>
      </c>
      <c r="V27" s="45">
        <v>100</v>
      </c>
      <c r="W27" s="45">
        <v>220</v>
      </c>
      <c r="X27" s="45"/>
      <c r="Y27" s="45"/>
      <c r="Z27" s="45"/>
      <c r="AA27" s="45">
        <v>19552</v>
      </c>
      <c r="AB27" s="45">
        <v>19174</v>
      </c>
      <c r="AC27" s="45">
        <v>38726</v>
      </c>
    </row>
    <row r="28" spans="1:29" s="42" customFormat="1" ht="29.25" customHeight="1" x14ac:dyDescent="0.35">
      <c r="A28" s="37">
        <v>24</v>
      </c>
      <c r="B28" s="46" t="s">
        <v>34</v>
      </c>
      <c r="C28" s="45">
        <v>405</v>
      </c>
      <c r="D28" s="45">
        <v>467</v>
      </c>
      <c r="E28" s="45">
        <v>872</v>
      </c>
      <c r="F28" s="45"/>
      <c r="G28" s="45"/>
      <c r="H28" s="45"/>
      <c r="I28" s="45">
        <v>1692</v>
      </c>
      <c r="J28" s="45">
        <v>2499</v>
      </c>
      <c r="K28" s="45">
        <v>4191</v>
      </c>
      <c r="L28" s="45">
        <v>17435</v>
      </c>
      <c r="M28" s="45">
        <v>19839</v>
      </c>
      <c r="N28" s="45">
        <v>37274</v>
      </c>
      <c r="O28" s="45"/>
      <c r="P28" s="45">
        <v>8</v>
      </c>
      <c r="Q28" s="45">
        <v>8</v>
      </c>
      <c r="R28" s="45">
        <v>747</v>
      </c>
      <c r="S28" s="45">
        <v>1374</v>
      </c>
      <c r="T28" s="45">
        <v>2121</v>
      </c>
      <c r="U28" s="45">
        <v>352</v>
      </c>
      <c r="V28" s="45">
        <v>395</v>
      </c>
      <c r="W28" s="45">
        <v>747</v>
      </c>
      <c r="X28" s="45"/>
      <c r="Y28" s="45"/>
      <c r="Z28" s="45"/>
      <c r="AA28" s="45">
        <v>20631</v>
      </c>
      <c r="AB28" s="45">
        <v>24582</v>
      </c>
      <c r="AC28" s="45">
        <v>45213</v>
      </c>
    </row>
    <row r="29" spans="1:29" s="42" customFormat="1" ht="29.25" customHeight="1" x14ac:dyDescent="0.35">
      <c r="A29" s="37">
        <v>25</v>
      </c>
      <c r="B29" s="46" t="s">
        <v>35</v>
      </c>
      <c r="C29" s="45">
        <v>4569</v>
      </c>
      <c r="D29" s="45">
        <v>3621</v>
      </c>
      <c r="E29" s="45">
        <v>8190</v>
      </c>
      <c r="F29" s="45">
        <v>17</v>
      </c>
      <c r="G29" s="45">
        <v>21</v>
      </c>
      <c r="H29" s="45">
        <v>38</v>
      </c>
      <c r="I29" s="45">
        <v>46971</v>
      </c>
      <c r="J29" s="45">
        <v>49187</v>
      </c>
      <c r="K29" s="45">
        <v>96158</v>
      </c>
      <c r="L29" s="45">
        <v>404917</v>
      </c>
      <c r="M29" s="45">
        <v>419357</v>
      </c>
      <c r="N29" s="45">
        <v>824274</v>
      </c>
      <c r="O29" s="45">
        <v>1408</v>
      </c>
      <c r="P29" s="45">
        <v>1011</v>
      </c>
      <c r="Q29" s="45">
        <v>2419</v>
      </c>
      <c r="R29" s="45">
        <v>120772</v>
      </c>
      <c r="S29" s="45">
        <v>54858</v>
      </c>
      <c r="T29" s="45">
        <v>175630</v>
      </c>
      <c r="U29" s="45">
        <v>886</v>
      </c>
      <c r="V29" s="45">
        <v>1402</v>
      </c>
      <c r="W29" s="45">
        <v>2288</v>
      </c>
      <c r="X29" s="45">
        <v>7024</v>
      </c>
      <c r="Y29" s="45">
        <v>6964</v>
      </c>
      <c r="Z29" s="45">
        <v>13988</v>
      </c>
      <c r="AA29" s="45">
        <v>586564</v>
      </c>
      <c r="AB29" s="45">
        <v>536421</v>
      </c>
      <c r="AC29" s="45">
        <v>1122985</v>
      </c>
    </row>
    <row r="30" spans="1:29" s="42" customFormat="1" ht="29.25" customHeight="1" x14ac:dyDescent="0.35">
      <c r="A30" s="37">
        <v>26</v>
      </c>
      <c r="B30" s="46" t="s">
        <v>36</v>
      </c>
      <c r="C30" s="45">
        <v>1132</v>
      </c>
      <c r="D30" s="45">
        <v>1055</v>
      </c>
      <c r="E30" s="45">
        <v>2187</v>
      </c>
      <c r="F30" s="45">
        <v>1</v>
      </c>
      <c r="G30" s="45">
        <v>7</v>
      </c>
      <c r="H30" s="45">
        <v>8</v>
      </c>
      <c r="I30" s="45">
        <v>6563</v>
      </c>
      <c r="J30" s="45">
        <v>8007</v>
      </c>
      <c r="K30" s="45">
        <v>14570</v>
      </c>
      <c r="L30" s="45">
        <v>31172</v>
      </c>
      <c r="M30" s="45">
        <v>36587</v>
      </c>
      <c r="N30" s="45">
        <v>67759</v>
      </c>
      <c r="O30" s="45">
        <v>37</v>
      </c>
      <c r="P30" s="45">
        <v>21</v>
      </c>
      <c r="Q30" s="45">
        <v>58</v>
      </c>
      <c r="R30" s="45">
        <v>2405</v>
      </c>
      <c r="S30" s="45">
        <v>1166</v>
      </c>
      <c r="T30" s="45">
        <v>3571</v>
      </c>
      <c r="U30" s="45"/>
      <c r="V30" s="45"/>
      <c r="W30" s="45"/>
      <c r="X30" s="45">
        <v>548</v>
      </c>
      <c r="Y30" s="45">
        <v>949</v>
      </c>
      <c r="Z30" s="45">
        <v>1497</v>
      </c>
      <c r="AA30" s="45">
        <v>41858</v>
      </c>
      <c r="AB30" s="45">
        <v>47792</v>
      </c>
      <c r="AC30" s="45">
        <v>89650</v>
      </c>
    </row>
    <row r="31" spans="1:29" s="42" customFormat="1" ht="29.25" customHeight="1" x14ac:dyDescent="0.35">
      <c r="A31" s="37">
        <v>27</v>
      </c>
      <c r="B31" s="46" t="s">
        <v>37</v>
      </c>
      <c r="C31" s="45">
        <v>5444</v>
      </c>
      <c r="D31" s="45">
        <v>7246</v>
      </c>
      <c r="E31" s="45">
        <v>12690</v>
      </c>
      <c r="F31" s="45"/>
      <c r="G31" s="45">
        <v>18</v>
      </c>
      <c r="H31" s="45">
        <v>18</v>
      </c>
      <c r="I31" s="45">
        <v>31610</v>
      </c>
      <c r="J31" s="45">
        <v>44577</v>
      </c>
      <c r="K31" s="45">
        <v>76187</v>
      </c>
      <c r="L31" s="45">
        <v>312291</v>
      </c>
      <c r="M31" s="45">
        <v>296609</v>
      </c>
      <c r="N31" s="45">
        <v>608900</v>
      </c>
      <c r="O31" s="45">
        <v>2560</v>
      </c>
      <c r="P31" s="45">
        <v>2903</v>
      </c>
      <c r="Q31" s="45">
        <v>5463</v>
      </c>
      <c r="R31" s="45">
        <v>40125</v>
      </c>
      <c r="S31" s="45">
        <v>46923</v>
      </c>
      <c r="T31" s="45">
        <v>87048</v>
      </c>
      <c r="U31" s="45">
        <v>953</v>
      </c>
      <c r="V31" s="45">
        <v>1266</v>
      </c>
      <c r="W31" s="45">
        <v>2219</v>
      </c>
      <c r="X31" s="45">
        <v>11761</v>
      </c>
      <c r="Y31" s="45">
        <v>16128</v>
      </c>
      <c r="Z31" s="45">
        <v>27889</v>
      </c>
      <c r="AA31" s="45">
        <v>404744</v>
      </c>
      <c r="AB31" s="45">
        <v>415670</v>
      </c>
      <c r="AC31" s="45">
        <v>820414</v>
      </c>
    </row>
    <row r="32" spans="1:29" s="42" customFormat="1" ht="29.25" customHeight="1" x14ac:dyDescent="0.35">
      <c r="A32" s="37">
        <v>28</v>
      </c>
      <c r="B32" s="46" t="s">
        <v>38</v>
      </c>
      <c r="C32" s="45">
        <v>8882</v>
      </c>
      <c r="D32" s="45">
        <v>10256</v>
      </c>
      <c r="E32" s="45">
        <v>19138</v>
      </c>
      <c r="F32" s="45">
        <v>29</v>
      </c>
      <c r="G32" s="45">
        <v>84</v>
      </c>
      <c r="H32" s="45">
        <v>113</v>
      </c>
      <c r="I32" s="45">
        <v>87241</v>
      </c>
      <c r="J32" s="45">
        <v>128370</v>
      </c>
      <c r="K32" s="45">
        <v>215610</v>
      </c>
      <c r="L32" s="45">
        <v>898325</v>
      </c>
      <c r="M32" s="45">
        <v>912920</v>
      </c>
      <c r="N32" s="45">
        <v>1811245</v>
      </c>
      <c r="O32" s="45">
        <v>6968</v>
      </c>
      <c r="P32" s="45">
        <v>4591</v>
      </c>
      <c r="Q32" s="45">
        <v>11559</v>
      </c>
      <c r="R32" s="45">
        <v>99419</v>
      </c>
      <c r="S32" s="45">
        <v>46383</v>
      </c>
      <c r="T32" s="45">
        <v>145802</v>
      </c>
      <c r="U32" s="45">
        <v>1679</v>
      </c>
      <c r="V32" s="45">
        <v>1982</v>
      </c>
      <c r="W32" s="45">
        <v>3661</v>
      </c>
      <c r="X32" s="45">
        <v>70199</v>
      </c>
      <c r="Y32" s="45">
        <v>75584</v>
      </c>
      <c r="Z32" s="45">
        <v>145783</v>
      </c>
      <c r="AA32" s="45">
        <v>1172742</v>
      </c>
      <c r="AB32" s="45">
        <v>1180170</v>
      </c>
      <c r="AC32" s="45">
        <v>2352911</v>
      </c>
    </row>
    <row r="33" spans="1:29" s="42" customFormat="1" ht="29.25" customHeight="1" x14ac:dyDescent="0.35">
      <c r="A33" s="37">
        <v>29</v>
      </c>
      <c r="B33" s="46" t="s">
        <v>39</v>
      </c>
      <c r="C33" s="45">
        <v>226</v>
      </c>
      <c r="D33" s="45">
        <v>173</v>
      </c>
      <c r="E33" s="45">
        <v>399</v>
      </c>
      <c r="F33" s="45"/>
      <c r="G33" s="45"/>
      <c r="H33" s="45"/>
      <c r="I33" s="45">
        <v>1613</v>
      </c>
      <c r="J33" s="45">
        <v>2089</v>
      </c>
      <c r="K33" s="45">
        <v>3702</v>
      </c>
      <c r="L33" s="45">
        <v>10694</v>
      </c>
      <c r="M33" s="45">
        <v>10363</v>
      </c>
      <c r="N33" s="45">
        <v>21057</v>
      </c>
      <c r="O33" s="45">
        <v>11</v>
      </c>
      <c r="P33" s="45">
        <v>4</v>
      </c>
      <c r="Q33" s="45">
        <v>15</v>
      </c>
      <c r="R33" s="45">
        <v>1744</v>
      </c>
      <c r="S33" s="45">
        <v>1259</v>
      </c>
      <c r="T33" s="45">
        <v>3003</v>
      </c>
      <c r="U33" s="45">
        <v>4</v>
      </c>
      <c r="V33" s="45">
        <v>4</v>
      </c>
      <c r="W33" s="45">
        <v>8</v>
      </c>
      <c r="X33" s="45">
        <v>188</v>
      </c>
      <c r="Y33" s="45">
        <v>292</v>
      </c>
      <c r="Z33" s="45">
        <v>480</v>
      </c>
      <c r="AA33" s="45">
        <v>14480</v>
      </c>
      <c r="AB33" s="45">
        <v>14184</v>
      </c>
      <c r="AC33" s="45">
        <v>28664</v>
      </c>
    </row>
    <row r="34" spans="1:29" s="42" customFormat="1" ht="29.25" customHeight="1" x14ac:dyDescent="0.35">
      <c r="A34" s="37">
        <v>30</v>
      </c>
      <c r="B34" s="46" t="s">
        <v>40</v>
      </c>
      <c r="C34" s="45">
        <v>21211</v>
      </c>
      <c r="D34" s="45">
        <v>27274</v>
      </c>
      <c r="E34" s="45">
        <v>48485</v>
      </c>
      <c r="F34" s="45">
        <v>336</v>
      </c>
      <c r="G34" s="45">
        <v>557</v>
      </c>
      <c r="H34" s="45">
        <v>893</v>
      </c>
      <c r="I34" s="45">
        <v>136524</v>
      </c>
      <c r="J34" s="45">
        <v>198933</v>
      </c>
      <c r="K34" s="45">
        <v>335457</v>
      </c>
      <c r="L34" s="45">
        <v>1274972</v>
      </c>
      <c r="M34" s="45">
        <v>1266236</v>
      </c>
      <c r="N34" s="45">
        <v>2541208</v>
      </c>
      <c r="O34" s="45">
        <v>2090</v>
      </c>
      <c r="P34" s="45">
        <v>1880</v>
      </c>
      <c r="Q34" s="45">
        <v>3970</v>
      </c>
      <c r="R34" s="45">
        <v>180186</v>
      </c>
      <c r="S34" s="45">
        <v>46622</v>
      </c>
      <c r="T34" s="45">
        <v>226808</v>
      </c>
      <c r="U34" s="45">
        <v>1105</v>
      </c>
      <c r="V34" s="45">
        <v>5091</v>
      </c>
      <c r="W34" s="45">
        <v>6196</v>
      </c>
      <c r="X34" s="45">
        <v>14933</v>
      </c>
      <c r="Y34" s="45">
        <v>15881</v>
      </c>
      <c r="Z34" s="45">
        <v>30814</v>
      </c>
      <c r="AA34" s="45">
        <v>1631357</v>
      </c>
      <c r="AB34" s="45">
        <v>1562474</v>
      </c>
      <c r="AC34" s="45">
        <v>3193831</v>
      </c>
    </row>
    <row r="35" spans="1:29" s="42" customFormat="1" ht="29.25" customHeight="1" x14ac:dyDescent="0.35">
      <c r="A35" s="37">
        <v>31</v>
      </c>
      <c r="B35" s="46" t="s">
        <v>41</v>
      </c>
      <c r="C35" s="45">
        <v>5528</v>
      </c>
      <c r="D35" s="45">
        <v>3819</v>
      </c>
      <c r="E35" s="45">
        <v>9347</v>
      </c>
      <c r="F35" s="45">
        <v>13</v>
      </c>
      <c r="G35" s="45">
        <v>43</v>
      </c>
      <c r="H35" s="45">
        <v>56</v>
      </c>
      <c r="I35" s="45">
        <v>77703</v>
      </c>
      <c r="J35" s="45">
        <v>107287</v>
      </c>
      <c r="K35" s="45">
        <v>184990</v>
      </c>
      <c r="L35" s="45">
        <v>647754</v>
      </c>
      <c r="M35" s="45">
        <v>676272</v>
      </c>
      <c r="N35" s="45">
        <v>1324026</v>
      </c>
      <c r="O35" s="45">
        <v>2215</v>
      </c>
      <c r="P35" s="45">
        <v>1935</v>
      </c>
      <c r="Q35" s="45">
        <v>4150</v>
      </c>
      <c r="R35" s="45">
        <v>41009</v>
      </c>
      <c r="S35" s="45">
        <v>33847</v>
      </c>
      <c r="T35" s="45">
        <v>74856</v>
      </c>
      <c r="U35" s="45">
        <v>1817</v>
      </c>
      <c r="V35" s="45">
        <v>1121</v>
      </c>
      <c r="W35" s="45">
        <v>2938</v>
      </c>
      <c r="X35" s="45">
        <v>6377</v>
      </c>
      <c r="Y35" s="45">
        <v>4451</v>
      </c>
      <c r="Z35" s="45">
        <v>10828</v>
      </c>
      <c r="AA35" s="45">
        <v>782416</v>
      </c>
      <c r="AB35" s="45">
        <v>828775</v>
      </c>
      <c r="AC35" s="45">
        <v>1611191</v>
      </c>
    </row>
    <row r="36" spans="1:29" s="42" customFormat="1" ht="29.25" customHeight="1" x14ac:dyDescent="0.35">
      <c r="A36" s="37">
        <v>32</v>
      </c>
      <c r="B36" s="44" t="s">
        <v>58</v>
      </c>
      <c r="C36" s="45"/>
      <c r="D36" s="45">
        <v>2</v>
      </c>
      <c r="E36" s="45">
        <v>2</v>
      </c>
      <c r="F36" s="45"/>
      <c r="G36" s="45"/>
      <c r="H36" s="45"/>
      <c r="I36" s="45">
        <v>231</v>
      </c>
      <c r="J36" s="45">
        <v>535</v>
      </c>
      <c r="K36" s="45">
        <v>766</v>
      </c>
      <c r="L36" s="45">
        <v>4596</v>
      </c>
      <c r="M36" s="45">
        <v>5108</v>
      </c>
      <c r="N36" s="45">
        <v>9704</v>
      </c>
      <c r="O36" s="45">
        <v>33</v>
      </c>
      <c r="P36" s="45">
        <v>13</v>
      </c>
      <c r="Q36" s="45">
        <v>46</v>
      </c>
      <c r="R36" s="45">
        <v>1469</v>
      </c>
      <c r="S36" s="45">
        <v>468</v>
      </c>
      <c r="T36" s="45">
        <v>1937</v>
      </c>
      <c r="U36" s="45"/>
      <c r="V36" s="45"/>
      <c r="W36" s="45"/>
      <c r="X36" s="45">
        <v>54</v>
      </c>
      <c r="Y36" s="45">
        <v>76</v>
      </c>
      <c r="Z36" s="45">
        <v>130</v>
      </c>
      <c r="AA36" s="45">
        <v>6383</v>
      </c>
      <c r="AB36" s="45">
        <v>6202</v>
      </c>
      <c r="AC36" s="45">
        <v>12585</v>
      </c>
    </row>
    <row r="37" spans="1:29" s="42" customFormat="1" ht="29.25" customHeight="1" x14ac:dyDescent="0.35">
      <c r="A37" s="37">
        <v>33</v>
      </c>
      <c r="B37" s="46" t="s">
        <v>42</v>
      </c>
      <c r="C37" s="45">
        <v>372</v>
      </c>
      <c r="D37" s="45">
        <v>232</v>
      </c>
      <c r="E37" s="45">
        <v>604</v>
      </c>
      <c r="F37" s="45"/>
      <c r="G37" s="45"/>
      <c r="H37" s="45"/>
      <c r="I37" s="45">
        <v>2730</v>
      </c>
      <c r="J37" s="45">
        <v>3031</v>
      </c>
      <c r="K37" s="45">
        <v>5761</v>
      </c>
      <c r="L37" s="45">
        <v>44497</v>
      </c>
      <c r="M37" s="45">
        <v>44981</v>
      </c>
      <c r="N37" s="45">
        <v>89478</v>
      </c>
      <c r="O37" s="45">
        <v>29</v>
      </c>
      <c r="P37" s="45">
        <v>23</v>
      </c>
      <c r="Q37" s="45">
        <v>52</v>
      </c>
      <c r="R37" s="45">
        <v>2612</v>
      </c>
      <c r="S37" s="45">
        <v>2523</v>
      </c>
      <c r="T37" s="45">
        <v>5135</v>
      </c>
      <c r="U37" s="45">
        <v>22</v>
      </c>
      <c r="V37" s="45">
        <v>51</v>
      </c>
      <c r="W37" s="45">
        <v>73</v>
      </c>
      <c r="X37" s="45">
        <v>1391</v>
      </c>
      <c r="Y37" s="45">
        <v>1186</v>
      </c>
      <c r="Z37" s="45">
        <v>2577</v>
      </c>
      <c r="AA37" s="45">
        <v>51653</v>
      </c>
      <c r="AB37" s="45">
        <v>52027</v>
      </c>
      <c r="AC37" s="45">
        <v>103680</v>
      </c>
    </row>
    <row r="38" spans="1:29" s="42" customFormat="1" ht="29.25" customHeight="1" x14ac:dyDescent="0.35">
      <c r="A38" s="37">
        <v>34</v>
      </c>
      <c r="B38" s="46" t="s">
        <v>43</v>
      </c>
      <c r="C38" s="45">
        <v>19145</v>
      </c>
      <c r="D38" s="45">
        <v>16135</v>
      </c>
      <c r="E38" s="45">
        <v>35280</v>
      </c>
      <c r="F38" s="45">
        <v>9</v>
      </c>
      <c r="G38" s="45">
        <v>56</v>
      </c>
      <c r="H38" s="45">
        <v>65</v>
      </c>
      <c r="I38" s="45">
        <v>325051</v>
      </c>
      <c r="J38" s="45">
        <v>447597</v>
      </c>
      <c r="K38" s="45">
        <v>772648</v>
      </c>
      <c r="L38" s="45">
        <v>2864317</v>
      </c>
      <c r="M38" s="45">
        <v>2779494</v>
      </c>
      <c r="N38" s="45">
        <v>5643811</v>
      </c>
      <c r="O38" s="45">
        <v>6891</v>
      </c>
      <c r="P38" s="45">
        <v>5600</v>
      </c>
      <c r="Q38" s="45">
        <v>12491</v>
      </c>
      <c r="R38" s="45">
        <v>278641</v>
      </c>
      <c r="S38" s="45">
        <v>190877</v>
      </c>
      <c r="T38" s="45">
        <v>469518</v>
      </c>
      <c r="U38" s="45">
        <v>6026</v>
      </c>
      <c r="V38" s="45">
        <v>7156</v>
      </c>
      <c r="W38" s="45">
        <v>13182</v>
      </c>
      <c r="X38" s="45">
        <v>48801</v>
      </c>
      <c r="Y38" s="45">
        <v>29579</v>
      </c>
      <c r="Z38" s="45">
        <v>78380</v>
      </c>
      <c r="AA38" s="45">
        <v>3548881</v>
      </c>
      <c r="AB38" s="45">
        <v>3476494</v>
      </c>
      <c r="AC38" s="45">
        <v>7025375</v>
      </c>
    </row>
    <row r="39" spans="1:29" s="42" customFormat="1" ht="29.25" customHeight="1" x14ac:dyDescent="0.35">
      <c r="A39" s="37">
        <v>35</v>
      </c>
      <c r="B39" s="46" t="s">
        <v>44</v>
      </c>
      <c r="C39" s="45">
        <v>4897</v>
      </c>
      <c r="D39" s="45">
        <v>4248</v>
      </c>
      <c r="E39" s="45">
        <v>9145</v>
      </c>
      <c r="F39" s="45"/>
      <c r="G39" s="45"/>
      <c r="H39" s="45"/>
      <c r="I39" s="45">
        <v>29504</v>
      </c>
      <c r="J39" s="45">
        <v>38071</v>
      </c>
      <c r="K39" s="45">
        <v>67575</v>
      </c>
      <c r="L39" s="45">
        <v>194226</v>
      </c>
      <c r="M39" s="45">
        <v>205027</v>
      </c>
      <c r="N39" s="45">
        <v>399254</v>
      </c>
      <c r="O39" s="45">
        <v>206</v>
      </c>
      <c r="P39" s="45">
        <v>254</v>
      </c>
      <c r="Q39" s="45">
        <v>460</v>
      </c>
      <c r="R39" s="45">
        <v>21768</v>
      </c>
      <c r="S39" s="45">
        <v>8117</v>
      </c>
      <c r="T39" s="45">
        <v>29885</v>
      </c>
      <c r="U39" s="45">
        <v>270</v>
      </c>
      <c r="V39" s="45">
        <v>111</v>
      </c>
      <c r="W39" s="45">
        <v>381</v>
      </c>
      <c r="X39" s="45">
        <v>3851</v>
      </c>
      <c r="Y39" s="45">
        <v>2670</v>
      </c>
      <c r="Z39" s="45">
        <v>6521</v>
      </c>
      <c r="AA39" s="45">
        <v>254723</v>
      </c>
      <c r="AB39" s="45">
        <v>258498</v>
      </c>
      <c r="AC39" s="45">
        <v>513221</v>
      </c>
    </row>
    <row r="40" spans="1:29" s="42" customFormat="1" ht="29.25" customHeight="1" x14ac:dyDescent="0.35">
      <c r="A40" s="37">
        <v>36</v>
      </c>
      <c r="B40" s="46" t="s">
        <v>45</v>
      </c>
      <c r="C40" s="45">
        <v>10214</v>
      </c>
      <c r="D40" s="45">
        <v>6765</v>
      </c>
      <c r="E40" s="45">
        <v>16979</v>
      </c>
      <c r="F40" s="45">
        <v>77</v>
      </c>
      <c r="G40" s="45">
        <v>53</v>
      </c>
      <c r="H40" s="45">
        <v>130</v>
      </c>
      <c r="I40" s="45">
        <v>53932</v>
      </c>
      <c r="J40" s="45">
        <v>67711</v>
      </c>
      <c r="K40" s="45">
        <v>121644</v>
      </c>
      <c r="L40" s="45">
        <v>807496</v>
      </c>
      <c r="M40" s="45">
        <v>909620</v>
      </c>
      <c r="N40" s="45">
        <v>1717115</v>
      </c>
      <c r="O40" s="45">
        <v>1950</v>
      </c>
      <c r="P40" s="45">
        <v>1034</v>
      </c>
      <c r="Q40" s="45">
        <v>2984</v>
      </c>
      <c r="R40" s="45">
        <v>119383</v>
      </c>
      <c r="S40" s="45">
        <v>80166</v>
      </c>
      <c r="T40" s="45">
        <v>199549</v>
      </c>
      <c r="U40" s="45">
        <v>2345</v>
      </c>
      <c r="V40" s="45">
        <v>2989</v>
      </c>
      <c r="W40" s="45">
        <v>5334</v>
      </c>
      <c r="X40" s="45">
        <v>9945</v>
      </c>
      <c r="Y40" s="45">
        <v>7122</v>
      </c>
      <c r="Z40" s="45">
        <v>17067</v>
      </c>
      <c r="AA40" s="45">
        <v>1005342</v>
      </c>
      <c r="AB40" s="45">
        <v>1075460</v>
      </c>
      <c r="AC40" s="45">
        <v>2080802</v>
      </c>
    </row>
    <row r="41" spans="1:29" s="49" customFormat="1" ht="26.25" customHeight="1" x14ac:dyDescent="0.35">
      <c r="A41" s="695" t="s">
        <v>46</v>
      </c>
      <c r="B41" s="696"/>
      <c r="C41" s="48">
        <v>172356</v>
      </c>
      <c r="D41" s="48">
        <v>171203</v>
      </c>
      <c r="E41" s="48">
        <v>343559</v>
      </c>
      <c r="F41" s="48">
        <v>668</v>
      </c>
      <c r="G41" s="48">
        <v>1418</v>
      </c>
      <c r="H41" s="48">
        <v>2086</v>
      </c>
      <c r="I41" s="48">
        <v>1752390</v>
      </c>
      <c r="J41" s="48">
        <v>2301620</v>
      </c>
      <c r="K41" s="48">
        <v>4054010</v>
      </c>
      <c r="L41" s="48">
        <v>15573557</v>
      </c>
      <c r="M41" s="48">
        <v>15663902</v>
      </c>
      <c r="N41" s="48">
        <v>31237459</v>
      </c>
      <c r="O41" s="48">
        <v>78507</v>
      </c>
      <c r="P41" s="48">
        <v>72477</v>
      </c>
      <c r="Q41" s="48">
        <v>150984</v>
      </c>
      <c r="R41" s="48">
        <v>1935444</v>
      </c>
      <c r="S41" s="48">
        <v>1259009</v>
      </c>
      <c r="T41" s="48">
        <v>3194453</v>
      </c>
      <c r="U41" s="48">
        <v>53741</v>
      </c>
      <c r="V41" s="48">
        <v>59103</v>
      </c>
      <c r="W41" s="48">
        <v>112844</v>
      </c>
      <c r="X41" s="48">
        <v>296141</v>
      </c>
      <c r="Y41" s="48">
        <v>272943</v>
      </c>
      <c r="Z41" s="48">
        <v>569084</v>
      </c>
      <c r="AA41" s="48">
        <v>19862804</v>
      </c>
      <c r="AB41" s="48">
        <v>19801675</v>
      </c>
      <c r="AC41" s="48">
        <v>39664479</v>
      </c>
    </row>
  </sheetData>
  <mergeCells count="15">
    <mergeCell ref="A41:B41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43307086614173229" right="0.19685039370078741" top="0.39370078740157483" bottom="0.39370078740157483" header="0.31496062992125984" footer="0.19685039370078741"/>
  <pageSetup paperSize="9" scale="68" firstPageNumber="8" orientation="portrait" r:id="rId1"/>
  <headerFooter>
    <oddFooter>&amp;L&amp;"Arial,Italic"&amp;9AISHE 2023-24&amp;RT-6a</oddFooter>
  </headerFooter>
  <colBreaks count="2" manualBreakCount="2">
    <brk id="11" max="40" man="1"/>
    <brk id="20" max="4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0968-0D13-4D76-8357-B89457924CFA}">
  <dimension ref="A1:W42"/>
  <sheetViews>
    <sheetView view="pageBreakPreview" zoomScale="85" zoomScaleNormal="100" zoomScaleSheetLayoutView="85" workbookViewId="0">
      <pane xSplit="2" ySplit="3" topLeftCell="C33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9.453125" defaultRowHeight="18" x14ac:dyDescent="0.4"/>
  <cols>
    <col min="1" max="1" width="4.7265625" style="51" bestFit="1" customWidth="1"/>
    <col min="2" max="2" width="22.7265625" style="51" bestFit="1" customWidth="1"/>
    <col min="3" max="7" width="15" style="51" customWidth="1"/>
    <col min="8" max="8" width="15.54296875" style="51" customWidth="1"/>
    <col min="9" max="13" width="15" style="51" customWidth="1"/>
    <col min="14" max="14" width="17.7265625" style="51" customWidth="1"/>
    <col min="15" max="15" width="9" style="51" bestFit="1" customWidth="1"/>
    <col min="16" max="16" width="9.1796875" style="51" bestFit="1" customWidth="1"/>
    <col min="17" max="17" width="9" style="51" bestFit="1" customWidth="1"/>
    <col min="18" max="18" width="7.26953125" style="51" bestFit="1" customWidth="1"/>
    <col min="19" max="19" width="9.81640625" style="51" bestFit="1" customWidth="1"/>
    <col min="20" max="20" width="7.54296875" style="51" bestFit="1" customWidth="1"/>
    <col min="21" max="22" width="12.1796875" style="51" bestFit="1" customWidth="1"/>
    <col min="23" max="23" width="12.1796875" style="51" customWidth="1"/>
    <col min="24" max="16384" width="9.453125" style="51"/>
  </cols>
  <sheetData>
    <row r="1" spans="1:23" ht="42" customHeight="1" x14ac:dyDescent="0.4">
      <c r="B1" s="558"/>
      <c r="C1" s="704" t="s">
        <v>987</v>
      </c>
      <c r="D1" s="704"/>
      <c r="E1" s="704"/>
      <c r="F1" s="704"/>
      <c r="G1" s="704"/>
      <c r="H1" s="704"/>
      <c r="I1" s="704" t="str">
        <f>C1</f>
        <v>Table 6(b). States/UTs-wise Enrolment through Distance Mode at various levels 
(Based on Actual Response)</v>
      </c>
      <c r="J1" s="704"/>
      <c r="K1" s="704"/>
      <c r="L1" s="704"/>
      <c r="M1" s="704"/>
      <c r="N1" s="704"/>
      <c r="O1" s="704" t="str">
        <f>C1</f>
        <v>Table 6(b). States/UTs-wise Enrolment through Distance Mode at various levels 
(Based on Actual Response)</v>
      </c>
      <c r="P1" s="704"/>
      <c r="Q1" s="704"/>
      <c r="R1" s="704"/>
      <c r="S1" s="704"/>
      <c r="T1" s="704"/>
      <c r="U1" s="704"/>
      <c r="V1" s="704"/>
      <c r="W1" s="704"/>
    </row>
    <row r="2" spans="1:23" s="52" customFormat="1" ht="21.75" customHeight="1" x14ac:dyDescent="0.35">
      <c r="A2" s="705" t="s">
        <v>918</v>
      </c>
      <c r="B2" s="705" t="s">
        <v>885</v>
      </c>
      <c r="C2" s="705" t="s">
        <v>97</v>
      </c>
      <c r="D2" s="705"/>
      <c r="E2" s="705"/>
      <c r="F2" s="705" t="s">
        <v>98</v>
      </c>
      <c r="G2" s="705"/>
      <c r="H2" s="705"/>
      <c r="I2" s="705" t="s">
        <v>99</v>
      </c>
      <c r="J2" s="705"/>
      <c r="K2" s="705"/>
      <c r="L2" s="705" t="s">
        <v>100</v>
      </c>
      <c r="M2" s="705"/>
      <c r="N2" s="705"/>
      <c r="O2" s="705" t="s">
        <v>101</v>
      </c>
      <c r="P2" s="705"/>
      <c r="Q2" s="705"/>
      <c r="R2" s="705" t="s">
        <v>102</v>
      </c>
      <c r="S2" s="705"/>
      <c r="T2" s="705"/>
      <c r="U2" s="705" t="s">
        <v>12</v>
      </c>
      <c r="V2" s="705"/>
      <c r="W2" s="705"/>
    </row>
    <row r="3" spans="1:23" s="55" customFormat="1" x14ac:dyDescent="0.35">
      <c r="A3" s="705"/>
      <c r="B3" s="705"/>
      <c r="C3" s="53" t="s">
        <v>103</v>
      </c>
      <c r="D3" s="53" t="s">
        <v>104</v>
      </c>
      <c r="E3" s="53" t="s">
        <v>89</v>
      </c>
      <c r="F3" s="53" t="s">
        <v>103</v>
      </c>
      <c r="G3" s="53" t="s">
        <v>104</v>
      </c>
      <c r="H3" s="53" t="s">
        <v>89</v>
      </c>
      <c r="I3" s="53" t="s">
        <v>103</v>
      </c>
      <c r="J3" s="53" t="s">
        <v>104</v>
      </c>
      <c r="K3" s="53" t="s">
        <v>89</v>
      </c>
      <c r="L3" s="53" t="s">
        <v>103</v>
      </c>
      <c r="M3" s="53" t="s">
        <v>104</v>
      </c>
      <c r="N3" s="53" t="s">
        <v>89</v>
      </c>
      <c r="O3" s="53" t="s">
        <v>103</v>
      </c>
      <c r="P3" s="53" t="s">
        <v>104</v>
      </c>
      <c r="Q3" s="53" t="s">
        <v>89</v>
      </c>
      <c r="R3" s="53" t="s">
        <v>103</v>
      </c>
      <c r="S3" s="53" t="s">
        <v>104</v>
      </c>
      <c r="T3" s="54" t="s">
        <v>89</v>
      </c>
      <c r="U3" s="53" t="s">
        <v>103</v>
      </c>
      <c r="V3" s="53" t="s">
        <v>104</v>
      </c>
      <c r="W3" s="53" t="s">
        <v>89</v>
      </c>
    </row>
    <row r="4" spans="1:23" s="548" customFormat="1" ht="10.5" x14ac:dyDescent="0.35">
      <c r="A4" s="547">
        <v>1</v>
      </c>
      <c r="B4" s="547">
        <v>2</v>
      </c>
      <c r="C4" s="547">
        <v>3</v>
      </c>
      <c r="D4" s="547">
        <v>4</v>
      </c>
      <c r="E4" s="547">
        <v>5</v>
      </c>
      <c r="F4" s="547">
        <v>6</v>
      </c>
      <c r="G4" s="547">
        <v>7</v>
      </c>
      <c r="H4" s="547">
        <v>8</v>
      </c>
      <c r="I4" s="547">
        <v>9</v>
      </c>
      <c r="J4" s="547">
        <v>10</v>
      </c>
      <c r="K4" s="547">
        <v>11</v>
      </c>
      <c r="L4" s="547">
        <v>12</v>
      </c>
      <c r="M4" s="547">
        <v>13</v>
      </c>
      <c r="N4" s="547">
        <v>14</v>
      </c>
      <c r="O4" s="547">
        <v>15</v>
      </c>
      <c r="P4" s="547">
        <v>16</v>
      </c>
      <c r="Q4" s="547">
        <v>17</v>
      </c>
      <c r="R4" s="547">
        <v>18</v>
      </c>
      <c r="S4" s="547">
        <v>19</v>
      </c>
      <c r="T4" s="547">
        <v>20</v>
      </c>
      <c r="U4" s="547">
        <v>21</v>
      </c>
      <c r="V4" s="547">
        <v>22</v>
      </c>
      <c r="W4" s="547">
        <v>23</v>
      </c>
    </row>
    <row r="5" spans="1:23" s="55" customFormat="1" ht="22.5" customHeight="1" x14ac:dyDescent="0.35">
      <c r="A5" s="57">
        <v>1</v>
      </c>
      <c r="B5" s="63" t="s">
        <v>56</v>
      </c>
      <c r="C5" s="25">
        <v>492</v>
      </c>
      <c r="D5" s="25">
        <v>813</v>
      </c>
      <c r="E5" s="25">
        <v>1305</v>
      </c>
      <c r="F5" s="25">
        <v>1611</v>
      </c>
      <c r="G5" s="25">
        <v>1358</v>
      </c>
      <c r="H5" s="25">
        <v>2969</v>
      </c>
      <c r="I5" s="25">
        <v>22</v>
      </c>
      <c r="J5" s="25">
        <v>30</v>
      </c>
      <c r="K5" s="25">
        <v>52</v>
      </c>
      <c r="L5" s="25">
        <v>20</v>
      </c>
      <c r="M5" s="25">
        <v>34</v>
      </c>
      <c r="N5" s="25">
        <v>54</v>
      </c>
      <c r="O5" s="25"/>
      <c r="P5" s="25"/>
      <c r="Q5" s="25"/>
      <c r="R5" s="25"/>
      <c r="S5" s="25"/>
      <c r="T5" s="25"/>
      <c r="U5" s="25">
        <v>2145</v>
      </c>
      <c r="V5" s="25">
        <v>2235</v>
      </c>
      <c r="W5" s="25">
        <v>4380</v>
      </c>
    </row>
    <row r="6" spans="1:23" s="55" customFormat="1" ht="22.5" customHeight="1" x14ac:dyDescent="0.35">
      <c r="A6" s="57">
        <v>2</v>
      </c>
      <c r="B6" s="65" t="s">
        <v>13</v>
      </c>
      <c r="C6" s="25">
        <v>21984</v>
      </c>
      <c r="D6" s="25">
        <v>22320</v>
      </c>
      <c r="E6" s="25">
        <v>44304</v>
      </c>
      <c r="F6" s="25">
        <v>97089</v>
      </c>
      <c r="G6" s="25">
        <v>70855</v>
      </c>
      <c r="H6" s="25">
        <v>167944</v>
      </c>
      <c r="I6" s="25">
        <v>1261</v>
      </c>
      <c r="J6" s="25">
        <v>739</v>
      </c>
      <c r="K6" s="25">
        <v>2000</v>
      </c>
      <c r="L6" s="25">
        <v>335</v>
      </c>
      <c r="M6" s="25">
        <v>423</v>
      </c>
      <c r="N6" s="25">
        <v>758</v>
      </c>
      <c r="O6" s="25">
        <v>110</v>
      </c>
      <c r="P6" s="25">
        <v>64</v>
      </c>
      <c r="Q6" s="25">
        <v>174</v>
      </c>
      <c r="R6" s="25"/>
      <c r="S6" s="25"/>
      <c r="T6" s="25"/>
      <c r="U6" s="25">
        <v>120779</v>
      </c>
      <c r="V6" s="25">
        <v>94401</v>
      </c>
      <c r="W6" s="25">
        <v>215180</v>
      </c>
    </row>
    <row r="7" spans="1:23" s="55" customFormat="1" ht="22.5" customHeight="1" x14ac:dyDescent="0.35">
      <c r="A7" s="57">
        <v>3</v>
      </c>
      <c r="B7" s="65" t="s">
        <v>14</v>
      </c>
      <c r="C7" s="25">
        <v>1532</v>
      </c>
      <c r="D7" s="25">
        <v>2526</v>
      </c>
      <c r="E7" s="25">
        <v>4058</v>
      </c>
      <c r="F7" s="25">
        <v>1955</v>
      </c>
      <c r="G7" s="25">
        <v>2837</v>
      </c>
      <c r="H7" s="25">
        <v>4792</v>
      </c>
      <c r="I7" s="25">
        <v>12</v>
      </c>
      <c r="J7" s="25">
        <v>14</v>
      </c>
      <c r="K7" s="25">
        <v>26</v>
      </c>
      <c r="L7" s="25">
        <v>12</v>
      </c>
      <c r="M7" s="25">
        <v>56</v>
      </c>
      <c r="N7" s="25">
        <v>68</v>
      </c>
      <c r="O7" s="25"/>
      <c r="P7" s="25"/>
      <c r="Q7" s="25"/>
      <c r="R7" s="25"/>
      <c r="S7" s="25"/>
      <c r="T7" s="25"/>
      <c r="U7" s="25">
        <v>3511</v>
      </c>
      <c r="V7" s="25">
        <v>5433</v>
      </c>
      <c r="W7" s="25">
        <v>8944</v>
      </c>
    </row>
    <row r="8" spans="1:23" s="55" customFormat="1" ht="22.5" customHeight="1" x14ac:dyDescent="0.35">
      <c r="A8" s="57">
        <v>4</v>
      </c>
      <c r="B8" s="65" t="s">
        <v>15</v>
      </c>
      <c r="C8" s="25">
        <v>26307</v>
      </c>
      <c r="D8" s="25">
        <v>42941</v>
      </c>
      <c r="E8" s="25">
        <v>69248</v>
      </c>
      <c r="F8" s="25">
        <v>21927</v>
      </c>
      <c r="G8" s="25">
        <v>12879</v>
      </c>
      <c r="H8" s="25">
        <v>34806</v>
      </c>
      <c r="I8" s="25">
        <v>237</v>
      </c>
      <c r="J8" s="25">
        <v>225</v>
      </c>
      <c r="K8" s="25">
        <v>462</v>
      </c>
      <c r="L8" s="25">
        <v>445</v>
      </c>
      <c r="M8" s="25">
        <v>604</v>
      </c>
      <c r="N8" s="25">
        <v>1049</v>
      </c>
      <c r="O8" s="25">
        <v>102</v>
      </c>
      <c r="P8" s="25">
        <v>119</v>
      </c>
      <c r="Q8" s="25">
        <v>221</v>
      </c>
      <c r="R8" s="25"/>
      <c r="S8" s="25"/>
      <c r="T8" s="25"/>
      <c r="U8" s="25">
        <v>49018</v>
      </c>
      <c r="V8" s="25">
        <v>56768</v>
      </c>
      <c r="W8" s="25">
        <v>105786</v>
      </c>
    </row>
    <row r="9" spans="1:23" s="55" customFormat="1" ht="22.5" customHeight="1" x14ac:dyDescent="0.35">
      <c r="A9" s="57">
        <v>5</v>
      </c>
      <c r="B9" s="65" t="s">
        <v>16</v>
      </c>
      <c r="C9" s="25">
        <v>24666</v>
      </c>
      <c r="D9" s="25">
        <v>23802</v>
      </c>
      <c r="E9" s="25">
        <v>48468</v>
      </c>
      <c r="F9" s="25">
        <v>67591</v>
      </c>
      <c r="G9" s="25">
        <v>48969</v>
      </c>
      <c r="H9" s="25">
        <v>116560</v>
      </c>
      <c r="I9" s="25">
        <v>829</v>
      </c>
      <c r="J9" s="25">
        <v>398</v>
      </c>
      <c r="K9" s="25">
        <v>1227</v>
      </c>
      <c r="L9" s="25">
        <v>235</v>
      </c>
      <c r="M9" s="25">
        <v>674</v>
      </c>
      <c r="N9" s="25">
        <v>909</v>
      </c>
      <c r="O9" s="25"/>
      <c r="P9" s="25"/>
      <c r="Q9" s="25"/>
      <c r="R9" s="25"/>
      <c r="S9" s="25"/>
      <c r="T9" s="25"/>
      <c r="U9" s="25">
        <v>93321</v>
      </c>
      <c r="V9" s="25">
        <v>73843</v>
      </c>
      <c r="W9" s="25">
        <v>167164</v>
      </c>
    </row>
    <row r="10" spans="1:23" s="55" customFormat="1" ht="22.5" customHeight="1" x14ac:dyDescent="0.35">
      <c r="A10" s="57">
        <v>6</v>
      </c>
      <c r="B10" s="65" t="s">
        <v>17</v>
      </c>
      <c r="C10" s="25">
        <v>3785</v>
      </c>
      <c r="D10" s="25">
        <v>5139</v>
      </c>
      <c r="E10" s="25">
        <v>8924</v>
      </c>
      <c r="F10" s="25">
        <v>11644</v>
      </c>
      <c r="G10" s="25">
        <v>7245</v>
      </c>
      <c r="H10" s="25">
        <v>18889</v>
      </c>
      <c r="I10" s="25">
        <v>381</v>
      </c>
      <c r="J10" s="25">
        <v>461</v>
      </c>
      <c r="K10" s="25">
        <v>842</v>
      </c>
      <c r="L10" s="25">
        <v>413</v>
      </c>
      <c r="M10" s="25">
        <v>1621</v>
      </c>
      <c r="N10" s="25">
        <v>2034</v>
      </c>
      <c r="O10" s="25">
        <v>14</v>
      </c>
      <c r="P10" s="25">
        <v>6</v>
      </c>
      <c r="Q10" s="25">
        <v>20</v>
      </c>
      <c r="R10" s="25"/>
      <c r="S10" s="25"/>
      <c r="T10" s="25"/>
      <c r="U10" s="25">
        <v>16237</v>
      </c>
      <c r="V10" s="25">
        <v>14472</v>
      </c>
      <c r="W10" s="25">
        <v>30709</v>
      </c>
    </row>
    <row r="11" spans="1:23" s="55" customFormat="1" ht="22.5" customHeight="1" x14ac:dyDescent="0.35">
      <c r="A11" s="57">
        <v>7</v>
      </c>
      <c r="B11" s="65" t="s">
        <v>18</v>
      </c>
      <c r="C11" s="25">
        <v>6281</v>
      </c>
      <c r="D11" s="25">
        <v>6199</v>
      </c>
      <c r="E11" s="25">
        <v>12480</v>
      </c>
      <c r="F11" s="25">
        <v>6700</v>
      </c>
      <c r="G11" s="25">
        <v>4930</v>
      </c>
      <c r="H11" s="25">
        <v>11630</v>
      </c>
      <c r="I11" s="25">
        <v>568</v>
      </c>
      <c r="J11" s="25">
        <v>352</v>
      </c>
      <c r="K11" s="25">
        <v>920</v>
      </c>
      <c r="L11" s="25">
        <v>2954</v>
      </c>
      <c r="M11" s="25">
        <v>3311</v>
      </c>
      <c r="N11" s="25">
        <v>6265</v>
      </c>
      <c r="O11" s="25">
        <v>6</v>
      </c>
      <c r="P11" s="25">
        <v>6</v>
      </c>
      <c r="Q11" s="25">
        <v>12</v>
      </c>
      <c r="R11" s="25"/>
      <c r="S11" s="25"/>
      <c r="T11" s="25"/>
      <c r="U11" s="25">
        <v>16509</v>
      </c>
      <c r="V11" s="25">
        <v>14798</v>
      </c>
      <c r="W11" s="25">
        <v>31307</v>
      </c>
    </row>
    <row r="12" spans="1:23" s="55" customFormat="1" ht="22.5" customHeight="1" x14ac:dyDescent="0.35">
      <c r="A12" s="57">
        <v>8</v>
      </c>
      <c r="B12" s="65" t="s">
        <v>19</v>
      </c>
      <c r="C12" s="25">
        <v>48370</v>
      </c>
      <c r="D12" s="25">
        <v>79219</v>
      </c>
      <c r="E12" s="25">
        <v>127589</v>
      </c>
      <c r="F12" s="25">
        <v>301662</v>
      </c>
      <c r="G12" s="25">
        <v>262179</v>
      </c>
      <c r="H12" s="25">
        <v>563841</v>
      </c>
      <c r="I12" s="25">
        <v>2445</v>
      </c>
      <c r="J12" s="25">
        <v>2657</v>
      </c>
      <c r="K12" s="25">
        <v>5102</v>
      </c>
      <c r="L12" s="25">
        <v>1098</v>
      </c>
      <c r="M12" s="25">
        <v>2641</v>
      </c>
      <c r="N12" s="25">
        <v>3739</v>
      </c>
      <c r="O12" s="25">
        <v>44</v>
      </c>
      <c r="P12" s="25">
        <v>18</v>
      </c>
      <c r="Q12" s="25">
        <v>62</v>
      </c>
      <c r="R12" s="25"/>
      <c r="S12" s="25"/>
      <c r="T12" s="25"/>
      <c r="U12" s="25">
        <v>353619</v>
      </c>
      <c r="V12" s="25">
        <v>346714</v>
      </c>
      <c r="W12" s="25">
        <v>700333</v>
      </c>
    </row>
    <row r="13" spans="1:23" s="55" customFormat="1" ht="22.5" customHeight="1" x14ac:dyDescent="0.35">
      <c r="A13" s="57">
        <v>9</v>
      </c>
      <c r="B13" s="65" t="s">
        <v>20</v>
      </c>
      <c r="C13" s="25">
        <v>826</v>
      </c>
      <c r="D13" s="25">
        <v>1195</v>
      </c>
      <c r="E13" s="25">
        <v>2021</v>
      </c>
      <c r="F13" s="25">
        <v>1964</v>
      </c>
      <c r="G13" s="25">
        <v>966</v>
      </c>
      <c r="H13" s="25">
        <v>2930</v>
      </c>
      <c r="I13" s="25">
        <v>42</v>
      </c>
      <c r="J13" s="25">
        <v>46</v>
      </c>
      <c r="K13" s="25">
        <v>88</v>
      </c>
      <c r="L13" s="25">
        <v>19</v>
      </c>
      <c r="M13" s="25">
        <v>36</v>
      </c>
      <c r="N13" s="25">
        <v>55</v>
      </c>
      <c r="O13" s="25">
        <v>165</v>
      </c>
      <c r="P13" s="25">
        <v>157</v>
      </c>
      <c r="Q13" s="25">
        <v>322</v>
      </c>
      <c r="R13" s="25"/>
      <c r="S13" s="25"/>
      <c r="T13" s="25"/>
      <c r="U13" s="25">
        <v>3016</v>
      </c>
      <c r="V13" s="25">
        <v>2400</v>
      </c>
      <c r="W13" s="25">
        <v>5416</v>
      </c>
    </row>
    <row r="14" spans="1:23" s="55" customFormat="1" ht="22.5" customHeight="1" x14ac:dyDescent="0.35">
      <c r="A14" s="57">
        <v>10</v>
      </c>
      <c r="B14" s="65" t="s">
        <v>21</v>
      </c>
      <c r="C14" s="25">
        <v>8239</v>
      </c>
      <c r="D14" s="25">
        <v>14188</v>
      </c>
      <c r="E14" s="25">
        <v>22427</v>
      </c>
      <c r="F14" s="25">
        <v>33314</v>
      </c>
      <c r="G14" s="25">
        <v>27537</v>
      </c>
      <c r="H14" s="25">
        <v>60851</v>
      </c>
      <c r="I14" s="25">
        <v>418</v>
      </c>
      <c r="J14" s="25">
        <v>209</v>
      </c>
      <c r="K14" s="25">
        <v>627</v>
      </c>
      <c r="L14" s="25">
        <v>2444</v>
      </c>
      <c r="M14" s="25">
        <v>2175</v>
      </c>
      <c r="N14" s="25">
        <v>4619</v>
      </c>
      <c r="O14" s="25">
        <v>4516</v>
      </c>
      <c r="P14" s="25">
        <v>2476</v>
      </c>
      <c r="Q14" s="25">
        <v>6992</v>
      </c>
      <c r="R14" s="25"/>
      <c r="S14" s="25"/>
      <c r="T14" s="25"/>
      <c r="U14" s="25">
        <v>48931</v>
      </c>
      <c r="V14" s="25">
        <v>46585</v>
      </c>
      <c r="W14" s="25">
        <v>95516</v>
      </c>
    </row>
    <row r="15" spans="1:23" s="55" customFormat="1" ht="22.5" customHeight="1" x14ac:dyDescent="0.35">
      <c r="A15" s="57">
        <v>11</v>
      </c>
      <c r="B15" s="65" t="s">
        <v>22</v>
      </c>
      <c r="C15" s="25">
        <v>13788</v>
      </c>
      <c r="D15" s="25">
        <v>19786</v>
      </c>
      <c r="E15" s="25">
        <v>33574</v>
      </c>
      <c r="F15" s="25">
        <v>52041</v>
      </c>
      <c r="G15" s="25">
        <v>42752</v>
      </c>
      <c r="H15" s="25">
        <v>94793</v>
      </c>
      <c r="I15" s="25">
        <v>360</v>
      </c>
      <c r="J15" s="25">
        <v>306</v>
      </c>
      <c r="K15" s="25">
        <v>666</v>
      </c>
      <c r="L15" s="25">
        <v>1471</v>
      </c>
      <c r="M15" s="25">
        <v>3945</v>
      </c>
      <c r="N15" s="25">
        <v>5416</v>
      </c>
      <c r="O15" s="25">
        <v>18</v>
      </c>
      <c r="P15" s="25">
        <v>12</v>
      </c>
      <c r="Q15" s="25">
        <v>30</v>
      </c>
      <c r="R15" s="25"/>
      <c r="S15" s="25"/>
      <c r="T15" s="25"/>
      <c r="U15" s="25">
        <v>67678</v>
      </c>
      <c r="V15" s="25">
        <v>66801</v>
      </c>
      <c r="W15" s="25">
        <v>134479</v>
      </c>
    </row>
    <row r="16" spans="1:23" s="55" customFormat="1" ht="22.5" customHeight="1" x14ac:dyDescent="0.35">
      <c r="A16" s="57">
        <v>12</v>
      </c>
      <c r="B16" s="65" t="s">
        <v>23</v>
      </c>
      <c r="C16" s="25">
        <v>8511</v>
      </c>
      <c r="D16" s="25">
        <v>8400</v>
      </c>
      <c r="E16" s="25">
        <v>16911</v>
      </c>
      <c r="F16" s="25">
        <v>23242</v>
      </c>
      <c r="G16" s="25">
        <v>19770</v>
      </c>
      <c r="H16" s="25">
        <v>43012</v>
      </c>
      <c r="I16" s="25">
        <v>125</v>
      </c>
      <c r="J16" s="25">
        <v>99</v>
      </c>
      <c r="K16" s="25">
        <v>224</v>
      </c>
      <c r="L16" s="25">
        <v>311</v>
      </c>
      <c r="M16" s="25">
        <v>1560</v>
      </c>
      <c r="N16" s="25">
        <v>1871</v>
      </c>
      <c r="O16" s="25"/>
      <c r="P16" s="25"/>
      <c r="Q16" s="25"/>
      <c r="R16" s="25"/>
      <c r="S16" s="25"/>
      <c r="T16" s="25"/>
      <c r="U16" s="25">
        <v>32189</v>
      </c>
      <c r="V16" s="25">
        <v>29829</v>
      </c>
      <c r="W16" s="25">
        <v>62018</v>
      </c>
    </row>
    <row r="17" spans="1:23" s="55" customFormat="1" ht="32.25" customHeight="1" x14ac:dyDescent="0.35">
      <c r="A17" s="57">
        <v>13</v>
      </c>
      <c r="B17" s="63" t="s">
        <v>24</v>
      </c>
      <c r="C17" s="25">
        <v>13100</v>
      </c>
      <c r="D17" s="25">
        <v>26664</v>
      </c>
      <c r="E17" s="25">
        <v>39764</v>
      </c>
      <c r="F17" s="25">
        <v>31769</v>
      </c>
      <c r="G17" s="25">
        <v>30516</v>
      </c>
      <c r="H17" s="25">
        <v>62285</v>
      </c>
      <c r="I17" s="25">
        <v>384</v>
      </c>
      <c r="J17" s="25">
        <v>277</v>
      </c>
      <c r="K17" s="25">
        <v>661</v>
      </c>
      <c r="L17" s="25">
        <v>342</v>
      </c>
      <c r="M17" s="25">
        <v>835</v>
      </c>
      <c r="N17" s="25">
        <v>1177</v>
      </c>
      <c r="O17" s="25">
        <v>7</v>
      </c>
      <c r="P17" s="25">
        <v>540</v>
      </c>
      <c r="Q17" s="25">
        <v>547</v>
      </c>
      <c r="R17" s="25"/>
      <c r="S17" s="25"/>
      <c r="T17" s="25"/>
      <c r="U17" s="25">
        <v>45602</v>
      </c>
      <c r="V17" s="25">
        <v>58832</v>
      </c>
      <c r="W17" s="25">
        <v>104434</v>
      </c>
    </row>
    <row r="18" spans="1:23" s="55" customFormat="1" ht="22.5" customHeight="1" x14ac:dyDescent="0.35">
      <c r="A18" s="57">
        <v>14</v>
      </c>
      <c r="B18" s="65" t="s">
        <v>25</v>
      </c>
      <c r="C18" s="25">
        <v>7907</v>
      </c>
      <c r="D18" s="25">
        <v>10884</v>
      </c>
      <c r="E18" s="25">
        <v>18791</v>
      </c>
      <c r="F18" s="25">
        <v>16878</v>
      </c>
      <c r="G18" s="25">
        <v>9630</v>
      </c>
      <c r="H18" s="25">
        <v>26508</v>
      </c>
      <c r="I18" s="25">
        <v>961</v>
      </c>
      <c r="J18" s="25">
        <v>426</v>
      </c>
      <c r="K18" s="25">
        <v>1387</v>
      </c>
      <c r="L18" s="25">
        <v>131</v>
      </c>
      <c r="M18" s="25">
        <v>477</v>
      </c>
      <c r="N18" s="25">
        <v>608</v>
      </c>
      <c r="O18" s="25"/>
      <c r="P18" s="25"/>
      <c r="Q18" s="25"/>
      <c r="R18" s="25"/>
      <c r="S18" s="25"/>
      <c r="T18" s="25"/>
      <c r="U18" s="25">
        <v>25877</v>
      </c>
      <c r="V18" s="25">
        <v>21417</v>
      </c>
      <c r="W18" s="25">
        <v>47294</v>
      </c>
    </row>
    <row r="19" spans="1:23" s="55" customFormat="1" ht="22.5" customHeight="1" x14ac:dyDescent="0.35">
      <c r="A19" s="57">
        <v>15</v>
      </c>
      <c r="B19" s="65" t="s">
        <v>26</v>
      </c>
      <c r="C19" s="25">
        <v>21019</v>
      </c>
      <c r="D19" s="25">
        <v>34603</v>
      </c>
      <c r="E19" s="25">
        <v>55622</v>
      </c>
      <c r="F19" s="25">
        <v>33218</v>
      </c>
      <c r="G19" s="25">
        <v>22978</v>
      </c>
      <c r="H19" s="25">
        <v>56196</v>
      </c>
      <c r="I19" s="25">
        <v>1217</v>
      </c>
      <c r="J19" s="25">
        <v>965</v>
      </c>
      <c r="K19" s="25">
        <v>2182</v>
      </c>
      <c r="L19" s="25">
        <v>1975</v>
      </c>
      <c r="M19" s="25">
        <v>2244</v>
      </c>
      <c r="N19" s="25">
        <v>4219</v>
      </c>
      <c r="O19" s="25">
        <v>258</v>
      </c>
      <c r="P19" s="25">
        <v>279</v>
      </c>
      <c r="Q19" s="25">
        <v>537</v>
      </c>
      <c r="R19" s="25"/>
      <c r="S19" s="25"/>
      <c r="T19" s="25"/>
      <c r="U19" s="25">
        <v>57687</v>
      </c>
      <c r="V19" s="25">
        <v>61069</v>
      </c>
      <c r="W19" s="25">
        <v>118756</v>
      </c>
    </row>
    <row r="20" spans="1:23" s="55" customFormat="1" ht="22.5" customHeight="1" x14ac:dyDescent="0.35">
      <c r="A20" s="57">
        <v>16</v>
      </c>
      <c r="B20" s="65" t="s">
        <v>27</v>
      </c>
      <c r="C20" s="25">
        <v>23815</v>
      </c>
      <c r="D20" s="25">
        <v>46510</v>
      </c>
      <c r="E20" s="25">
        <v>70325</v>
      </c>
      <c r="F20" s="25">
        <v>68041</v>
      </c>
      <c r="G20" s="25">
        <v>87619</v>
      </c>
      <c r="H20" s="25">
        <v>155660</v>
      </c>
      <c r="I20" s="25">
        <v>481</v>
      </c>
      <c r="J20" s="25">
        <v>739</v>
      </c>
      <c r="K20" s="25">
        <v>1220</v>
      </c>
      <c r="L20" s="25">
        <v>195</v>
      </c>
      <c r="M20" s="25">
        <v>835</v>
      </c>
      <c r="N20" s="25">
        <v>1030</v>
      </c>
      <c r="O20" s="25">
        <v>58</v>
      </c>
      <c r="P20" s="25">
        <v>9</v>
      </c>
      <c r="Q20" s="25">
        <v>67</v>
      </c>
      <c r="R20" s="25"/>
      <c r="S20" s="25"/>
      <c r="T20" s="25"/>
      <c r="U20" s="25">
        <v>92590</v>
      </c>
      <c r="V20" s="25">
        <v>135712</v>
      </c>
      <c r="W20" s="25">
        <v>228302</v>
      </c>
    </row>
    <row r="21" spans="1:23" s="55" customFormat="1" ht="22.5" customHeight="1" x14ac:dyDescent="0.35">
      <c r="A21" s="57">
        <v>17</v>
      </c>
      <c r="B21" s="65" t="s">
        <v>28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spans="1:23" s="55" customFormat="1" ht="22.5" customHeight="1" x14ac:dyDescent="0.35">
      <c r="A22" s="57">
        <v>18</v>
      </c>
      <c r="B22" s="65" t="s">
        <v>82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spans="1:23" s="55" customFormat="1" ht="22.5" customHeight="1" x14ac:dyDescent="0.35">
      <c r="A23" s="57">
        <v>19</v>
      </c>
      <c r="B23" s="65" t="s">
        <v>29</v>
      </c>
      <c r="C23" s="25">
        <v>33169</v>
      </c>
      <c r="D23" s="25">
        <v>27189</v>
      </c>
      <c r="E23" s="25">
        <v>60358</v>
      </c>
      <c r="F23" s="25">
        <v>62032</v>
      </c>
      <c r="G23" s="25">
        <v>42697</v>
      </c>
      <c r="H23" s="25">
        <v>104729</v>
      </c>
      <c r="I23" s="25">
        <v>581</v>
      </c>
      <c r="J23" s="25">
        <v>274</v>
      </c>
      <c r="K23" s="25">
        <v>855</v>
      </c>
      <c r="L23" s="25">
        <v>1793</v>
      </c>
      <c r="M23" s="25">
        <v>2143</v>
      </c>
      <c r="N23" s="25">
        <v>3936</v>
      </c>
      <c r="O23" s="25">
        <v>71</v>
      </c>
      <c r="P23" s="25">
        <v>36</v>
      </c>
      <c r="Q23" s="25">
        <v>107</v>
      </c>
      <c r="R23" s="25"/>
      <c r="S23" s="25"/>
      <c r="T23" s="25"/>
      <c r="U23" s="25">
        <v>97646</v>
      </c>
      <c r="V23" s="25">
        <v>72339</v>
      </c>
      <c r="W23" s="25">
        <v>169985</v>
      </c>
    </row>
    <row r="24" spans="1:23" s="55" customFormat="1" ht="22.5" customHeight="1" x14ac:dyDescent="0.35">
      <c r="A24" s="57">
        <v>20</v>
      </c>
      <c r="B24" s="65" t="s">
        <v>30</v>
      </c>
      <c r="C24" s="25">
        <v>64865</v>
      </c>
      <c r="D24" s="25">
        <v>64837</v>
      </c>
      <c r="E24" s="25">
        <v>129702</v>
      </c>
      <c r="F24" s="25">
        <v>247834</v>
      </c>
      <c r="G24" s="25">
        <v>160309</v>
      </c>
      <c r="H24" s="25">
        <v>408143</v>
      </c>
      <c r="I24" s="25">
        <v>1247</v>
      </c>
      <c r="J24" s="25">
        <v>821</v>
      </c>
      <c r="K24" s="25">
        <v>2068</v>
      </c>
      <c r="L24" s="25">
        <v>14011</v>
      </c>
      <c r="M24" s="25">
        <v>10913</v>
      </c>
      <c r="N24" s="25">
        <v>24924</v>
      </c>
      <c r="O24" s="25">
        <v>6381</v>
      </c>
      <c r="P24" s="25">
        <v>3207</v>
      </c>
      <c r="Q24" s="25">
        <v>9588</v>
      </c>
      <c r="R24" s="25">
        <v>33</v>
      </c>
      <c r="S24" s="25">
        <v>47</v>
      </c>
      <c r="T24" s="25">
        <v>80</v>
      </c>
      <c r="U24" s="25">
        <v>334371</v>
      </c>
      <c r="V24" s="25">
        <v>240134</v>
      </c>
      <c r="W24" s="25">
        <v>574505</v>
      </c>
    </row>
    <row r="25" spans="1:23" s="55" customFormat="1" ht="22.5" customHeight="1" x14ac:dyDescent="0.35">
      <c r="A25" s="57">
        <v>21</v>
      </c>
      <c r="B25" s="65" t="s">
        <v>31</v>
      </c>
      <c r="C25" s="25">
        <v>1516</v>
      </c>
      <c r="D25" s="25">
        <v>1626</v>
      </c>
      <c r="E25" s="25">
        <v>3142</v>
      </c>
      <c r="F25" s="25">
        <v>765</v>
      </c>
      <c r="G25" s="25">
        <v>545</v>
      </c>
      <c r="H25" s="25">
        <v>1310</v>
      </c>
      <c r="I25" s="25">
        <v>23</v>
      </c>
      <c r="J25" s="25">
        <v>23</v>
      </c>
      <c r="K25" s="25">
        <v>46</v>
      </c>
      <c r="L25" s="25">
        <v>25</v>
      </c>
      <c r="M25" s="25">
        <v>59</v>
      </c>
      <c r="N25" s="25">
        <v>84</v>
      </c>
      <c r="O25" s="25"/>
      <c r="P25" s="25"/>
      <c r="Q25" s="25"/>
      <c r="R25" s="25"/>
      <c r="S25" s="25"/>
      <c r="T25" s="25"/>
      <c r="U25" s="25">
        <v>2329</v>
      </c>
      <c r="V25" s="25">
        <v>2253</v>
      </c>
      <c r="W25" s="25">
        <v>4582</v>
      </c>
    </row>
    <row r="26" spans="1:23" s="55" customFormat="1" ht="22.5" customHeight="1" x14ac:dyDescent="0.35">
      <c r="A26" s="57">
        <v>22</v>
      </c>
      <c r="B26" s="65" t="s">
        <v>32</v>
      </c>
      <c r="C26" s="25">
        <v>1823</v>
      </c>
      <c r="D26" s="25">
        <v>3166</v>
      </c>
      <c r="E26" s="25">
        <v>4989</v>
      </c>
      <c r="F26" s="25">
        <v>1110</v>
      </c>
      <c r="G26" s="25">
        <v>1256</v>
      </c>
      <c r="H26" s="25">
        <v>2366</v>
      </c>
      <c r="I26" s="25">
        <v>61</v>
      </c>
      <c r="J26" s="25">
        <v>48</v>
      </c>
      <c r="K26" s="25">
        <v>109</v>
      </c>
      <c r="L26" s="25">
        <v>14</v>
      </c>
      <c r="M26" s="25">
        <v>74</v>
      </c>
      <c r="N26" s="25">
        <v>88</v>
      </c>
      <c r="O26" s="25"/>
      <c r="P26" s="25"/>
      <c r="Q26" s="25"/>
      <c r="R26" s="25"/>
      <c r="S26" s="25"/>
      <c r="T26" s="25"/>
      <c r="U26" s="25">
        <v>3008</v>
      </c>
      <c r="V26" s="25">
        <v>4544</v>
      </c>
      <c r="W26" s="25">
        <v>7552</v>
      </c>
    </row>
    <row r="27" spans="1:23" s="55" customFormat="1" ht="22.5" customHeight="1" x14ac:dyDescent="0.35">
      <c r="A27" s="57">
        <v>23</v>
      </c>
      <c r="B27" s="65" t="s">
        <v>33</v>
      </c>
      <c r="C27" s="25">
        <v>955</v>
      </c>
      <c r="D27" s="25">
        <v>1252</v>
      </c>
      <c r="E27" s="25">
        <v>2207</v>
      </c>
      <c r="F27" s="25">
        <v>1725</v>
      </c>
      <c r="G27" s="25">
        <v>2078</v>
      </c>
      <c r="H27" s="25">
        <v>3803</v>
      </c>
      <c r="I27" s="25">
        <v>16</v>
      </c>
      <c r="J27" s="25">
        <v>17</v>
      </c>
      <c r="K27" s="25">
        <v>33</v>
      </c>
      <c r="L27" s="25">
        <v>96</v>
      </c>
      <c r="M27" s="25">
        <v>210</v>
      </c>
      <c r="N27" s="25">
        <v>306</v>
      </c>
      <c r="O27" s="25">
        <v>151</v>
      </c>
      <c r="P27" s="25">
        <v>151</v>
      </c>
      <c r="Q27" s="25">
        <v>302</v>
      </c>
      <c r="R27" s="25"/>
      <c r="S27" s="25"/>
      <c r="T27" s="25"/>
      <c r="U27" s="25">
        <v>2943</v>
      </c>
      <c r="V27" s="25">
        <v>3708</v>
      </c>
      <c r="W27" s="25">
        <v>6651</v>
      </c>
    </row>
    <row r="28" spans="1:23" s="55" customFormat="1" ht="22.5" customHeight="1" x14ac:dyDescent="0.35">
      <c r="A28" s="57">
        <v>24</v>
      </c>
      <c r="B28" s="65" t="s">
        <v>34</v>
      </c>
      <c r="C28" s="25">
        <v>761</v>
      </c>
      <c r="D28" s="25">
        <v>1687</v>
      </c>
      <c r="E28" s="25">
        <v>2448</v>
      </c>
      <c r="F28" s="25">
        <v>487</v>
      </c>
      <c r="G28" s="25">
        <v>578</v>
      </c>
      <c r="H28" s="25">
        <v>1065</v>
      </c>
      <c r="I28" s="25">
        <v>13</v>
      </c>
      <c r="J28" s="25">
        <v>22</v>
      </c>
      <c r="K28" s="25">
        <v>35</v>
      </c>
      <c r="L28" s="25">
        <v>84</v>
      </c>
      <c r="M28" s="25">
        <v>184</v>
      </c>
      <c r="N28" s="25">
        <v>268</v>
      </c>
      <c r="O28" s="25"/>
      <c r="P28" s="25"/>
      <c r="Q28" s="25"/>
      <c r="R28" s="25"/>
      <c r="S28" s="25"/>
      <c r="T28" s="25"/>
      <c r="U28" s="25">
        <v>1345</v>
      </c>
      <c r="V28" s="25">
        <v>2471</v>
      </c>
      <c r="W28" s="25">
        <v>3816</v>
      </c>
    </row>
    <row r="29" spans="1:23" s="55" customFormat="1" ht="22.5" customHeight="1" x14ac:dyDescent="0.35">
      <c r="A29" s="57">
        <v>25</v>
      </c>
      <c r="B29" s="65" t="s">
        <v>35</v>
      </c>
      <c r="C29" s="25">
        <v>13572</v>
      </c>
      <c r="D29" s="25">
        <v>19380</v>
      </c>
      <c r="E29" s="25">
        <v>32952</v>
      </c>
      <c r="F29" s="25">
        <v>14702</v>
      </c>
      <c r="G29" s="25">
        <v>12918</v>
      </c>
      <c r="H29" s="25">
        <v>27620</v>
      </c>
      <c r="I29" s="25">
        <v>282</v>
      </c>
      <c r="J29" s="25">
        <v>193</v>
      </c>
      <c r="K29" s="25">
        <v>475</v>
      </c>
      <c r="L29" s="25">
        <v>371</v>
      </c>
      <c r="M29" s="25">
        <v>1470</v>
      </c>
      <c r="N29" s="25">
        <v>1841</v>
      </c>
      <c r="O29" s="25"/>
      <c r="P29" s="25"/>
      <c r="Q29" s="25"/>
      <c r="R29" s="25"/>
      <c r="S29" s="25"/>
      <c r="T29" s="25"/>
      <c r="U29" s="25">
        <v>28927</v>
      </c>
      <c r="V29" s="25">
        <v>33961</v>
      </c>
      <c r="W29" s="25">
        <v>62888</v>
      </c>
    </row>
    <row r="30" spans="1:23" s="55" customFormat="1" ht="22.5" customHeight="1" x14ac:dyDescent="0.35">
      <c r="A30" s="57">
        <v>26</v>
      </c>
      <c r="B30" s="65" t="s">
        <v>36</v>
      </c>
      <c r="C30" s="25">
        <v>11039</v>
      </c>
      <c r="D30" s="25">
        <v>10479</v>
      </c>
      <c r="E30" s="25">
        <v>21518</v>
      </c>
      <c r="F30" s="25">
        <v>2883</v>
      </c>
      <c r="G30" s="25">
        <v>1983</v>
      </c>
      <c r="H30" s="25">
        <v>4866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>
        <v>13922</v>
      </c>
      <c r="V30" s="25">
        <v>12462</v>
      </c>
      <c r="W30" s="25">
        <v>26384</v>
      </c>
    </row>
    <row r="31" spans="1:23" s="55" customFormat="1" ht="22.5" customHeight="1" x14ac:dyDescent="0.35">
      <c r="A31" s="57">
        <v>27</v>
      </c>
      <c r="B31" s="65" t="s">
        <v>37</v>
      </c>
      <c r="C31" s="25">
        <v>15848</v>
      </c>
      <c r="D31" s="25">
        <v>14750</v>
      </c>
      <c r="E31" s="25">
        <v>30598</v>
      </c>
      <c r="F31" s="25">
        <v>24464</v>
      </c>
      <c r="G31" s="25">
        <v>16099</v>
      </c>
      <c r="H31" s="25">
        <v>40563</v>
      </c>
      <c r="I31" s="25">
        <v>157</v>
      </c>
      <c r="J31" s="25">
        <v>121</v>
      </c>
      <c r="K31" s="25">
        <v>278</v>
      </c>
      <c r="L31" s="25">
        <v>2740</v>
      </c>
      <c r="M31" s="25">
        <v>9190</v>
      </c>
      <c r="N31" s="25">
        <v>11930</v>
      </c>
      <c r="O31" s="25">
        <v>1535</v>
      </c>
      <c r="P31" s="25">
        <v>2323</v>
      </c>
      <c r="Q31" s="25">
        <v>3858</v>
      </c>
      <c r="R31" s="25"/>
      <c r="S31" s="25"/>
      <c r="T31" s="25"/>
      <c r="U31" s="25">
        <v>44744</v>
      </c>
      <c r="V31" s="25">
        <v>42483</v>
      </c>
      <c r="W31" s="25">
        <v>87227</v>
      </c>
    </row>
    <row r="32" spans="1:23" s="55" customFormat="1" ht="22.5" customHeight="1" x14ac:dyDescent="0.35">
      <c r="A32" s="57">
        <v>28</v>
      </c>
      <c r="B32" s="65" t="s">
        <v>38</v>
      </c>
      <c r="C32" s="25">
        <v>43157</v>
      </c>
      <c r="D32" s="25">
        <v>32039</v>
      </c>
      <c r="E32" s="25">
        <v>75196</v>
      </c>
      <c r="F32" s="25">
        <v>48971</v>
      </c>
      <c r="G32" s="25">
        <v>33296</v>
      </c>
      <c r="H32" s="25">
        <v>82267</v>
      </c>
      <c r="I32" s="25">
        <v>492</v>
      </c>
      <c r="J32" s="25">
        <v>350</v>
      </c>
      <c r="K32" s="25">
        <v>842</v>
      </c>
      <c r="L32" s="25">
        <v>12309</v>
      </c>
      <c r="M32" s="25">
        <v>13441</v>
      </c>
      <c r="N32" s="25">
        <v>25750</v>
      </c>
      <c r="O32" s="25">
        <v>1</v>
      </c>
      <c r="P32" s="25">
        <v>100</v>
      </c>
      <c r="Q32" s="25">
        <v>101</v>
      </c>
      <c r="R32" s="25"/>
      <c r="S32" s="25"/>
      <c r="T32" s="25"/>
      <c r="U32" s="25">
        <v>104930</v>
      </c>
      <c r="V32" s="25">
        <v>79226</v>
      </c>
      <c r="W32" s="25">
        <v>184156</v>
      </c>
    </row>
    <row r="33" spans="1:23" s="55" customFormat="1" ht="22.5" customHeight="1" x14ac:dyDescent="0.35">
      <c r="A33" s="57">
        <v>29</v>
      </c>
      <c r="B33" s="65" t="s">
        <v>39</v>
      </c>
      <c r="C33" s="25">
        <v>697</v>
      </c>
      <c r="D33" s="25">
        <v>1421</v>
      </c>
      <c r="E33" s="25">
        <v>2118</v>
      </c>
      <c r="F33" s="25">
        <v>1132</v>
      </c>
      <c r="G33" s="25">
        <v>1959</v>
      </c>
      <c r="H33" s="25">
        <v>3091</v>
      </c>
      <c r="I33" s="25">
        <v>13</v>
      </c>
      <c r="J33" s="25">
        <v>8</v>
      </c>
      <c r="K33" s="25">
        <v>21</v>
      </c>
      <c r="L33" s="25">
        <v>7</v>
      </c>
      <c r="M33" s="25">
        <v>50</v>
      </c>
      <c r="N33" s="25">
        <v>57</v>
      </c>
      <c r="O33" s="25"/>
      <c r="P33" s="25"/>
      <c r="Q33" s="25"/>
      <c r="R33" s="25"/>
      <c r="S33" s="25"/>
      <c r="T33" s="25"/>
      <c r="U33" s="25">
        <v>1849</v>
      </c>
      <c r="V33" s="25">
        <v>3438</v>
      </c>
      <c r="W33" s="25">
        <v>5287</v>
      </c>
    </row>
    <row r="34" spans="1:23" s="55" customFormat="1" ht="22.5" customHeight="1" x14ac:dyDescent="0.35">
      <c r="A34" s="57">
        <v>30</v>
      </c>
      <c r="B34" s="65" t="s">
        <v>40</v>
      </c>
      <c r="C34" s="25">
        <v>55442</v>
      </c>
      <c r="D34" s="25">
        <v>74837</v>
      </c>
      <c r="E34" s="25">
        <v>130279</v>
      </c>
      <c r="F34" s="25">
        <v>107823</v>
      </c>
      <c r="G34" s="25">
        <v>90454</v>
      </c>
      <c r="H34" s="25">
        <v>198277</v>
      </c>
      <c r="I34" s="25">
        <v>691</v>
      </c>
      <c r="J34" s="25">
        <v>556</v>
      </c>
      <c r="K34" s="25">
        <v>1247</v>
      </c>
      <c r="L34" s="25">
        <v>2284</v>
      </c>
      <c r="M34" s="25">
        <v>4435</v>
      </c>
      <c r="N34" s="25">
        <v>6719</v>
      </c>
      <c r="O34" s="25">
        <v>2735</v>
      </c>
      <c r="P34" s="25">
        <v>16937</v>
      </c>
      <c r="Q34" s="25">
        <v>19672</v>
      </c>
      <c r="R34" s="25">
        <v>176</v>
      </c>
      <c r="S34" s="25">
        <v>50</v>
      </c>
      <c r="T34" s="25">
        <v>226</v>
      </c>
      <c r="U34" s="25">
        <v>169151</v>
      </c>
      <c r="V34" s="25">
        <v>187269</v>
      </c>
      <c r="W34" s="25">
        <v>356420</v>
      </c>
    </row>
    <row r="35" spans="1:23" s="55" customFormat="1" ht="22.5" customHeight="1" x14ac:dyDescent="0.35">
      <c r="A35" s="57">
        <v>31</v>
      </c>
      <c r="B35" s="65" t="s">
        <v>41</v>
      </c>
      <c r="C35" s="25">
        <v>23719</v>
      </c>
      <c r="D35" s="25">
        <v>33418</v>
      </c>
      <c r="E35" s="25">
        <v>57137</v>
      </c>
      <c r="F35" s="25">
        <v>62056</v>
      </c>
      <c r="G35" s="25">
        <v>45036</v>
      </c>
      <c r="H35" s="25">
        <v>107092</v>
      </c>
      <c r="I35" s="25">
        <v>3982</v>
      </c>
      <c r="J35" s="25">
        <v>3915</v>
      </c>
      <c r="K35" s="25">
        <v>7897</v>
      </c>
      <c r="L35" s="25">
        <v>775</v>
      </c>
      <c r="M35" s="25">
        <v>797</v>
      </c>
      <c r="N35" s="25">
        <v>1572</v>
      </c>
      <c r="O35" s="25">
        <v>301</v>
      </c>
      <c r="P35" s="25">
        <v>547</v>
      </c>
      <c r="Q35" s="25">
        <v>848</v>
      </c>
      <c r="R35" s="25"/>
      <c r="S35" s="25"/>
      <c r="T35" s="25"/>
      <c r="U35" s="25">
        <v>90833</v>
      </c>
      <c r="V35" s="25">
        <v>83713</v>
      </c>
      <c r="W35" s="25">
        <v>174546</v>
      </c>
    </row>
    <row r="36" spans="1:23" s="55" customFormat="1" ht="30" x14ac:dyDescent="0.35">
      <c r="A36" s="57">
        <v>32</v>
      </c>
      <c r="B36" s="63" t="s">
        <v>58</v>
      </c>
      <c r="C36" s="25"/>
      <c r="D36" s="25"/>
      <c r="E36" s="25"/>
      <c r="F36" s="25"/>
      <c r="G36" s="25"/>
      <c r="H36" s="25"/>
      <c r="I36" s="25">
        <v>7</v>
      </c>
      <c r="J36" s="25">
        <v>4</v>
      </c>
      <c r="K36" s="25">
        <v>11</v>
      </c>
      <c r="L36" s="25">
        <v>20</v>
      </c>
      <c r="M36" s="25">
        <v>4</v>
      </c>
      <c r="N36" s="25">
        <v>24</v>
      </c>
      <c r="O36" s="25"/>
      <c r="P36" s="25"/>
      <c r="Q36" s="25"/>
      <c r="R36" s="25"/>
      <c r="S36" s="25"/>
      <c r="T36" s="25"/>
      <c r="U36" s="25">
        <v>27</v>
      </c>
      <c r="V36" s="25">
        <v>8</v>
      </c>
      <c r="W36" s="25">
        <v>35</v>
      </c>
    </row>
    <row r="37" spans="1:23" s="55" customFormat="1" ht="22.5" customHeight="1" x14ac:dyDescent="0.35">
      <c r="A37" s="57">
        <v>33</v>
      </c>
      <c r="B37" s="65" t="s">
        <v>42</v>
      </c>
      <c r="C37" s="25">
        <v>2102</v>
      </c>
      <c r="D37" s="25">
        <v>2300</v>
      </c>
      <c r="E37" s="25">
        <v>4402</v>
      </c>
      <c r="F37" s="25">
        <v>1236</v>
      </c>
      <c r="G37" s="25">
        <v>961</v>
      </c>
      <c r="H37" s="25">
        <v>2197</v>
      </c>
      <c r="I37" s="25">
        <v>42</v>
      </c>
      <c r="J37" s="25">
        <v>13</v>
      </c>
      <c r="K37" s="25">
        <v>55</v>
      </c>
      <c r="L37" s="25">
        <v>10</v>
      </c>
      <c r="M37" s="25">
        <v>25</v>
      </c>
      <c r="N37" s="25">
        <v>35</v>
      </c>
      <c r="O37" s="25"/>
      <c r="P37" s="25"/>
      <c r="Q37" s="25"/>
      <c r="R37" s="25"/>
      <c r="S37" s="25"/>
      <c r="T37" s="25"/>
      <c r="U37" s="25">
        <v>3390</v>
      </c>
      <c r="V37" s="25">
        <v>3299</v>
      </c>
      <c r="W37" s="25">
        <v>6689</v>
      </c>
    </row>
    <row r="38" spans="1:23" s="55" customFormat="1" ht="22.5" customHeight="1" x14ac:dyDescent="0.35">
      <c r="A38" s="57">
        <v>34</v>
      </c>
      <c r="B38" s="65" t="s">
        <v>43</v>
      </c>
      <c r="C38" s="25">
        <v>36455</v>
      </c>
      <c r="D38" s="25">
        <v>28774</v>
      </c>
      <c r="E38" s="25">
        <v>65229</v>
      </c>
      <c r="F38" s="25">
        <v>57929</v>
      </c>
      <c r="G38" s="25">
        <v>26848</v>
      </c>
      <c r="H38" s="25">
        <v>84777</v>
      </c>
      <c r="I38" s="25">
        <v>4106</v>
      </c>
      <c r="J38" s="25">
        <v>2412</v>
      </c>
      <c r="K38" s="25">
        <v>6518</v>
      </c>
      <c r="L38" s="25">
        <v>1365</v>
      </c>
      <c r="M38" s="25">
        <v>1615</v>
      </c>
      <c r="N38" s="25">
        <v>2980</v>
      </c>
      <c r="O38" s="25">
        <v>11923</v>
      </c>
      <c r="P38" s="25">
        <v>9517</v>
      </c>
      <c r="Q38" s="25">
        <v>21440</v>
      </c>
      <c r="R38" s="25"/>
      <c r="S38" s="25"/>
      <c r="T38" s="25"/>
      <c r="U38" s="25">
        <v>111778</v>
      </c>
      <c r="V38" s="25">
        <v>69166</v>
      </c>
      <c r="W38" s="25">
        <v>180944</v>
      </c>
    </row>
    <row r="39" spans="1:23" s="55" customFormat="1" ht="22.5" customHeight="1" x14ac:dyDescent="0.35">
      <c r="A39" s="57">
        <v>35</v>
      </c>
      <c r="B39" s="65" t="s">
        <v>44</v>
      </c>
      <c r="C39" s="25">
        <v>17104</v>
      </c>
      <c r="D39" s="25">
        <v>27317</v>
      </c>
      <c r="E39" s="25">
        <v>44421</v>
      </c>
      <c r="F39" s="25">
        <v>37762</v>
      </c>
      <c r="G39" s="25">
        <v>35706</v>
      </c>
      <c r="H39" s="25">
        <v>73468</v>
      </c>
      <c r="I39" s="25">
        <v>191</v>
      </c>
      <c r="J39" s="25">
        <v>121</v>
      </c>
      <c r="K39" s="25">
        <v>312</v>
      </c>
      <c r="L39" s="25">
        <v>1046</v>
      </c>
      <c r="M39" s="25">
        <v>455</v>
      </c>
      <c r="N39" s="25">
        <v>1501</v>
      </c>
      <c r="O39" s="25"/>
      <c r="P39" s="25"/>
      <c r="Q39" s="25"/>
      <c r="R39" s="25"/>
      <c r="S39" s="25"/>
      <c r="T39" s="25"/>
      <c r="U39" s="25">
        <v>56103</v>
      </c>
      <c r="V39" s="25">
        <v>63599</v>
      </c>
      <c r="W39" s="25">
        <v>119702</v>
      </c>
    </row>
    <row r="40" spans="1:23" s="55" customFormat="1" ht="22.5" customHeight="1" x14ac:dyDescent="0.35">
      <c r="A40" s="57">
        <v>36</v>
      </c>
      <c r="B40" s="65" t="s">
        <v>45</v>
      </c>
      <c r="C40" s="25">
        <v>49907</v>
      </c>
      <c r="D40" s="25">
        <v>85114</v>
      </c>
      <c r="E40" s="25">
        <v>135021</v>
      </c>
      <c r="F40" s="25">
        <v>142286</v>
      </c>
      <c r="G40" s="25">
        <v>91603</v>
      </c>
      <c r="H40" s="25">
        <v>233889</v>
      </c>
      <c r="I40" s="25">
        <v>609</v>
      </c>
      <c r="J40" s="25">
        <v>921</v>
      </c>
      <c r="K40" s="25">
        <v>1530</v>
      </c>
      <c r="L40" s="25">
        <v>165</v>
      </c>
      <c r="M40" s="25">
        <v>323</v>
      </c>
      <c r="N40" s="25">
        <v>488</v>
      </c>
      <c r="O40" s="25">
        <v>1076</v>
      </c>
      <c r="P40" s="25">
        <v>529</v>
      </c>
      <c r="Q40" s="25">
        <v>1605</v>
      </c>
      <c r="R40" s="25"/>
      <c r="S40" s="25"/>
      <c r="T40" s="25"/>
      <c r="U40" s="25">
        <v>194043</v>
      </c>
      <c r="V40" s="25">
        <v>178490</v>
      </c>
      <c r="W40" s="25">
        <v>372533</v>
      </c>
    </row>
    <row r="41" spans="1:23" s="58" customFormat="1" ht="22.5" customHeight="1" x14ac:dyDescent="0.35">
      <c r="A41" s="706" t="s">
        <v>46</v>
      </c>
      <c r="B41" s="706"/>
      <c r="C41" s="41">
        <v>602753</v>
      </c>
      <c r="D41" s="41">
        <v>774775</v>
      </c>
      <c r="E41" s="41">
        <v>1377528</v>
      </c>
      <c r="F41" s="41">
        <v>1585843</v>
      </c>
      <c r="G41" s="41">
        <v>1217346</v>
      </c>
      <c r="H41" s="41">
        <v>2803189</v>
      </c>
      <c r="I41" s="41">
        <v>22256</v>
      </c>
      <c r="J41" s="41">
        <v>17762</v>
      </c>
      <c r="K41" s="41">
        <v>40018</v>
      </c>
      <c r="L41" s="41">
        <v>49515</v>
      </c>
      <c r="M41" s="41">
        <v>66859</v>
      </c>
      <c r="N41" s="41">
        <v>116374</v>
      </c>
      <c r="O41" s="41">
        <v>29472</v>
      </c>
      <c r="P41" s="41">
        <v>37033</v>
      </c>
      <c r="Q41" s="41">
        <v>66505</v>
      </c>
      <c r="R41" s="41">
        <v>209</v>
      </c>
      <c r="S41" s="41">
        <v>97</v>
      </c>
      <c r="T41" s="41">
        <v>306</v>
      </c>
      <c r="U41" s="41">
        <v>2290048</v>
      </c>
      <c r="V41" s="41">
        <v>2113872</v>
      </c>
      <c r="W41" s="41">
        <v>4403920</v>
      </c>
    </row>
    <row r="42" spans="1:23" x14ac:dyDescent="0.4">
      <c r="E42" s="59"/>
      <c r="H42" s="59"/>
    </row>
  </sheetData>
  <mergeCells count="13">
    <mergeCell ref="A41:B41"/>
    <mergeCell ref="A2:A3"/>
    <mergeCell ref="B2:B3"/>
    <mergeCell ref="C2:E2"/>
    <mergeCell ref="F2:H2"/>
    <mergeCell ref="O1:W1"/>
    <mergeCell ref="C1:H1"/>
    <mergeCell ref="I1:N1"/>
    <mergeCell ref="O2:Q2"/>
    <mergeCell ref="R2:T2"/>
    <mergeCell ref="U2:W2"/>
    <mergeCell ref="I2:K2"/>
    <mergeCell ref="L2:N2"/>
  </mergeCells>
  <pageMargins left="0.47244094488188981" right="0.15748031496062992" top="0.39370078740157483" bottom="0.39370078740157483" header="0.31496062992125984" footer="0.19685039370078741"/>
  <pageSetup paperSize="9" scale="80" firstPageNumber="15" orientation="portrait" r:id="rId1"/>
  <headerFooter>
    <oddFooter>&amp;L&amp;"Arial,Italic"&amp;9AISHE 2023-24&amp;RT-6b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095E-BA13-422F-942C-75B74F5B2F96}">
  <dimension ref="A1:T41"/>
  <sheetViews>
    <sheetView view="pageBreakPreview" zoomScaleNormal="80" zoomScaleSheetLayoutView="100" workbookViewId="0">
      <pane xSplit="2" ySplit="3" topLeftCell="C37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9.453125" defaultRowHeight="18" x14ac:dyDescent="0.4"/>
  <cols>
    <col min="1" max="1" width="7" style="60" customWidth="1"/>
    <col min="2" max="2" width="23.453125" style="60" customWidth="1"/>
    <col min="3" max="3" width="9" style="60" bestFit="1" customWidth="1"/>
    <col min="4" max="8" width="10.81640625" style="60" bestFit="1" customWidth="1"/>
    <col min="9" max="9" width="7.54296875" style="60" bestFit="1" customWidth="1"/>
    <col min="10" max="10" width="10" style="60" bestFit="1" customWidth="1"/>
    <col min="11" max="11" width="7.7265625" style="60" bestFit="1" customWidth="1"/>
    <col min="12" max="17" width="9.453125" style="60" bestFit="1" customWidth="1"/>
    <col min="18" max="20" width="10.1796875" style="60" customWidth="1"/>
    <col min="21" max="16384" width="9.453125" style="60"/>
  </cols>
  <sheetData>
    <row r="1" spans="1:20" ht="28.5" customHeight="1" x14ac:dyDescent="0.4">
      <c r="A1" s="334"/>
      <c r="B1" s="636"/>
      <c r="C1" s="708" t="s">
        <v>988</v>
      </c>
      <c r="D1" s="708"/>
      <c r="E1" s="708"/>
      <c r="F1" s="708"/>
      <c r="G1" s="708"/>
      <c r="H1" s="708"/>
      <c r="I1" s="708"/>
      <c r="J1" s="708"/>
      <c r="K1" s="708"/>
      <c r="L1" s="708" t="str">
        <f>C1</f>
        <v>Table 6(c)  States/UTs-wise Enrolment through Private Mode at various levels</v>
      </c>
      <c r="M1" s="708"/>
      <c r="N1" s="708"/>
      <c r="O1" s="708"/>
      <c r="P1" s="708"/>
      <c r="Q1" s="708"/>
      <c r="R1" s="708"/>
      <c r="S1" s="708"/>
      <c r="T1" s="708"/>
    </row>
    <row r="2" spans="1:20" s="61" customFormat="1" ht="17.5" x14ac:dyDescent="0.35">
      <c r="A2" s="709" t="s">
        <v>94</v>
      </c>
      <c r="B2" s="711" t="s">
        <v>885</v>
      </c>
      <c r="C2" s="712" t="s">
        <v>97</v>
      </c>
      <c r="D2" s="713"/>
      <c r="E2" s="714"/>
      <c r="F2" s="712" t="s">
        <v>98</v>
      </c>
      <c r="G2" s="713"/>
      <c r="H2" s="714"/>
      <c r="I2" s="712" t="s">
        <v>99</v>
      </c>
      <c r="J2" s="713"/>
      <c r="K2" s="714"/>
      <c r="L2" s="712" t="s">
        <v>100</v>
      </c>
      <c r="M2" s="713"/>
      <c r="N2" s="714"/>
      <c r="O2" s="712" t="s">
        <v>101</v>
      </c>
      <c r="P2" s="713"/>
      <c r="Q2" s="714"/>
      <c r="R2" s="712" t="s">
        <v>12</v>
      </c>
      <c r="S2" s="713"/>
      <c r="T2" s="714"/>
    </row>
    <row r="3" spans="1:20" s="62" customFormat="1" x14ac:dyDescent="0.35">
      <c r="A3" s="710"/>
      <c r="B3" s="711"/>
      <c r="C3" s="23" t="s">
        <v>103</v>
      </c>
      <c r="D3" s="23" t="s">
        <v>104</v>
      </c>
      <c r="E3" s="23" t="s">
        <v>89</v>
      </c>
      <c r="F3" s="23" t="s">
        <v>103</v>
      </c>
      <c r="G3" s="23" t="s">
        <v>104</v>
      </c>
      <c r="H3" s="23" t="s">
        <v>89</v>
      </c>
      <c r="I3" s="23" t="s">
        <v>103</v>
      </c>
      <c r="J3" s="23" t="s">
        <v>104</v>
      </c>
      <c r="K3" s="23" t="s">
        <v>89</v>
      </c>
      <c r="L3" s="23" t="s">
        <v>103</v>
      </c>
      <c r="M3" s="23" t="s">
        <v>104</v>
      </c>
      <c r="N3" s="23" t="s">
        <v>89</v>
      </c>
      <c r="O3" s="23" t="s">
        <v>103</v>
      </c>
      <c r="P3" s="23" t="s">
        <v>104</v>
      </c>
      <c r="Q3" s="23" t="s">
        <v>89</v>
      </c>
      <c r="R3" s="23" t="s">
        <v>103</v>
      </c>
      <c r="S3" s="23" t="s">
        <v>104</v>
      </c>
      <c r="T3" s="23" t="s">
        <v>89</v>
      </c>
    </row>
    <row r="4" spans="1:20" s="333" customFormat="1" ht="11.5" x14ac:dyDescent="0.35">
      <c r="A4" s="56">
        <v>1</v>
      </c>
      <c r="B4" s="56">
        <v>2</v>
      </c>
      <c r="C4" s="56">
        <v>3</v>
      </c>
      <c r="D4" s="56">
        <v>4</v>
      </c>
      <c r="E4" s="56">
        <v>5</v>
      </c>
      <c r="F4" s="56">
        <v>6</v>
      </c>
      <c r="G4" s="56">
        <v>7</v>
      </c>
      <c r="H4" s="56">
        <v>8</v>
      </c>
      <c r="I4" s="56">
        <v>9</v>
      </c>
      <c r="J4" s="56">
        <v>10</v>
      </c>
      <c r="K4" s="56">
        <v>11</v>
      </c>
      <c r="L4" s="56">
        <v>12</v>
      </c>
      <c r="M4" s="56">
        <v>13</v>
      </c>
      <c r="N4" s="56">
        <v>14</v>
      </c>
      <c r="O4" s="56">
        <v>15</v>
      </c>
      <c r="P4" s="56">
        <v>16</v>
      </c>
      <c r="Q4" s="56">
        <v>17</v>
      </c>
      <c r="R4" s="56">
        <v>18</v>
      </c>
      <c r="S4" s="56">
        <v>19</v>
      </c>
      <c r="T4" s="56">
        <v>20</v>
      </c>
    </row>
    <row r="5" spans="1:20" ht="24.75" customHeight="1" x14ac:dyDescent="0.4">
      <c r="A5" s="37">
        <v>1</v>
      </c>
      <c r="B5" s="63" t="s">
        <v>56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</row>
    <row r="6" spans="1:20" ht="24.75" customHeight="1" x14ac:dyDescent="0.4">
      <c r="A6" s="37">
        <v>2</v>
      </c>
      <c r="B6" s="65" t="s">
        <v>13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</row>
    <row r="7" spans="1:20" ht="24.75" customHeight="1" x14ac:dyDescent="0.4">
      <c r="A7" s="37">
        <v>3</v>
      </c>
      <c r="B7" s="65" t="s">
        <v>14</v>
      </c>
      <c r="C7" s="64">
        <v>146</v>
      </c>
      <c r="D7" s="64">
        <v>60</v>
      </c>
      <c r="E7" s="64">
        <v>206</v>
      </c>
      <c r="F7" s="64">
        <v>437</v>
      </c>
      <c r="G7" s="64">
        <v>164</v>
      </c>
      <c r="H7" s="64">
        <v>601</v>
      </c>
      <c r="I7" s="64"/>
      <c r="J7" s="64"/>
      <c r="K7" s="64"/>
      <c r="L7" s="64"/>
      <c r="M7" s="64"/>
      <c r="N7" s="64"/>
      <c r="O7" s="64"/>
      <c r="P7" s="64"/>
      <c r="Q7" s="64"/>
      <c r="R7" s="64">
        <v>583</v>
      </c>
      <c r="S7" s="64">
        <v>224</v>
      </c>
      <c r="T7" s="64">
        <v>807</v>
      </c>
    </row>
    <row r="8" spans="1:20" ht="24.75" customHeight="1" x14ac:dyDescent="0.4">
      <c r="A8" s="37">
        <v>4</v>
      </c>
      <c r="B8" s="65" t="s">
        <v>15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</row>
    <row r="9" spans="1:20" ht="24.75" customHeight="1" x14ac:dyDescent="0.4">
      <c r="A9" s="37">
        <v>5</v>
      </c>
      <c r="B9" s="63" t="s">
        <v>16</v>
      </c>
      <c r="C9" s="64">
        <v>43</v>
      </c>
      <c r="D9" s="64">
        <v>40</v>
      </c>
      <c r="E9" s="64">
        <v>83</v>
      </c>
      <c r="F9" s="64">
        <v>73</v>
      </c>
      <c r="G9" s="64">
        <v>38</v>
      </c>
      <c r="H9" s="64">
        <v>111</v>
      </c>
      <c r="I9" s="64"/>
      <c r="J9" s="64"/>
      <c r="K9" s="64"/>
      <c r="L9" s="64"/>
      <c r="M9" s="64"/>
      <c r="N9" s="64"/>
      <c r="O9" s="64"/>
      <c r="P9" s="64"/>
      <c r="Q9" s="64"/>
      <c r="R9" s="64">
        <v>116</v>
      </c>
      <c r="S9" s="64">
        <v>78</v>
      </c>
      <c r="T9" s="64">
        <v>194</v>
      </c>
    </row>
    <row r="10" spans="1:20" ht="24.75" customHeight="1" x14ac:dyDescent="0.4">
      <c r="A10" s="37">
        <v>6</v>
      </c>
      <c r="B10" s="65" t="s">
        <v>17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</row>
    <row r="11" spans="1:20" ht="24.75" customHeight="1" x14ac:dyDescent="0.4">
      <c r="A11" s="37">
        <v>7</v>
      </c>
      <c r="B11" s="65" t="s">
        <v>18</v>
      </c>
      <c r="C11" s="64">
        <v>24186</v>
      </c>
      <c r="D11" s="64">
        <v>34433</v>
      </c>
      <c r="E11" s="64">
        <v>58619</v>
      </c>
      <c r="F11" s="64">
        <v>68337</v>
      </c>
      <c r="G11" s="64">
        <v>70703</v>
      </c>
      <c r="H11" s="64">
        <v>139040</v>
      </c>
      <c r="I11" s="64"/>
      <c r="J11" s="64"/>
      <c r="K11" s="64"/>
      <c r="L11" s="64"/>
      <c r="M11" s="64"/>
      <c r="N11" s="64"/>
      <c r="O11" s="64"/>
      <c r="P11" s="64"/>
      <c r="Q11" s="64"/>
      <c r="R11" s="64">
        <v>92523</v>
      </c>
      <c r="S11" s="64">
        <v>105136</v>
      </c>
      <c r="T11" s="64">
        <v>197659</v>
      </c>
    </row>
    <row r="12" spans="1:20" ht="24.75" customHeight="1" x14ac:dyDescent="0.4">
      <c r="A12" s="37">
        <v>8</v>
      </c>
      <c r="B12" s="65" t="s">
        <v>19</v>
      </c>
      <c r="C12" s="64">
        <v>227</v>
      </c>
      <c r="D12" s="64">
        <v>212</v>
      </c>
      <c r="E12" s="64">
        <v>439</v>
      </c>
      <c r="F12" s="64">
        <v>865</v>
      </c>
      <c r="G12" s="64">
        <v>1173</v>
      </c>
      <c r="H12" s="64">
        <v>2038</v>
      </c>
      <c r="I12" s="64"/>
      <c r="J12" s="64"/>
      <c r="K12" s="64"/>
      <c r="L12" s="64"/>
      <c r="M12" s="64"/>
      <c r="N12" s="64"/>
      <c r="O12" s="64">
        <v>1</v>
      </c>
      <c r="P12" s="64"/>
      <c r="Q12" s="64">
        <v>1</v>
      </c>
      <c r="R12" s="64">
        <v>1093</v>
      </c>
      <c r="S12" s="64">
        <v>1385</v>
      </c>
      <c r="T12" s="64">
        <v>2478</v>
      </c>
    </row>
    <row r="13" spans="1:20" ht="24.75" customHeight="1" x14ac:dyDescent="0.4">
      <c r="A13" s="37">
        <v>9</v>
      </c>
      <c r="B13" s="65" t="s">
        <v>20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</row>
    <row r="14" spans="1:20" ht="24.75" customHeight="1" x14ac:dyDescent="0.4">
      <c r="A14" s="37">
        <v>10</v>
      </c>
      <c r="B14" s="65" t="s">
        <v>21</v>
      </c>
      <c r="C14" s="64">
        <v>9120</v>
      </c>
      <c r="D14" s="64">
        <v>13441</v>
      </c>
      <c r="E14" s="64">
        <v>22561</v>
      </c>
      <c r="F14" s="64">
        <v>19185</v>
      </c>
      <c r="G14" s="64">
        <v>16123</v>
      </c>
      <c r="H14" s="64">
        <v>35308</v>
      </c>
      <c r="I14" s="64"/>
      <c r="J14" s="64"/>
      <c r="K14" s="64"/>
      <c r="L14" s="64"/>
      <c r="M14" s="64"/>
      <c r="N14" s="64"/>
      <c r="O14" s="64"/>
      <c r="P14" s="64"/>
      <c r="Q14" s="64"/>
      <c r="R14" s="64">
        <v>28305</v>
      </c>
      <c r="S14" s="64">
        <v>29564</v>
      </c>
      <c r="T14" s="64">
        <v>57869</v>
      </c>
    </row>
    <row r="15" spans="1:20" ht="24.75" customHeight="1" x14ac:dyDescent="0.4">
      <c r="A15" s="37">
        <v>11</v>
      </c>
      <c r="B15" s="65" t="s">
        <v>22</v>
      </c>
      <c r="C15" s="64">
        <v>760</v>
      </c>
      <c r="D15" s="64">
        <v>7120</v>
      </c>
      <c r="E15" s="64">
        <v>7880</v>
      </c>
      <c r="F15" s="64">
        <v>1648</v>
      </c>
      <c r="G15" s="64">
        <v>11647</v>
      </c>
      <c r="H15" s="64">
        <v>13295</v>
      </c>
      <c r="I15" s="64"/>
      <c r="J15" s="64"/>
      <c r="K15" s="64"/>
      <c r="L15" s="64"/>
      <c r="M15" s="64"/>
      <c r="N15" s="64"/>
      <c r="O15" s="64"/>
      <c r="P15" s="64"/>
      <c r="Q15" s="64"/>
      <c r="R15" s="64">
        <v>2408</v>
      </c>
      <c r="S15" s="64">
        <v>18767</v>
      </c>
      <c r="T15" s="64">
        <v>21175</v>
      </c>
    </row>
    <row r="16" spans="1:20" ht="24.75" customHeight="1" x14ac:dyDescent="0.4">
      <c r="A16" s="37">
        <v>12</v>
      </c>
      <c r="B16" s="65" t="s">
        <v>23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</row>
    <row r="17" spans="1:20" ht="24.75" customHeight="1" x14ac:dyDescent="0.4">
      <c r="A17" s="37">
        <v>13</v>
      </c>
      <c r="B17" s="65" t="s">
        <v>24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</row>
    <row r="18" spans="1:20" ht="24.75" customHeight="1" x14ac:dyDescent="0.4">
      <c r="A18" s="37">
        <v>14</v>
      </c>
      <c r="B18" s="65" t="s">
        <v>25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</row>
    <row r="19" spans="1:20" ht="24.75" customHeight="1" x14ac:dyDescent="0.4">
      <c r="A19" s="37">
        <v>15</v>
      </c>
      <c r="B19" s="65" t="s">
        <v>26</v>
      </c>
      <c r="C19" s="64">
        <v>10</v>
      </c>
      <c r="D19" s="64">
        <v>24</v>
      </c>
      <c r="E19" s="64">
        <v>34</v>
      </c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>
        <v>10</v>
      </c>
      <c r="S19" s="64">
        <v>24</v>
      </c>
      <c r="T19" s="64">
        <v>34</v>
      </c>
    </row>
    <row r="20" spans="1:20" ht="24.75" customHeight="1" x14ac:dyDescent="0.4">
      <c r="A20" s="37">
        <v>16</v>
      </c>
      <c r="B20" s="65" t="s">
        <v>27</v>
      </c>
      <c r="C20" s="64">
        <v>808</v>
      </c>
      <c r="D20" s="64">
        <v>607</v>
      </c>
      <c r="E20" s="64">
        <v>1415</v>
      </c>
      <c r="F20" s="64">
        <v>10079</v>
      </c>
      <c r="G20" s="64">
        <v>13996</v>
      </c>
      <c r="H20" s="64">
        <v>24075</v>
      </c>
      <c r="I20" s="64"/>
      <c r="J20" s="64"/>
      <c r="K20" s="64"/>
      <c r="L20" s="64"/>
      <c r="M20" s="64"/>
      <c r="N20" s="64"/>
      <c r="O20" s="64">
        <v>83</v>
      </c>
      <c r="P20" s="64">
        <v>305</v>
      </c>
      <c r="Q20" s="64">
        <v>388</v>
      </c>
      <c r="R20" s="64">
        <v>10970</v>
      </c>
      <c r="S20" s="64">
        <v>14908</v>
      </c>
      <c r="T20" s="64">
        <v>25878</v>
      </c>
    </row>
    <row r="21" spans="1:20" ht="24.75" customHeight="1" x14ac:dyDescent="0.4">
      <c r="A21" s="37">
        <v>17</v>
      </c>
      <c r="B21" s="65" t="s">
        <v>28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</row>
    <row r="22" spans="1:20" ht="24.75" customHeight="1" x14ac:dyDescent="0.4">
      <c r="A22" s="37">
        <v>18</v>
      </c>
      <c r="B22" s="65" t="s">
        <v>82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</row>
    <row r="23" spans="1:20" ht="24.75" customHeight="1" x14ac:dyDescent="0.4">
      <c r="A23" s="37">
        <v>19</v>
      </c>
      <c r="B23" s="65" t="s">
        <v>29</v>
      </c>
      <c r="C23" s="64">
        <v>24867</v>
      </c>
      <c r="D23" s="64">
        <v>30304</v>
      </c>
      <c r="E23" s="64">
        <v>55171</v>
      </c>
      <c r="F23" s="64">
        <v>59915</v>
      </c>
      <c r="G23" s="64">
        <v>43930</v>
      </c>
      <c r="H23" s="64">
        <v>103845</v>
      </c>
      <c r="I23" s="64"/>
      <c r="J23" s="64"/>
      <c r="K23" s="64"/>
      <c r="L23" s="64">
        <v>1</v>
      </c>
      <c r="M23" s="64"/>
      <c r="N23" s="64">
        <v>1</v>
      </c>
      <c r="O23" s="64"/>
      <c r="P23" s="64"/>
      <c r="Q23" s="64"/>
      <c r="R23" s="64">
        <v>84783</v>
      </c>
      <c r="S23" s="64">
        <v>74234</v>
      </c>
      <c r="T23" s="64">
        <v>159017</v>
      </c>
    </row>
    <row r="24" spans="1:20" ht="24.75" customHeight="1" x14ac:dyDescent="0.4">
      <c r="A24" s="37">
        <v>20</v>
      </c>
      <c r="B24" s="65" t="s">
        <v>30</v>
      </c>
      <c r="C24" s="64">
        <v>2441</v>
      </c>
      <c r="D24" s="64">
        <v>2274</v>
      </c>
      <c r="E24" s="64">
        <v>4715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>
        <v>2441</v>
      </c>
      <c r="S24" s="64">
        <v>2274</v>
      </c>
      <c r="T24" s="64">
        <v>4715</v>
      </c>
    </row>
    <row r="25" spans="1:20" ht="24.75" customHeight="1" x14ac:dyDescent="0.4">
      <c r="A25" s="37">
        <v>21</v>
      </c>
      <c r="B25" s="65" t="s">
        <v>31</v>
      </c>
      <c r="C25" s="64"/>
      <c r="D25" s="64"/>
      <c r="E25" s="64"/>
      <c r="F25" s="64"/>
      <c r="G25" s="64"/>
      <c r="H25" s="64"/>
      <c r="I25" s="64"/>
      <c r="J25" s="64"/>
      <c r="K25" s="64"/>
      <c r="L25" s="64">
        <v>11</v>
      </c>
      <c r="M25" s="64">
        <v>11</v>
      </c>
      <c r="N25" s="64">
        <v>22</v>
      </c>
      <c r="O25" s="64">
        <v>28</v>
      </c>
      <c r="P25" s="64">
        <v>27</v>
      </c>
      <c r="Q25" s="64">
        <v>55</v>
      </c>
      <c r="R25" s="64">
        <v>39</v>
      </c>
      <c r="S25" s="64">
        <v>38</v>
      </c>
      <c r="T25" s="64">
        <v>77</v>
      </c>
    </row>
    <row r="26" spans="1:20" ht="24.75" customHeight="1" x14ac:dyDescent="0.4">
      <c r="A26" s="37">
        <v>22</v>
      </c>
      <c r="B26" s="65" t="s">
        <v>32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</row>
    <row r="27" spans="1:20" ht="24.75" customHeight="1" x14ac:dyDescent="0.4">
      <c r="A27" s="37">
        <v>23</v>
      </c>
      <c r="B27" s="65" t="s">
        <v>33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</row>
    <row r="28" spans="1:20" ht="24.75" customHeight="1" x14ac:dyDescent="0.4">
      <c r="A28" s="37">
        <v>24</v>
      </c>
      <c r="B28" s="65" t="s">
        <v>34</v>
      </c>
      <c r="C28" s="64">
        <v>251</v>
      </c>
      <c r="D28" s="64">
        <v>229</v>
      </c>
      <c r="E28" s="64">
        <v>480</v>
      </c>
      <c r="F28" s="64">
        <v>250</v>
      </c>
      <c r="G28" s="64">
        <v>155</v>
      </c>
      <c r="H28" s="64">
        <v>405</v>
      </c>
      <c r="I28" s="64"/>
      <c r="J28" s="64"/>
      <c r="K28" s="64"/>
      <c r="L28" s="64">
        <v>6</v>
      </c>
      <c r="M28" s="64">
        <v>4</v>
      </c>
      <c r="N28" s="64">
        <v>10</v>
      </c>
      <c r="O28" s="64"/>
      <c r="P28" s="64"/>
      <c r="Q28" s="64"/>
      <c r="R28" s="64">
        <v>507</v>
      </c>
      <c r="S28" s="64">
        <v>388</v>
      </c>
      <c r="T28" s="64">
        <v>895</v>
      </c>
    </row>
    <row r="29" spans="1:20" ht="24.75" customHeight="1" x14ac:dyDescent="0.4">
      <c r="A29" s="37">
        <v>25</v>
      </c>
      <c r="B29" s="65" t="s">
        <v>35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</row>
    <row r="30" spans="1:20" ht="24.75" customHeight="1" x14ac:dyDescent="0.4">
      <c r="A30" s="37">
        <v>26</v>
      </c>
      <c r="B30" s="65" t="s">
        <v>36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</row>
    <row r="31" spans="1:20" ht="24.75" customHeight="1" x14ac:dyDescent="0.4">
      <c r="A31" s="37">
        <v>27</v>
      </c>
      <c r="B31" s="65" t="s">
        <v>37</v>
      </c>
      <c r="C31" s="64">
        <v>210</v>
      </c>
      <c r="D31" s="64">
        <v>1581</v>
      </c>
      <c r="E31" s="64">
        <v>1791</v>
      </c>
      <c r="F31" s="64">
        <v>524</v>
      </c>
      <c r="G31" s="64">
        <v>4146</v>
      </c>
      <c r="H31" s="64">
        <v>4670</v>
      </c>
      <c r="I31" s="64"/>
      <c r="J31" s="64"/>
      <c r="K31" s="64"/>
      <c r="L31" s="64"/>
      <c r="M31" s="64"/>
      <c r="N31" s="64"/>
      <c r="O31" s="64"/>
      <c r="P31" s="64"/>
      <c r="Q31" s="64"/>
      <c r="R31" s="64">
        <v>734</v>
      </c>
      <c r="S31" s="64">
        <v>5727</v>
      </c>
      <c r="T31" s="64">
        <v>6461</v>
      </c>
    </row>
    <row r="32" spans="1:20" ht="24.75" customHeight="1" x14ac:dyDescent="0.4">
      <c r="A32" s="37">
        <v>28</v>
      </c>
      <c r="B32" s="65" t="s">
        <v>38</v>
      </c>
      <c r="C32" s="64">
        <v>17743</v>
      </c>
      <c r="D32" s="64">
        <v>21479</v>
      </c>
      <c r="E32" s="64">
        <v>39222</v>
      </c>
      <c r="F32" s="64">
        <v>72765</v>
      </c>
      <c r="G32" s="64">
        <v>48653</v>
      </c>
      <c r="H32" s="64">
        <v>121418</v>
      </c>
      <c r="I32" s="64"/>
      <c r="J32" s="64"/>
      <c r="K32" s="64"/>
      <c r="L32" s="64">
        <v>2085</v>
      </c>
      <c r="M32" s="64">
        <v>338</v>
      </c>
      <c r="N32" s="64">
        <v>2423</v>
      </c>
      <c r="O32" s="64"/>
      <c r="P32" s="64"/>
      <c r="Q32" s="64"/>
      <c r="R32" s="64">
        <v>92593</v>
      </c>
      <c r="S32" s="64">
        <v>70470</v>
      </c>
      <c r="T32" s="64">
        <v>163063</v>
      </c>
    </row>
    <row r="33" spans="1:20" ht="24.75" customHeight="1" x14ac:dyDescent="0.4">
      <c r="A33" s="37">
        <v>29</v>
      </c>
      <c r="B33" s="65" t="s">
        <v>39</v>
      </c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</row>
    <row r="34" spans="1:20" ht="24.75" customHeight="1" x14ac:dyDescent="0.4">
      <c r="A34" s="37">
        <v>30</v>
      </c>
      <c r="B34" s="65" t="s">
        <v>40</v>
      </c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</row>
    <row r="35" spans="1:20" ht="24.75" customHeight="1" x14ac:dyDescent="0.4">
      <c r="A35" s="37">
        <v>31</v>
      </c>
      <c r="B35" s="65" t="s">
        <v>41</v>
      </c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>
        <v>1</v>
      </c>
      <c r="P35" s="64"/>
      <c r="Q35" s="64">
        <v>1</v>
      </c>
      <c r="R35" s="64">
        <v>1</v>
      </c>
      <c r="S35" s="64"/>
      <c r="T35" s="64">
        <v>1</v>
      </c>
    </row>
    <row r="36" spans="1:20" ht="34.5" customHeight="1" x14ac:dyDescent="0.4">
      <c r="A36" s="37">
        <v>32</v>
      </c>
      <c r="B36" s="63" t="s">
        <v>58</v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</row>
    <row r="37" spans="1:20" ht="24.75" customHeight="1" x14ac:dyDescent="0.4">
      <c r="A37" s="37">
        <v>33</v>
      </c>
      <c r="B37" s="65" t="s">
        <v>42</v>
      </c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</row>
    <row r="38" spans="1:20" ht="24.75" customHeight="1" x14ac:dyDescent="0.4">
      <c r="A38" s="37">
        <v>34</v>
      </c>
      <c r="B38" s="65" t="s">
        <v>43</v>
      </c>
      <c r="C38" s="64">
        <v>2773</v>
      </c>
      <c r="D38" s="64">
        <v>3246</v>
      </c>
      <c r="E38" s="64">
        <v>6019</v>
      </c>
      <c r="F38" s="64">
        <v>1247</v>
      </c>
      <c r="G38" s="64">
        <v>900</v>
      </c>
      <c r="H38" s="64">
        <v>2147</v>
      </c>
      <c r="I38" s="64">
        <v>83</v>
      </c>
      <c r="J38" s="64">
        <v>14</v>
      </c>
      <c r="K38" s="64">
        <v>97</v>
      </c>
      <c r="L38" s="64">
        <v>11</v>
      </c>
      <c r="M38" s="64">
        <v>9</v>
      </c>
      <c r="N38" s="64">
        <v>20</v>
      </c>
      <c r="O38" s="64"/>
      <c r="P38" s="64"/>
      <c r="Q38" s="64"/>
      <c r="R38" s="64">
        <v>4114</v>
      </c>
      <c r="S38" s="64">
        <v>4169</v>
      </c>
      <c r="T38" s="64">
        <v>8283</v>
      </c>
    </row>
    <row r="39" spans="1:20" ht="24.75" customHeight="1" x14ac:dyDescent="0.4">
      <c r="A39" s="37">
        <v>35</v>
      </c>
      <c r="B39" s="65" t="s">
        <v>44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</row>
    <row r="40" spans="1:20" ht="24.75" customHeight="1" x14ac:dyDescent="0.4">
      <c r="A40" s="37">
        <v>36</v>
      </c>
      <c r="B40" s="65" t="s">
        <v>45</v>
      </c>
      <c r="C40" s="64"/>
      <c r="D40" s="64"/>
      <c r="E40" s="64"/>
      <c r="F40" s="64">
        <v>61</v>
      </c>
      <c r="G40" s="64">
        <v>20</v>
      </c>
      <c r="H40" s="64">
        <v>81</v>
      </c>
      <c r="I40" s="64"/>
      <c r="J40" s="64"/>
      <c r="K40" s="64"/>
      <c r="L40" s="64"/>
      <c r="M40" s="64"/>
      <c r="N40" s="64"/>
      <c r="O40" s="64"/>
      <c r="P40" s="64"/>
      <c r="Q40" s="64"/>
      <c r="R40" s="64">
        <v>61</v>
      </c>
      <c r="S40" s="64">
        <v>20</v>
      </c>
      <c r="T40" s="64">
        <v>81</v>
      </c>
    </row>
    <row r="41" spans="1:20" s="622" customFormat="1" ht="23.25" customHeight="1" x14ac:dyDescent="0.35">
      <c r="A41" s="696" t="s">
        <v>46</v>
      </c>
      <c r="B41" s="707"/>
      <c r="C41" s="41">
        <v>83585</v>
      </c>
      <c r="D41" s="41">
        <v>115050</v>
      </c>
      <c r="E41" s="41">
        <v>198635</v>
      </c>
      <c r="F41" s="41">
        <v>235386</v>
      </c>
      <c r="G41" s="41">
        <v>211648</v>
      </c>
      <c r="H41" s="41">
        <v>447034</v>
      </c>
      <c r="I41" s="41">
        <v>83</v>
      </c>
      <c r="J41" s="41">
        <v>14</v>
      </c>
      <c r="K41" s="41">
        <v>97</v>
      </c>
      <c r="L41" s="41">
        <v>2114</v>
      </c>
      <c r="M41" s="41">
        <v>362</v>
      </c>
      <c r="N41" s="41">
        <v>2476</v>
      </c>
      <c r="O41" s="41">
        <v>113</v>
      </c>
      <c r="P41" s="41">
        <v>332</v>
      </c>
      <c r="Q41" s="41">
        <v>445</v>
      </c>
      <c r="R41" s="41">
        <v>321281</v>
      </c>
      <c r="S41" s="41">
        <v>327406</v>
      </c>
      <c r="T41" s="41">
        <v>648687</v>
      </c>
    </row>
  </sheetData>
  <mergeCells count="11">
    <mergeCell ref="A41:B41"/>
    <mergeCell ref="C1:K1"/>
    <mergeCell ref="L1:T1"/>
    <mergeCell ref="A2:A3"/>
    <mergeCell ref="B2:B3"/>
    <mergeCell ref="C2:E2"/>
    <mergeCell ref="F2:H2"/>
    <mergeCell ref="I2:K2"/>
    <mergeCell ref="L2:N2"/>
    <mergeCell ref="O2:Q2"/>
    <mergeCell ref="R2:T2"/>
  </mergeCells>
  <pageMargins left="0.51181102362204722" right="0.19685039370078741" top="0.39370078740157483" bottom="0.39370078740157483" header="0.31496062992125984" footer="0.19685039370078741"/>
  <pageSetup paperSize="9" scale="78" firstPageNumber="15" orientation="portrait" r:id="rId1"/>
  <headerFooter>
    <oddFooter>&amp;L&amp;"Arial,Italic"&amp;9AISHE 2023-24&amp;RT-6c</oddFooter>
  </headerFooter>
  <colBreaks count="1" manualBreakCount="1">
    <brk id="11" max="4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F9B4-CCBD-4D30-B358-B558641287CC}">
  <dimension ref="A1:W41"/>
  <sheetViews>
    <sheetView view="pageBreakPreview" zoomScaleNormal="100" zoomScaleSheetLayoutView="100" workbookViewId="0">
      <pane xSplit="2" ySplit="3" topLeftCell="C37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9.453125" defaultRowHeight="18" x14ac:dyDescent="0.4"/>
  <cols>
    <col min="1" max="1" width="6.26953125" style="60" bestFit="1" customWidth="1"/>
    <col min="2" max="2" width="20.54296875" style="60" customWidth="1"/>
    <col min="3" max="8" width="12.81640625" style="60" customWidth="1"/>
    <col min="9" max="14" width="13.54296875" style="60" customWidth="1"/>
    <col min="15" max="17" width="8.453125" style="60" bestFit="1" customWidth="1"/>
    <col min="18" max="18" width="7" style="60" customWidth="1"/>
    <col min="19" max="19" width="8" style="60" bestFit="1" customWidth="1"/>
    <col min="20" max="20" width="6.7265625" style="60" customWidth="1"/>
    <col min="21" max="23" width="10.1796875" style="60" bestFit="1" customWidth="1"/>
    <col min="24" max="16384" width="9.453125" style="60"/>
  </cols>
  <sheetData>
    <row r="1" spans="1:23" ht="33.75" customHeight="1" x14ac:dyDescent="0.4">
      <c r="A1" s="559"/>
      <c r="B1" s="560"/>
      <c r="C1" s="715" t="s">
        <v>989</v>
      </c>
      <c r="D1" s="715"/>
      <c r="E1" s="715"/>
      <c r="F1" s="715"/>
      <c r="G1" s="715"/>
      <c r="H1" s="715"/>
      <c r="I1" s="715" t="str">
        <f>C1</f>
        <v>Table 6(d) States/UTs-wise Enrolment through Online Mode at various levels
(Based on Actual Response)</v>
      </c>
      <c r="J1" s="715"/>
      <c r="K1" s="715"/>
      <c r="L1" s="715"/>
      <c r="M1" s="715"/>
      <c r="N1" s="715"/>
      <c r="O1" s="715" t="str">
        <f>I1</f>
        <v>Table 6(d) States/UTs-wise Enrolment through Online Mode at various levels
(Based on Actual Response)</v>
      </c>
      <c r="P1" s="715"/>
      <c r="Q1" s="715"/>
      <c r="R1" s="715"/>
      <c r="S1" s="715"/>
      <c r="T1" s="715"/>
      <c r="U1" s="715"/>
      <c r="V1" s="715"/>
      <c r="W1" s="715"/>
    </row>
    <row r="2" spans="1:23" s="61" customFormat="1" ht="17.5" x14ac:dyDescent="0.35">
      <c r="A2" s="717" t="s">
        <v>94</v>
      </c>
      <c r="B2" s="717" t="s">
        <v>885</v>
      </c>
      <c r="C2" s="717" t="s">
        <v>97</v>
      </c>
      <c r="D2" s="717"/>
      <c r="E2" s="717"/>
      <c r="F2" s="717" t="s">
        <v>98</v>
      </c>
      <c r="G2" s="717"/>
      <c r="H2" s="717"/>
      <c r="I2" s="717" t="s">
        <v>99</v>
      </c>
      <c r="J2" s="717"/>
      <c r="K2" s="717"/>
      <c r="L2" s="717" t="s">
        <v>100</v>
      </c>
      <c r="M2" s="717"/>
      <c r="N2" s="717"/>
      <c r="O2" s="717" t="s">
        <v>101</v>
      </c>
      <c r="P2" s="717"/>
      <c r="Q2" s="717"/>
      <c r="R2" s="717" t="s">
        <v>102</v>
      </c>
      <c r="S2" s="717"/>
      <c r="T2" s="717"/>
      <c r="U2" s="717" t="s">
        <v>12</v>
      </c>
      <c r="V2" s="717"/>
      <c r="W2" s="717"/>
    </row>
    <row r="3" spans="1:23" s="62" customFormat="1" x14ac:dyDescent="0.35">
      <c r="A3" s="717"/>
      <c r="B3" s="717"/>
      <c r="C3" s="67" t="s">
        <v>103</v>
      </c>
      <c r="D3" s="67" t="s">
        <v>104</v>
      </c>
      <c r="E3" s="67" t="s">
        <v>89</v>
      </c>
      <c r="F3" s="67" t="s">
        <v>103</v>
      </c>
      <c r="G3" s="67" t="s">
        <v>104</v>
      </c>
      <c r="H3" s="67" t="s">
        <v>89</v>
      </c>
      <c r="I3" s="67" t="s">
        <v>103</v>
      </c>
      <c r="J3" s="67" t="s">
        <v>104</v>
      </c>
      <c r="K3" s="67" t="s">
        <v>89</v>
      </c>
      <c r="L3" s="67" t="s">
        <v>103</v>
      </c>
      <c r="M3" s="67" t="s">
        <v>104</v>
      </c>
      <c r="N3" s="67" t="s">
        <v>89</v>
      </c>
      <c r="O3" s="67" t="s">
        <v>103</v>
      </c>
      <c r="P3" s="67" t="s">
        <v>104</v>
      </c>
      <c r="Q3" s="67" t="s">
        <v>89</v>
      </c>
      <c r="R3" s="67" t="s">
        <v>103</v>
      </c>
      <c r="S3" s="67" t="s">
        <v>104</v>
      </c>
      <c r="T3" s="67" t="s">
        <v>89</v>
      </c>
      <c r="U3" s="67" t="s">
        <v>103</v>
      </c>
      <c r="V3" s="67" t="s">
        <v>104</v>
      </c>
      <c r="W3" s="67" t="s">
        <v>89</v>
      </c>
    </row>
    <row r="4" spans="1:23" s="333" customFormat="1" ht="11.5" x14ac:dyDescent="0.35">
      <c r="A4" s="352">
        <v>1</v>
      </c>
      <c r="B4" s="352">
        <v>2</v>
      </c>
      <c r="C4" s="352">
        <v>3</v>
      </c>
      <c r="D4" s="352">
        <v>4</v>
      </c>
      <c r="E4" s="352">
        <v>5</v>
      </c>
      <c r="F4" s="352">
        <v>6</v>
      </c>
      <c r="G4" s="352">
        <v>7</v>
      </c>
      <c r="H4" s="352">
        <v>8</v>
      </c>
      <c r="I4" s="352">
        <v>9</v>
      </c>
      <c r="J4" s="352">
        <v>10</v>
      </c>
      <c r="K4" s="352">
        <v>11</v>
      </c>
      <c r="L4" s="352">
        <v>12</v>
      </c>
      <c r="M4" s="352">
        <v>13</v>
      </c>
      <c r="N4" s="352">
        <v>14</v>
      </c>
      <c r="O4" s="352">
        <v>15</v>
      </c>
      <c r="P4" s="352">
        <v>16</v>
      </c>
      <c r="Q4" s="352">
        <v>17</v>
      </c>
      <c r="R4" s="352">
        <v>18</v>
      </c>
      <c r="S4" s="352">
        <v>19</v>
      </c>
      <c r="T4" s="352">
        <v>20</v>
      </c>
      <c r="U4" s="352">
        <v>21</v>
      </c>
      <c r="V4" s="352">
        <v>22</v>
      </c>
      <c r="W4" s="352">
        <v>23</v>
      </c>
    </row>
    <row r="5" spans="1:23" ht="20.25" customHeight="1" x14ac:dyDescent="0.4">
      <c r="A5" s="68">
        <v>1</v>
      </c>
      <c r="B5" s="69" t="s">
        <v>56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1:23" ht="20.25" customHeight="1" x14ac:dyDescent="0.4">
      <c r="A6" s="68">
        <v>2</v>
      </c>
      <c r="B6" s="70" t="s">
        <v>13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spans="1:23" ht="20.25" customHeight="1" x14ac:dyDescent="0.4">
      <c r="A7" s="68">
        <v>3</v>
      </c>
      <c r="B7" s="70" t="s">
        <v>14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spans="1:23" ht="20.25" customHeight="1" x14ac:dyDescent="0.4">
      <c r="A8" s="68">
        <v>4</v>
      </c>
      <c r="B8" s="70" t="s">
        <v>15</v>
      </c>
      <c r="C8" s="25">
        <v>6</v>
      </c>
      <c r="D8" s="25">
        <v>10</v>
      </c>
      <c r="E8" s="25">
        <v>16</v>
      </c>
      <c r="F8" s="25">
        <v>635</v>
      </c>
      <c r="G8" s="25">
        <v>293</v>
      </c>
      <c r="H8" s="25">
        <v>928</v>
      </c>
      <c r="I8" s="25"/>
      <c r="J8" s="25"/>
      <c r="K8" s="25"/>
      <c r="L8" s="25">
        <v>22</v>
      </c>
      <c r="M8" s="25">
        <v>58</v>
      </c>
      <c r="N8" s="25">
        <v>80</v>
      </c>
      <c r="O8" s="25"/>
      <c r="P8" s="25"/>
      <c r="Q8" s="25"/>
      <c r="R8" s="25"/>
      <c r="S8" s="25"/>
      <c r="T8" s="25"/>
      <c r="U8" s="25">
        <v>663</v>
      </c>
      <c r="V8" s="25">
        <v>361</v>
      </c>
      <c r="W8" s="25">
        <v>1024</v>
      </c>
    </row>
    <row r="9" spans="1:23" ht="20.25" customHeight="1" x14ac:dyDescent="0.4">
      <c r="A9" s="68">
        <v>5</v>
      </c>
      <c r="B9" s="69" t="s">
        <v>16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1:23" ht="20.25" customHeight="1" x14ac:dyDescent="0.4">
      <c r="A10" s="68">
        <v>6</v>
      </c>
      <c r="B10" s="70" t="s">
        <v>17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 spans="1:23" ht="20.25" customHeight="1" x14ac:dyDescent="0.4">
      <c r="A11" s="68">
        <v>7</v>
      </c>
      <c r="B11" s="70" t="s">
        <v>18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1:23" ht="20.25" customHeight="1" x14ac:dyDescent="0.4">
      <c r="A12" s="68">
        <v>8</v>
      </c>
      <c r="B12" s="70" t="s">
        <v>19</v>
      </c>
      <c r="C12" s="25">
        <v>6194</v>
      </c>
      <c r="D12" s="25">
        <v>5422</v>
      </c>
      <c r="E12" s="25">
        <v>11616</v>
      </c>
      <c r="F12" s="25">
        <v>8495</v>
      </c>
      <c r="G12" s="25">
        <v>5534</v>
      </c>
      <c r="H12" s="25">
        <v>14029</v>
      </c>
      <c r="I12" s="25">
        <v>922</v>
      </c>
      <c r="J12" s="25">
        <v>852</v>
      </c>
      <c r="K12" s="25">
        <v>1774</v>
      </c>
      <c r="L12" s="25">
        <v>522</v>
      </c>
      <c r="M12" s="25">
        <v>923</v>
      </c>
      <c r="N12" s="25">
        <v>1445</v>
      </c>
      <c r="O12" s="25"/>
      <c r="P12" s="25"/>
      <c r="Q12" s="25"/>
      <c r="R12" s="25"/>
      <c r="S12" s="25"/>
      <c r="T12" s="25"/>
      <c r="U12" s="25">
        <v>16133</v>
      </c>
      <c r="V12" s="25">
        <v>12731</v>
      </c>
      <c r="W12" s="25">
        <v>28864</v>
      </c>
    </row>
    <row r="13" spans="1:23" ht="20.25" customHeight="1" x14ac:dyDescent="0.4">
      <c r="A13" s="68">
        <v>9</v>
      </c>
      <c r="B13" s="70" t="s">
        <v>20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1:23" ht="20.25" customHeight="1" x14ac:dyDescent="0.4">
      <c r="A14" s="68">
        <v>10</v>
      </c>
      <c r="B14" s="70" t="s">
        <v>21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1:23" ht="20.25" customHeight="1" x14ac:dyDescent="0.4">
      <c r="A15" s="68">
        <v>11</v>
      </c>
      <c r="B15" s="70" t="s">
        <v>22</v>
      </c>
      <c r="C15" s="25">
        <v>1609</v>
      </c>
      <c r="D15" s="25">
        <v>832</v>
      </c>
      <c r="E15" s="25">
        <v>2441</v>
      </c>
      <c r="F15" s="25">
        <v>1046</v>
      </c>
      <c r="G15" s="25">
        <v>507</v>
      </c>
      <c r="H15" s="25">
        <v>1553</v>
      </c>
      <c r="I15" s="25">
        <v>274</v>
      </c>
      <c r="J15" s="25">
        <v>149</v>
      </c>
      <c r="K15" s="25">
        <v>423</v>
      </c>
      <c r="L15" s="25">
        <v>26</v>
      </c>
      <c r="M15" s="25">
        <v>6</v>
      </c>
      <c r="N15" s="25">
        <v>32</v>
      </c>
      <c r="O15" s="25"/>
      <c r="P15" s="25"/>
      <c r="Q15" s="25"/>
      <c r="R15" s="25"/>
      <c r="S15" s="25"/>
      <c r="T15" s="25"/>
      <c r="U15" s="25">
        <v>2955</v>
      </c>
      <c r="V15" s="25">
        <v>1494</v>
      </c>
      <c r="W15" s="25">
        <v>4449</v>
      </c>
    </row>
    <row r="16" spans="1:23" ht="20.25" customHeight="1" x14ac:dyDescent="0.4">
      <c r="A16" s="68">
        <v>12</v>
      </c>
      <c r="B16" s="70" t="s">
        <v>23</v>
      </c>
      <c r="C16" s="25">
        <v>1142</v>
      </c>
      <c r="D16" s="25">
        <v>396</v>
      </c>
      <c r="E16" s="25">
        <v>1538</v>
      </c>
      <c r="F16" s="25">
        <v>692</v>
      </c>
      <c r="G16" s="25">
        <v>340</v>
      </c>
      <c r="H16" s="25">
        <v>1032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>
        <v>1834</v>
      </c>
      <c r="V16" s="25">
        <v>736</v>
      </c>
      <c r="W16" s="25">
        <v>2570</v>
      </c>
    </row>
    <row r="17" spans="1:23" ht="20.25" customHeight="1" x14ac:dyDescent="0.4">
      <c r="A17" s="68">
        <v>13</v>
      </c>
      <c r="B17" s="70" t="s">
        <v>24</v>
      </c>
      <c r="C17" s="25">
        <v>166</v>
      </c>
      <c r="D17" s="25">
        <v>29</v>
      </c>
      <c r="E17" s="25">
        <v>195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>
        <v>166</v>
      </c>
      <c r="V17" s="25">
        <v>29</v>
      </c>
      <c r="W17" s="25">
        <v>195</v>
      </c>
    </row>
    <row r="18" spans="1:23" ht="20.25" customHeight="1" x14ac:dyDescent="0.4">
      <c r="A18" s="68">
        <v>14</v>
      </c>
      <c r="B18" s="70" t="s">
        <v>25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ht="20.25" customHeight="1" x14ac:dyDescent="0.4">
      <c r="A19" s="68">
        <v>15</v>
      </c>
      <c r="B19" s="70" t="s">
        <v>26</v>
      </c>
      <c r="C19" s="25">
        <v>3366</v>
      </c>
      <c r="D19" s="25">
        <v>2275</v>
      </c>
      <c r="E19" s="25">
        <v>5641</v>
      </c>
      <c r="F19" s="25">
        <v>1754</v>
      </c>
      <c r="G19" s="25">
        <v>766</v>
      </c>
      <c r="H19" s="25">
        <v>2520</v>
      </c>
      <c r="I19" s="25"/>
      <c r="J19" s="25"/>
      <c r="K19" s="25"/>
      <c r="L19" s="25">
        <v>426</v>
      </c>
      <c r="M19" s="25">
        <v>429</v>
      </c>
      <c r="N19" s="25">
        <v>855</v>
      </c>
      <c r="O19" s="25">
        <v>14466</v>
      </c>
      <c r="P19" s="25">
        <v>14255</v>
      </c>
      <c r="Q19" s="25">
        <v>28721</v>
      </c>
      <c r="R19" s="25"/>
      <c r="S19" s="25"/>
      <c r="T19" s="25"/>
      <c r="U19" s="25">
        <v>20012</v>
      </c>
      <c r="V19" s="25">
        <v>17725</v>
      </c>
      <c r="W19" s="25">
        <v>37737</v>
      </c>
    </row>
    <row r="20" spans="1:23" ht="20.25" customHeight="1" x14ac:dyDescent="0.4">
      <c r="A20" s="68">
        <v>16</v>
      </c>
      <c r="B20" s="70" t="s">
        <v>27</v>
      </c>
      <c r="C20" s="25">
        <v>49</v>
      </c>
      <c r="D20" s="25">
        <v>36</v>
      </c>
      <c r="E20" s="25">
        <v>85</v>
      </c>
      <c r="F20" s="25"/>
      <c r="G20" s="25"/>
      <c r="H20" s="25"/>
      <c r="I20" s="25">
        <v>16</v>
      </c>
      <c r="J20" s="25">
        <v>23</v>
      </c>
      <c r="K20" s="25">
        <v>39</v>
      </c>
      <c r="L20" s="25">
        <v>9</v>
      </c>
      <c r="M20" s="25">
        <v>3</v>
      </c>
      <c r="N20" s="25">
        <v>12</v>
      </c>
      <c r="O20" s="25">
        <v>49</v>
      </c>
      <c r="P20" s="25">
        <v>67</v>
      </c>
      <c r="Q20" s="25">
        <v>116</v>
      </c>
      <c r="R20" s="25">
        <v>11</v>
      </c>
      <c r="S20" s="25">
        <v>8</v>
      </c>
      <c r="T20" s="25">
        <v>19</v>
      </c>
      <c r="U20" s="25">
        <v>134</v>
      </c>
      <c r="V20" s="25">
        <v>137</v>
      </c>
      <c r="W20" s="25">
        <v>271</v>
      </c>
    </row>
    <row r="21" spans="1:23" ht="20.25" customHeight="1" x14ac:dyDescent="0.4">
      <c r="A21" s="68">
        <v>17</v>
      </c>
      <c r="B21" s="70" t="s">
        <v>28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spans="1:23" ht="20.25" customHeight="1" x14ac:dyDescent="0.4">
      <c r="A22" s="68">
        <v>18</v>
      </c>
      <c r="B22" s="70" t="s">
        <v>82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spans="1:23" ht="20.25" customHeight="1" x14ac:dyDescent="0.4">
      <c r="A23" s="68">
        <v>19</v>
      </c>
      <c r="B23" s="70" t="s">
        <v>29</v>
      </c>
      <c r="C23" s="25">
        <v>12</v>
      </c>
      <c r="D23" s="25"/>
      <c r="E23" s="25">
        <v>12</v>
      </c>
      <c r="F23" s="25"/>
      <c r="G23" s="25"/>
      <c r="H23" s="25"/>
      <c r="I23" s="25"/>
      <c r="J23" s="25"/>
      <c r="K23" s="25"/>
      <c r="L23" s="25">
        <v>1</v>
      </c>
      <c r="M23" s="25"/>
      <c r="N23" s="25">
        <v>1</v>
      </c>
      <c r="O23" s="25"/>
      <c r="P23" s="25"/>
      <c r="Q23" s="25"/>
      <c r="R23" s="25"/>
      <c r="S23" s="25"/>
      <c r="T23" s="25"/>
      <c r="U23" s="25">
        <v>13</v>
      </c>
      <c r="V23" s="25"/>
      <c r="W23" s="25">
        <v>13</v>
      </c>
    </row>
    <row r="24" spans="1:23" ht="20.25" customHeight="1" x14ac:dyDescent="0.4">
      <c r="A24" s="68">
        <v>20</v>
      </c>
      <c r="B24" s="70" t="s">
        <v>30</v>
      </c>
      <c r="C24" s="25">
        <v>25736</v>
      </c>
      <c r="D24" s="25">
        <v>19600</v>
      </c>
      <c r="E24" s="25">
        <v>45336</v>
      </c>
      <c r="F24" s="25">
        <v>7864</v>
      </c>
      <c r="G24" s="25">
        <v>4079</v>
      </c>
      <c r="H24" s="25">
        <v>11943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>
        <v>33600</v>
      </c>
      <c r="V24" s="25">
        <v>23679</v>
      </c>
      <c r="W24" s="25">
        <v>57279</v>
      </c>
    </row>
    <row r="25" spans="1:23" ht="20.25" customHeight="1" x14ac:dyDescent="0.4">
      <c r="A25" s="68">
        <v>21</v>
      </c>
      <c r="B25" s="70" t="s">
        <v>31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spans="1:23" ht="20.25" customHeight="1" x14ac:dyDescent="0.4">
      <c r="A26" s="68">
        <v>22</v>
      </c>
      <c r="B26" s="70" t="s">
        <v>32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spans="1:23" ht="20.25" customHeight="1" x14ac:dyDescent="0.4">
      <c r="A27" s="68">
        <v>23</v>
      </c>
      <c r="B27" s="70" t="s">
        <v>33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spans="1:23" ht="20.25" customHeight="1" x14ac:dyDescent="0.4">
      <c r="A28" s="68">
        <v>24</v>
      </c>
      <c r="B28" s="70" t="s">
        <v>34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spans="1:23" ht="20.25" customHeight="1" x14ac:dyDescent="0.4">
      <c r="A29" s="68">
        <v>25</v>
      </c>
      <c r="B29" s="70" t="s">
        <v>35</v>
      </c>
      <c r="C29" s="25">
        <v>45</v>
      </c>
      <c r="D29" s="25">
        <v>13</v>
      </c>
      <c r="E29" s="25">
        <v>58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>
        <v>45</v>
      </c>
      <c r="V29" s="25">
        <v>13</v>
      </c>
      <c r="W29" s="25">
        <v>58</v>
      </c>
    </row>
    <row r="30" spans="1:23" ht="20.25" customHeight="1" x14ac:dyDescent="0.4">
      <c r="A30" s="68">
        <v>26</v>
      </c>
      <c r="B30" s="70" t="s">
        <v>36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spans="1:23" ht="20.25" customHeight="1" x14ac:dyDescent="0.4">
      <c r="A31" s="68">
        <v>27</v>
      </c>
      <c r="B31" s="70" t="s">
        <v>37</v>
      </c>
      <c r="C31" s="25">
        <v>8941</v>
      </c>
      <c r="D31" s="25">
        <v>4904</v>
      </c>
      <c r="E31" s="25">
        <v>13845</v>
      </c>
      <c r="F31" s="25">
        <v>4211</v>
      </c>
      <c r="G31" s="25">
        <v>1506</v>
      </c>
      <c r="H31" s="25">
        <v>5717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>
        <v>13152</v>
      </c>
      <c r="V31" s="25">
        <v>6410</v>
      </c>
      <c r="W31" s="25">
        <v>19562</v>
      </c>
    </row>
    <row r="32" spans="1:23" ht="20.25" customHeight="1" x14ac:dyDescent="0.4">
      <c r="A32" s="68">
        <v>28</v>
      </c>
      <c r="B32" s="70" t="s">
        <v>38</v>
      </c>
      <c r="C32" s="25">
        <v>12459</v>
      </c>
      <c r="D32" s="25">
        <v>7594</v>
      </c>
      <c r="E32" s="25">
        <v>20053</v>
      </c>
      <c r="F32" s="25">
        <v>12887</v>
      </c>
      <c r="G32" s="25">
        <v>4654</v>
      </c>
      <c r="H32" s="25">
        <v>17541</v>
      </c>
      <c r="I32" s="25"/>
      <c r="J32" s="25"/>
      <c r="K32" s="25"/>
      <c r="L32" s="25"/>
      <c r="M32" s="25"/>
      <c r="N32" s="25"/>
      <c r="O32" s="25">
        <v>1</v>
      </c>
      <c r="P32" s="25"/>
      <c r="Q32" s="25">
        <v>1</v>
      </c>
      <c r="R32" s="25"/>
      <c r="S32" s="25"/>
      <c r="T32" s="25"/>
      <c r="U32" s="25">
        <v>25347</v>
      </c>
      <c r="V32" s="25">
        <v>12248</v>
      </c>
      <c r="W32" s="25">
        <v>37595</v>
      </c>
    </row>
    <row r="33" spans="1:23" ht="20.25" customHeight="1" x14ac:dyDescent="0.4">
      <c r="A33" s="68">
        <v>29</v>
      </c>
      <c r="B33" s="70" t="s">
        <v>39</v>
      </c>
      <c r="C33" s="25">
        <v>572</v>
      </c>
      <c r="D33" s="25">
        <v>488</v>
      </c>
      <c r="E33" s="25">
        <v>1060</v>
      </c>
      <c r="F33" s="25">
        <v>1222</v>
      </c>
      <c r="G33" s="25">
        <v>688</v>
      </c>
      <c r="H33" s="25">
        <v>1910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>
        <v>1794</v>
      </c>
      <c r="V33" s="25">
        <v>1176</v>
      </c>
      <c r="W33" s="25">
        <v>2970</v>
      </c>
    </row>
    <row r="34" spans="1:23" ht="20.25" customHeight="1" x14ac:dyDescent="0.4">
      <c r="A34" s="68">
        <v>30</v>
      </c>
      <c r="B34" s="70" t="s">
        <v>40</v>
      </c>
      <c r="C34" s="25">
        <v>8443</v>
      </c>
      <c r="D34" s="25">
        <v>5869</v>
      </c>
      <c r="E34" s="25">
        <v>14312</v>
      </c>
      <c r="F34" s="25">
        <v>7615</v>
      </c>
      <c r="G34" s="25">
        <v>4839</v>
      </c>
      <c r="H34" s="25">
        <v>12454</v>
      </c>
      <c r="I34" s="25">
        <v>8</v>
      </c>
      <c r="J34" s="25">
        <v>22</v>
      </c>
      <c r="K34" s="25">
        <v>30</v>
      </c>
      <c r="L34" s="25"/>
      <c r="M34" s="25"/>
      <c r="N34" s="25"/>
      <c r="O34" s="25"/>
      <c r="P34" s="25"/>
      <c r="Q34" s="25"/>
      <c r="R34" s="25"/>
      <c r="S34" s="25"/>
      <c r="T34" s="25"/>
      <c r="U34" s="25">
        <v>16066</v>
      </c>
      <c r="V34" s="25">
        <v>10730</v>
      </c>
      <c r="W34" s="25">
        <v>26796</v>
      </c>
    </row>
    <row r="35" spans="1:23" ht="20.25" customHeight="1" x14ac:dyDescent="0.4">
      <c r="A35" s="68">
        <v>31</v>
      </c>
      <c r="B35" s="70" t="s">
        <v>41</v>
      </c>
      <c r="C35" s="25">
        <v>993</v>
      </c>
      <c r="D35" s="25">
        <v>728</v>
      </c>
      <c r="E35" s="25">
        <v>1721</v>
      </c>
      <c r="F35" s="25">
        <v>1</v>
      </c>
      <c r="G35" s="25"/>
      <c r="H35" s="25">
        <v>1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>
        <v>994</v>
      </c>
      <c r="V35" s="25">
        <v>728</v>
      </c>
      <c r="W35" s="25">
        <v>1722</v>
      </c>
    </row>
    <row r="36" spans="1:23" ht="31.5" customHeight="1" x14ac:dyDescent="0.4">
      <c r="A36" s="68">
        <v>32</v>
      </c>
      <c r="B36" s="69" t="s">
        <v>58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spans="1:23" ht="20.25" customHeight="1" x14ac:dyDescent="0.4">
      <c r="A37" s="68">
        <v>33</v>
      </c>
      <c r="B37" s="70" t="s">
        <v>42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spans="1:23" ht="20.25" customHeight="1" x14ac:dyDescent="0.4">
      <c r="A38" s="68">
        <v>34</v>
      </c>
      <c r="B38" s="70" t="s">
        <v>43</v>
      </c>
      <c r="C38" s="25">
        <v>19722</v>
      </c>
      <c r="D38" s="25">
        <v>12256</v>
      </c>
      <c r="E38" s="25">
        <v>31978</v>
      </c>
      <c r="F38" s="25">
        <v>14665</v>
      </c>
      <c r="G38" s="25">
        <v>7629</v>
      </c>
      <c r="H38" s="25">
        <v>22294</v>
      </c>
      <c r="I38" s="25">
        <v>191</v>
      </c>
      <c r="J38" s="25">
        <v>33</v>
      </c>
      <c r="K38" s="25">
        <v>224</v>
      </c>
      <c r="L38" s="25"/>
      <c r="M38" s="25"/>
      <c r="N38" s="25"/>
      <c r="O38" s="25"/>
      <c r="P38" s="25"/>
      <c r="Q38" s="25"/>
      <c r="R38" s="25"/>
      <c r="S38" s="25"/>
      <c r="T38" s="25"/>
      <c r="U38" s="25">
        <v>34578</v>
      </c>
      <c r="V38" s="25">
        <v>19918</v>
      </c>
      <c r="W38" s="25">
        <v>54496</v>
      </c>
    </row>
    <row r="39" spans="1:23" ht="20.25" customHeight="1" x14ac:dyDescent="0.4">
      <c r="A39" s="68">
        <v>35</v>
      </c>
      <c r="B39" s="70" t="s">
        <v>44</v>
      </c>
      <c r="C39" s="25">
        <v>4359</v>
      </c>
      <c r="D39" s="25">
        <v>1349</v>
      </c>
      <c r="E39" s="25">
        <v>5708</v>
      </c>
      <c r="F39" s="25">
        <v>2157</v>
      </c>
      <c r="G39" s="25">
        <v>507</v>
      </c>
      <c r="H39" s="25">
        <v>2664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>
        <v>6516</v>
      </c>
      <c r="V39" s="25">
        <v>1856</v>
      </c>
      <c r="W39" s="25">
        <v>8372</v>
      </c>
    </row>
    <row r="40" spans="1:23" ht="20.25" customHeight="1" x14ac:dyDescent="0.4">
      <c r="A40" s="68">
        <v>36</v>
      </c>
      <c r="B40" s="70" t="s">
        <v>45</v>
      </c>
      <c r="C40" s="25">
        <v>40</v>
      </c>
      <c r="D40" s="25">
        <v>24</v>
      </c>
      <c r="E40" s="25">
        <v>64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>
        <v>40</v>
      </c>
      <c r="V40" s="25">
        <v>24</v>
      </c>
      <c r="W40" s="25">
        <v>64</v>
      </c>
    </row>
    <row r="41" spans="1:23" x14ac:dyDescent="0.4">
      <c r="A41" s="716" t="s">
        <v>46</v>
      </c>
      <c r="B41" s="716"/>
      <c r="C41" s="41">
        <v>93854</v>
      </c>
      <c r="D41" s="41">
        <v>61825</v>
      </c>
      <c r="E41" s="41">
        <v>155679</v>
      </c>
      <c r="F41" s="41">
        <v>63244</v>
      </c>
      <c r="G41" s="41">
        <v>31342</v>
      </c>
      <c r="H41" s="41">
        <v>94586</v>
      </c>
      <c r="I41" s="41">
        <v>1411</v>
      </c>
      <c r="J41" s="41">
        <v>1079</v>
      </c>
      <c r="K41" s="41">
        <v>2490</v>
      </c>
      <c r="L41" s="41">
        <v>1006</v>
      </c>
      <c r="M41" s="41">
        <v>1419</v>
      </c>
      <c r="N41" s="41">
        <v>2425</v>
      </c>
      <c r="O41" s="41">
        <v>14516</v>
      </c>
      <c r="P41" s="41">
        <v>14322</v>
      </c>
      <c r="Q41" s="41">
        <v>28838</v>
      </c>
      <c r="R41" s="41">
        <v>11</v>
      </c>
      <c r="S41" s="41">
        <v>8</v>
      </c>
      <c r="T41" s="41">
        <v>19</v>
      </c>
      <c r="U41" s="41">
        <v>174042</v>
      </c>
      <c r="V41" s="41">
        <v>109995</v>
      </c>
      <c r="W41" s="41">
        <v>284037</v>
      </c>
    </row>
  </sheetData>
  <mergeCells count="13">
    <mergeCell ref="C1:H1"/>
    <mergeCell ref="I1:N1"/>
    <mergeCell ref="O1:W1"/>
    <mergeCell ref="A41:B41"/>
    <mergeCell ref="O2:Q2"/>
    <mergeCell ref="R2:T2"/>
    <mergeCell ref="U2:W2"/>
    <mergeCell ref="I2:K2"/>
    <mergeCell ref="L2:N2"/>
    <mergeCell ref="A2:A3"/>
    <mergeCell ref="B2:B3"/>
    <mergeCell ref="C2:E2"/>
    <mergeCell ref="F2:H2"/>
  </mergeCells>
  <pageMargins left="0.39370078740157483" right="0.15748031496062992" top="0.39370078740157483" bottom="0.39370078740157483" header="0.31496062992125984" footer="0.19685039370078741"/>
  <pageSetup paperSize="9" scale="90" firstPageNumber="15" orientation="portrait" r:id="rId1"/>
  <headerFooter>
    <oddFooter>&amp;L&amp;"Arial,Italic"&amp;9AISHE 2023-24&amp;RT-6d</oddFooter>
  </headerFooter>
  <colBreaks count="2" manualBreakCount="2">
    <brk id="8" max="40" man="1"/>
    <brk id="14" max="40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0421-F7B9-4CCE-911D-9A4AED20E4BA}">
  <dimension ref="A1:AE43"/>
  <sheetViews>
    <sheetView showZeros="0" view="pageBreakPreview" zoomScaleSheetLayoutView="100" workbookViewId="0">
      <pane xSplit="2" ySplit="3" topLeftCell="C4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9.453125" defaultRowHeight="15.5" x14ac:dyDescent="0.35"/>
  <cols>
    <col min="1" max="1" width="3.81640625" style="81" bestFit="1" customWidth="1"/>
    <col min="2" max="2" width="20.1796875" style="81" customWidth="1"/>
    <col min="3" max="4" width="8.81640625" style="81" customWidth="1"/>
    <col min="5" max="7" width="10.1796875" style="81" bestFit="1" customWidth="1"/>
    <col min="8" max="10" width="8.81640625" style="81" customWidth="1"/>
    <col min="11" max="13" width="11.26953125" style="81" bestFit="1" customWidth="1"/>
    <col min="14" max="16" width="12.54296875" style="81" customWidth="1"/>
    <col min="17" max="21" width="11.1796875" style="81" customWidth="1"/>
    <col min="22" max="22" width="12" style="81" customWidth="1"/>
    <col min="23" max="28" width="11" style="81" customWidth="1"/>
    <col min="29" max="31" width="13" style="81" customWidth="1"/>
    <col min="32" max="32" width="14.1796875" style="81" bestFit="1" customWidth="1"/>
    <col min="33" max="16384" width="9.453125" style="81"/>
  </cols>
  <sheetData>
    <row r="1" spans="1:31" s="71" customFormat="1" ht="48" customHeight="1" x14ac:dyDescent="0.35">
      <c r="B1" s="30"/>
      <c r="C1" s="719" t="s">
        <v>990</v>
      </c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 t="str">
        <f>C1</f>
        <v>Table 7. States/UTs-wise Enrolment in Universities Teaching Departments and it's Constituent Units/Off-campus Centres
(Based on Actual Response)</v>
      </c>
      <c r="O1" s="719"/>
      <c r="P1" s="719"/>
      <c r="Q1" s="719"/>
      <c r="R1" s="719"/>
      <c r="S1" s="719"/>
      <c r="T1" s="719"/>
      <c r="U1" s="719"/>
      <c r="V1" s="719"/>
      <c r="W1" s="719" t="str">
        <f>C1</f>
        <v>Table 7. States/UTs-wise Enrolment in Universities Teaching Departments and it's Constituent Units/Off-campus Centres
(Based on Actual Response)</v>
      </c>
      <c r="X1" s="719"/>
      <c r="Y1" s="719"/>
      <c r="Z1" s="719"/>
      <c r="AA1" s="719"/>
      <c r="AB1" s="719"/>
      <c r="AC1" s="719"/>
      <c r="AD1" s="719"/>
      <c r="AE1" s="719"/>
    </row>
    <row r="2" spans="1:31" s="73" customFormat="1" ht="33" customHeight="1" x14ac:dyDescent="0.35">
      <c r="A2" s="720" t="s">
        <v>918</v>
      </c>
      <c r="B2" s="722" t="s">
        <v>885</v>
      </c>
      <c r="C2" s="722" t="s">
        <v>105</v>
      </c>
      <c r="D2" s="722"/>
      <c r="E2" s="723" t="s">
        <v>95</v>
      </c>
      <c r="F2" s="724"/>
      <c r="G2" s="725"/>
      <c r="H2" s="723" t="s">
        <v>96</v>
      </c>
      <c r="I2" s="724"/>
      <c r="J2" s="725"/>
      <c r="K2" s="723" t="s">
        <v>97</v>
      </c>
      <c r="L2" s="724"/>
      <c r="M2" s="725"/>
      <c r="N2" s="723" t="s">
        <v>98</v>
      </c>
      <c r="O2" s="724"/>
      <c r="P2" s="725"/>
      <c r="Q2" s="723" t="s">
        <v>99</v>
      </c>
      <c r="R2" s="724"/>
      <c r="S2" s="725"/>
      <c r="T2" s="723" t="s">
        <v>100</v>
      </c>
      <c r="U2" s="724"/>
      <c r="V2" s="725"/>
      <c r="W2" s="723" t="s">
        <v>101</v>
      </c>
      <c r="X2" s="724"/>
      <c r="Y2" s="725"/>
      <c r="Z2" s="723" t="s">
        <v>102</v>
      </c>
      <c r="AA2" s="724"/>
      <c r="AB2" s="725"/>
      <c r="AC2" s="723" t="s">
        <v>12</v>
      </c>
      <c r="AD2" s="724"/>
      <c r="AE2" s="725"/>
    </row>
    <row r="3" spans="1:31" s="76" customFormat="1" ht="24.75" customHeight="1" x14ac:dyDescent="0.35">
      <c r="A3" s="721"/>
      <c r="B3" s="722"/>
      <c r="C3" s="72" t="s">
        <v>89</v>
      </c>
      <c r="D3" s="74" t="s">
        <v>106</v>
      </c>
      <c r="E3" s="75" t="s">
        <v>103</v>
      </c>
      <c r="F3" s="75" t="s">
        <v>104</v>
      </c>
      <c r="G3" s="75" t="s">
        <v>89</v>
      </c>
      <c r="H3" s="75" t="s">
        <v>103</v>
      </c>
      <c r="I3" s="75" t="s">
        <v>104</v>
      </c>
      <c r="J3" s="75" t="s">
        <v>89</v>
      </c>
      <c r="K3" s="75" t="s">
        <v>103</v>
      </c>
      <c r="L3" s="75" t="s">
        <v>104</v>
      </c>
      <c r="M3" s="75" t="s">
        <v>89</v>
      </c>
      <c r="N3" s="75" t="s">
        <v>103</v>
      </c>
      <c r="O3" s="75" t="s">
        <v>104</v>
      </c>
      <c r="P3" s="75" t="s">
        <v>89</v>
      </c>
      <c r="Q3" s="75" t="s">
        <v>103</v>
      </c>
      <c r="R3" s="75" t="s">
        <v>104</v>
      </c>
      <c r="S3" s="75" t="s">
        <v>89</v>
      </c>
      <c r="T3" s="75" t="s">
        <v>103</v>
      </c>
      <c r="U3" s="75" t="s">
        <v>104</v>
      </c>
      <c r="V3" s="75" t="s">
        <v>89</v>
      </c>
      <c r="W3" s="75" t="s">
        <v>103</v>
      </c>
      <c r="X3" s="75" t="s">
        <v>104</v>
      </c>
      <c r="Y3" s="75" t="s">
        <v>89</v>
      </c>
      <c r="Z3" s="75" t="s">
        <v>103</v>
      </c>
      <c r="AA3" s="75" t="s">
        <v>104</v>
      </c>
      <c r="AB3" s="75" t="s">
        <v>89</v>
      </c>
      <c r="AC3" s="75" t="s">
        <v>103</v>
      </c>
      <c r="AD3" s="75" t="s">
        <v>104</v>
      </c>
      <c r="AE3" s="75" t="s">
        <v>89</v>
      </c>
    </row>
    <row r="4" spans="1:31" s="336" customFormat="1" ht="15" customHeight="1" x14ac:dyDescent="0.35">
      <c r="A4" s="335">
        <v>1</v>
      </c>
      <c r="B4" s="335">
        <v>2</v>
      </c>
      <c r="C4" s="335">
        <v>3</v>
      </c>
      <c r="D4" s="335">
        <v>4</v>
      </c>
      <c r="E4" s="335">
        <v>5</v>
      </c>
      <c r="F4" s="335">
        <v>6</v>
      </c>
      <c r="G4" s="335">
        <v>7</v>
      </c>
      <c r="H4" s="335">
        <v>8</v>
      </c>
      <c r="I4" s="335">
        <v>9</v>
      </c>
      <c r="J4" s="335">
        <v>10</v>
      </c>
      <c r="K4" s="335">
        <v>11</v>
      </c>
      <c r="L4" s="335">
        <v>12</v>
      </c>
      <c r="M4" s="335">
        <v>13</v>
      </c>
      <c r="N4" s="335">
        <v>14</v>
      </c>
      <c r="O4" s="335">
        <v>15</v>
      </c>
      <c r="P4" s="335">
        <v>16</v>
      </c>
      <c r="Q4" s="335">
        <v>17</v>
      </c>
      <c r="R4" s="335">
        <v>18</v>
      </c>
      <c r="S4" s="335">
        <v>19</v>
      </c>
      <c r="T4" s="335">
        <v>20</v>
      </c>
      <c r="U4" s="335">
        <v>21</v>
      </c>
      <c r="V4" s="335">
        <v>22</v>
      </c>
      <c r="W4" s="335">
        <v>23</v>
      </c>
      <c r="X4" s="335">
        <v>24</v>
      </c>
      <c r="Y4" s="335">
        <v>25</v>
      </c>
      <c r="Z4" s="335">
        <v>26</v>
      </c>
      <c r="AA4" s="335">
        <v>27</v>
      </c>
      <c r="AB4" s="335">
        <v>28</v>
      </c>
      <c r="AC4" s="335">
        <v>29</v>
      </c>
      <c r="AD4" s="335">
        <v>30</v>
      </c>
      <c r="AE4" s="335">
        <v>31</v>
      </c>
    </row>
    <row r="5" spans="1:31" s="76" customFormat="1" ht="24" customHeight="1" x14ac:dyDescent="0.35">
      <c r="A5" s="17">
        <v>1</v>
      </c>
      <c r="B5" s="77" t="s">
        <v>56</v>
      </c>
      <c r="C5" s="25"/>
      <c r="D5" s="25"/>
      <c r="E5" s="25"/>
      <c r="F5" s="25"/>
      <c r="G5" s="25"/>
      <c r="H5" s="25"/>
      <c r="I5" s="25"/>
      <c r="J5" s="25"/>
      <c r="K5" s="25">
        <v>492</v>
      </c>
      <c r="L5" s="25">
        <v>813</v>
      </c>
      <c r="M5" s="25">
        <v>1305</v>
      </c>
      <c r="N5" s="25">
        <v>1611</v>
      </c>
      <c r="O5" s="25">
        <v>1358</v>
      </c>
      <c r="P5" s="25">
        <v>2969</v>
      </c>
      <c r="Q5" s="25">
        <v>22</v>
      </c>
      <c r="R5" s="25">
        <v>30</v>
      </c>
      <c r="S5" s="25">
        <v>52</v>
      </c>
      <c r="T5" s="25">
        <v>20</v>
      </c>
      <c r="U5" s="25">
        <v>34</v>
      </c>
      <c r="V5" s="25">
        <v>54</v>
      </c>
      <c r="W5" s="25"/>
      <c r="X5" s="25"/>
      <c r="Y5" s="25"/>
      <c r="Z5" s="25"/>
      <c r="AA5" s="25"/>
      <c r="AB5" s="25"/>
      <c r="AC5" s="25">
        <v>2145</v>
      </c>
      <c r="AD5" s="25">
        <v>2235</v>
      </c>
      <c r="AE5" s="25">
        <v>4380</v>
      </c>
    </row>
    <row r="6" spans="1:31" s="76" customFormat="1" ht="24" customHeight="1" x14ac:dyDescent="0.35">
      <c r="A6" s="17">
        <v>2</v>
      </c>
      <c r="B6" s="78" t="s">
        <v>13</v>
      </c>
      <c r="C6" s="25">
        <v>52</v>
      </c>
      <c r="D6" s="25">
        <v>52</v>
      </c>
      <c r="E6" s="25">
        <v>3764</v>
      </c>
      <c r="F6" s="25">
        <v>3083</v>
      </c>
      <c r="G6" s="25">
        <v>6847</v>
      </c>
      <c r="H6" s="25"/>
      <c r="I6" s="25"/>
      <c r="J6" s="25"/>
      <c r="K6" s="25">
        <v>37303</v>
      </c>
      <c r="L6" s="25">
        <v>40094</v>
      </c>
      <c r="M6" s="25">
        <v>77397</v>
      </c>
      <c r="N6" s="25">
        <v>164449</v>
      </c>
      <c r="O6" s="25">
        <v>121126</v>
      </c>
      <c r="P6" s="25">
        <v>285575</v>
      </c>
      <c r="Q6" s="25">
        <v>1431</v>
      </c>
      <c r="R6" s="25">
        <v>867</v>
      </c>
      <c r="S6" s="25">
        <v>2298</v>
      </c>
      <c r="T6" s="25">
        <v>546</v>
      </c>
      <c r="U6" s="25">
        <v>874</v>
      </c>
      <c r="V6" s="25">
        <v>1420</v>
      </c>
      <c r="W6" s="25">
        <v>137</v>
      </c>
      <c r="X6" s="25">
        <v>102</v>
      </c>
      <c r="Y6" s="25">
        <v>239</v>
      </c>
      <c r="Z6" s="25">
        <v>2495</v>
      </c>
      <c r="AA6" s="25">
        <v>2206</v>
      </c>
      <c r="AB6" s="25">
        <v>4701</v>
      </c>
      <c r="AC6" s="25">
        <v>210125</v>
      </c>
      <c r="AD6" s="25">
        <v>168352</v>
      </c>
      <c r="AE6" s="25">
        <v>378477</v>
      </c>
    </row>
    <row r="7" spans="1:31" s="76" customFormat="1" ht="24" customHeight="1" x14ac:dyDescent="0.35">
      <c r="A7" s="17">
        <v>3</v>
      </c>
      <c r="B7" s="78" t="s">
        <v>14</v>
      </c>
      <c r="C7" s="25">
        <v>11</v>
      </c>
      <c r="D7" s="25">
        <v>11</v>
      </c>
      <c r="E7" s="25">
        <v>744</v>
      </c>
      <c r="F7" s="25">
        <v>595</v>
      </c>
      <c r="G7" s="25">
        <v>1339</v>
      </c>
      <c r="H7" s="25"/>
      <c r="I7" s="25"/>
      <c r="J7" s="25"/>
      <c r="K7" s="25">
        <v>5125</v>
      </c>
      <c r="L7" s="25">
        <v>5331</v>
      </c>
      <c r="M7" s="25">
        <v>10456</v>
      </c>
      <c r="N7" s="25">
        <v>9650</v>
      </c>
      <c r="O7" s="25">
        <v>6998</v>
      </c>
      <c r="P7" s="25">
        <v>16648</v>
      </c>
      <c r="Q7" s="25">
        <v>95</v>
      </c>
      <c r="R7" s="25">
        <v>78</v>
      </c>
      <c r="S7" s="25">
        <v>173</v>
      </c>
      <c r="T7" s="25">
        <v>620</v>
      </c>
      <c r="U7" s="25">
        <v>634</v>
      </c>
      <c r="V7" s="25">
        <v>1254</v>
      </c>
      <c r="W7" s="25">
        <v>332</v>
      </c>
      <c r="X7" s="25">
        <v>186</v>
      </c>
      <c r="Y7" s="25">
        <v>518</v>
      </c>
      <c r="Z7" s="25">
        <v>815</v>
      </c>
      <c r="AA7" s="25">
        <v>507</v>
      </c>
      <c r="AB7" s="25">
        <v>1322</v>
      </c>
      <c r="AC7" s="25">
        <v>17381</v>
      </c>
      <c r="AD7" s="25">
        <v>14329</v>
      </c>
      <c r="AE7" s="25">
        <v>31710</v>
      </c>
    </row>
    <row r="8" spans="1:31" s="76" customFormat="1" ht="24" customHeight="1" x14ac:dyDescent="0.35">
      <c r="A8" s="17">
        <v>4</v>
      </c>
      <c r="B8" s="78" t="s">
        <v>15</v>
      </c>
      <c r="C8" s="25">
        <v>34</v>
      </c>
      <c r="D8" s="25">
        <v>34</v>
      </c>
      <c r="E8" s="25">
        <v>5698</v>
      </c>
      <c r="F8" s="25">
        <v>5395</v>
      </c>
      <c r="G8" s="25">
        <v>11093</v>
      </c>
      <c r="H8" s="25">
        <v>3</v>
      </c>
      <c r="I8" s="25">
        <v>20</v>
      </c>
      <c r="J8" s="25">
        <v>23</v>
      </c>
      <c r="K8" s="25">
        <v>36730</v>
      </c>
      <c r="L8" s="25">
        <v>58702</v>
      </c>
      <c r="M8" s="25">
        <v>95432</v>
      </c>
      <c r="N8" s="25">
        <v>46961</v>
      </c>
      <c r="O8" s="25">
        <v>28498</v>
      </c>
      <c r="P8" s="25">
        <v>75459</v>
      </c>
      <c r="Q8" s="25">
        <v>336</v>
      </c>
      <c r="R8" s="25">
        <v>366</v>
      </c>
      <c r="S8" s="25">
        <v>702</v>
      </c>
      <c r="T8" s="25">
        <v>1528</v>
      </c>
      <c r="U8" s="25">
        <v>1539</v>
      </c>
      <c r="V8" s="25">
        <v>3067</v>
      </c>
      <c r="W8" s="25">
        <v>119</v>
      </c>
      <c r="X8" s="25">
        <v>131</v>
      </c>
      <c r="Y8" s="25">
        <v>250</v>
      </c>
      <c r="Z8" s="25">
        <v>1250</v>
      </c>
      <c r="AA8" s="25">
        <v>1543</v>
      </c>
      <c r="AB8" s="25">
        <v>2793</v>
      </c>
      <c r="AC8" s="25">
        <v>92625</v>
      </c>
      <c r="AD8" s="25">
        <v>96194</v>
      </c>
      <c r="AE8" s="25">
        <v>188819</v>
      </c>
    </row>
    <row r="9" spans="1:31" s="76" customFormat="1" ht="24" customHeight="1" x14ac:dyDescent="0.35">
      <c r="A9" s="17">
        <v>5</v>
      </c>
      <c r="B9" s="78" t="s">
        <v>16</v>
      </c>
      <c r="C9" s="25">
        <v>39</v>
      </c>
      <c r="D9" s="25">
        <v>39</v>
      </c>
      <c r="E9" s="25">
        <v>3242</v>
      </c>
      <c r="F9" s="25">
        <v>2377</v>
      </c>
      <c r="G9" s="25">
        <v>5619</v>
      </c>
      <c r="H9" s="25">
        <v>4</v>
      </c>
      <c r="I9" s="25">
        <v>4</v>
      </c>
      <c r="J9" s="25">
        <v>8</v>
      </c>
      <c r="K9" s="25">
        <v>47270</v>
      </c>
      <c r="L9" s="25">
        <v>45563</v>
      </c>
      <c r="M9" s="25">
        <v>92833</v>
      </c>
      <c r="N9" s="25">
        <v>109029</v>
      </c>
      <c r="O9" s="25">
        <v>76212</v>
      </c>
      <c r="P9" s="25">
        <v>185241</v>
      </c>
      <c r="Q9" s="25">
        <v>965</v>
      </c>
      <c r="R9" s="25">
        <v>481</v>
      </c>
      <c r="S9" s="25">
        <v>1446</v>
      </c>
      <c r="T9" s="25">
        <v>3147</v>
      </c>
      <c r="U9" s="25">
        <v>2299</v>
      </c>
      <c r="V9" s="25">
        <v>5446</v>
      </c>
      <c r="W9" s="25">
        <v>340</v>
      </c>
      <c r="X9" s="25">
        <v>326</v>
      </c>
      <c r="Y9" s="25">
        <v>666</v>
      </c>
      <c r="Z9" s="25">
        <v>1409</v>
      </c>
      <c r="AA9" s="25">
        <v>1068</v>
      </c>
      <c r="AB9" s="25">
        <v>2477</v>
      </c>
      <c r="AC9" s="25">
        <v>165406</v>
      </c>
      <c r="AD9" s="25">
        <v>128330</v>
      </c>
      <c r="AE9" s="25">
        <v>293736</v>
      </c>
    </row>
    <row r="10" spans="1:31" s="76" customFormat="1" ht="24" customHeight="1" x14ac:dyDescent="0.35">
      <c r="A10" s="17">
        <v>6</v>
      </c>
      <c r="B10" s="78" t="s">
        <v>17</v>
      </c>
      <c r="C10" s="25">
        <v>3</v>
      </c>
      <c r="D10" s="25">
        <v>3</v>
      </c>
      <c r="E10" s="25">
        <v>1309</v>
      </c>
      <c r="F10" s="25">
        <v>1961</v>
      </c>
      <c r="G10" s="25">
        <v>3270</v>
      </c>
      <c r="H10" s="25"/>
      <c r="I10" s="25"/>
      <c r="J10" s="25"/>
      <c r="K10" s="25">
        <v>6742</v>
      </c>
      <c r="L10" s="25">
        <v>8585</v>
      </c>
      <c r="M10" s="25">
        <v>15327</v>
      </c>
      <c r="N10" s="25">
        <v>17876</v>
      </c>
      <c r="O10" s="25">
        <v>10486</v>
      </c>
      <c r="P10" s="25">
        <v>28362</v>
      </c>
      <c r="Q10" s="25">
        <v>502</v>
      </c>
      <c r="R10" s="25">
        <v>513</v>
      </c>
      <c r="S10" s="25">
        <v>1015</v>
      </c>
      <c r="T10" s="25">
        <v>504</v>
      </c>
      <c r="U10" s="25">
        <v>1702</v>
      </c>
      <c r="V10" s="25">
        <v>2206</v>
      </c>
      <c r="W10" s="25">
        <v>377</v>
      </c>
      <c r="X10" s="25">
        <v>181</v>
      </c>
      <c r="Y10" s="25">
        <v>558</v>
      </c>
      <c r="Z10" s="25">
        <v>844</v>
      </c>
      <c r="AA10" s="25">
        <v>1186</v>
      </c>
      <c r="AB10" s="25">
        <v>2030</v>
      </c>
      <c r="AC10" s="25">
        <v>28154</v>
      </c>
      <c r="AD10" s="25">
        <v>24614</v>
      </c>
      <c r="AE10" s="25">
        <v>52768</v>
      </c>
    </row>
    <row r="11" spans="1:31" s="76" customFormat="1" ht="24" customHeight="1" x14ac:dyDescent="0.35">
      <c r="A11" s="17">
        <v>7</v>
      </c>
      <c r="B11" s="78" t="s">
        <v>18</v>
      </c>
      <c r="C11" s="27">
        <v>36</v>
      </c>
      <c r="D11" s="25">
        <v>36</v>
      </c>
      <c r="E11" s="25">
        <v>2010</v>
      </c>
      <c r="F11" s="25">
        <v>1801</v>
      </c>
      <c r="G11" s="25">
        <v>3811</v>
      </c>
      <c r="H11" s="25">
        <v>2</v>
      </c>
      <c r="I11" s="25">
        <v>2</v>
      </c>
      <c r="J11" s="25">
        <v>4</v>
      </c>
      <c r="K11" s="25">
        <v>39878</v>
      </c>
      <c r="L11" s="25">
        <v>49389</v>
      </c>
      <c r="M11" s="25">
        <v>89267</v>
      </c>
      <c r="N11" s="25">
        <v>105631</v>
      </c>
      <c r="O11" s="25">
        <v>95743</v>
      </c>
      <c r="P11" s="25">
        <v>201374</v>
      </c>
      <c r="Q11" s="25">
        <v>1916</v>
      </c>
      <c r="R11" s="25">
        <v>1665</v>
      </c>
      <c r="S11" s="25">
        <v>3581</v>
      </c>
      <c r="T11" s="25">
        <v>5975</v>
      </c>
      <c r="U11" s="25">
        <v>4621</v>
      </c>
      <c r="V11" s="25">
        <v>10596</v>
      </c>
      <c r="W11" s="25">
        <v>40</v>
      </c>
      <c r="X11" s="25">
        <v>37</v>
      </c>
      <c r="Y11" s="25">
        <v>77</v>
      </c>
      <c r="Z11" s="25">
        <v>2054</v>
      </c>
      <c r="AA11" s="25">
        <v>1726</v>
      </c>
      <c r="AB11" s="25">
        <v>3780</v>
      </c>
      <c r="AC11" s="25">
        <v>157506</v>
      </c>
      <c r="AD11" s="25">
        <v>154984</v>
      </c>
      <c r="AE11" s="25">
        <v>312490</v>
      </c>
    </row>
    <row r="12" spans="1:31" s="76" customFormat="1" ht="24" customHeight="1" x14ac:dyDescent="0.35">
      <c r="A12" s="17">
        <v>8</v>
      </c>
      <c r="B12" s="78" t="s">
        <v>19</v>
      </c>
      <c r="C12" s="25">
        <v>31</v>
      </c>
      <c r="D12" s="25">
        <v>30</v>
      </c>
      <c r="E12" s="25">
        <v>9734</v>
      </c>
      <c r="F12" s="25">
        <v>8622</v>
      </c>
      <c r="G12" s="25">
        <v>18356</v>
      </c>
      <c r="H12" s="25">
        <v>27</v>
      </c>
      <c r="I12" s="25">
        <v>72</v>
      </c>
      <c r="J12" s="25">
        <v>99</v>
      </c>
      <c r="K12" s="25">
        <v>73220</v>
      </c>
      <c r="L12" s="25">
        <v>101607</v>
      </c>
      <c r="M12" s="25">
        <v>174827</v>
      </c>
      <c r="N12" s="25">
        <v>359953</v>
      </c>
      <c r="O12" s="25">
        <v>327155</v>
      </c>
      <c r="P12" s="25">
        <v>687108</v>
      </c>
      <c r="Q12" s="25">
        <v>4231</v>
      </c>
      <c r="R12" s="25">
        <v>3850</v>
      </c>
      <c r="S12" s="25">
        <v>8081</v>
      </c>
      <c r="T12" s="25">
        <v>10464</v>
      </c>
      <c r="U12" s="25">
        <v>4528</v>
      </c>
      <c r="V12" s="25">
        <v>14992</v>
      </c>
      <c r="W12" s="25">
        <v>951</v>
      </c>
      <c r="X12" s="25">
        <v>415</v>
      </c>
      <c r="Y12" s="25">
        <v>1366</v>
      </c>
      <c r="Z12" s="25">
        <v>2452</v>
      </c>
      <c r="AA12" s="25">
        <v>1564</v>
      </c>
      <c r="AB12" s="25">
        <v>4016</v>
      </c>
      <c r="AC12" s="25">
        <v>461032</v>
      </c>
      <c r="AD12" s="25">
        <v>447813</v>
      </c>
      <c r="AE12" s="25">
        <v>908845</v>
      </c>
    </row>
    <row r="13" spans="1:31" s="76" customFormat="1" ht="24" customHeight="1" x14ac:dyDescent="0.35">
      <c r="A13" s="17">
        <v>9</v>
      </c>
      <c r="B13" s="78" t="s">
        <v>20</v>
      </c>
      <c r="C13" s="25">
        <v>4</v>
      </c>
      <c r="D13" s="25">
        <v>4</v>
      </c>
      <c r="E13" s="25">
        <v>722</v>
      </c>
      <c r="F13" s="25">
        <v>807</v>
      </c>
      <c r="G13" s="25">
        <v>1529</v>
      </c>
      <c r="H13" s="25"/>
      <c r="I13" s="25"/>
      <c r="J13" s="25"/>
      <c r="K13" s="25">
        <v>1864</v>
      </c>
      <c r="L13" s="25">
        <v>2961</v>
      </c>
      <c r="M13" s="25">
        <v>4825</v>
      </c>
      <c r="N13" s="25">
        <v>5184</v>
      </c>
      <c r="O13" s="25">
        <v>1535</v>
      </c>
      <c r="P13" s="25">
        <v>6719</v>
      </c>
      <c r="Q13" s="25">
        <v>42</v>
      </c>
      <c r="R13" s="25">
        <v>46</v>
      </c>
      <c r="S13" s="25">
        <v>88</v>
      </c>
      <c r="T13" s="25">
        <v>19</v>
      </c>
      <c r="U13" s="25">
        <v>58</v>
      </c>
      <c r="V13" s="25">
        <v>77</v>
      </c>
      <c r="W13" s="25"/>
      <c r="X13" s="25"/>
      <c r="Y13" s="25"/>
      <c r="Z13" s="25">
        <v>1348</v>
      </c>
      <c r="AA13" s="25">
        <v>379</v>
      </c>
      <c r="AB13" s="25">
        <v>1727</v>
      </c>
      <c r="AC13" s="25">
        <v>9179</v>
      </c>
      <c r="AD13" s="25">
        <v>5786</v>
      </c>
      <c r="AE13" s="25">
        <v>14965</v>
      </c>
    </row>
    <row r="14" spans="1:31" s="76" customFormat="1" ht="24" customHeight="1" x14ac:dyDescent="0.35">
      <c r="A14" s="17">
        <v>10</v>
      </c>
      <c r="B14" s="78" t="s">
        <v>21</v>
      </c>
      <c r="C14" s="25">
        <v>107</v>
      </c>
      <c r="D14" s="25">
        <v>107</v>
      </c>
      <c r="E14" s="25">
        <v>8908</v>
      </c>
      <c r="F14" s="25">
        <v>7549</v>
      </c>
      <c r="G14" s="25">
        <v>16457</v>
      </c>
      <c r="H14" s="25"/>
      <c r="I14" s="25">
        <v>27</v>
      </c>
      <c r="J14" s="25">
        <v>27</v>
      </c>
      <c r="K14" s="25">
        <v>62323</v>
      </c>
      <c r="L14" s="25">
        <v>68887</v>
      </c>
      <c r="M14" s="25">
        <v>131210</v>
      </c>
      <c r="N14" s="25">
        <v>225137</v>
      </c>
      <c r="O14" s="25">
        <v>150195</v>
      </c>
      <c r="P14" s="25">
        <v>375332</v>
      </c>
      <c r="Q14" s="25">
        <v>2110</v>
      </c>
      <c r="R14" s="25">
        <v>1912</v>
      </c>
      <c r="S14" s="25">
        <v>4022</v>
      </c>
      <c r="T14" s="25">
        <v>28239</v>
      </c>
      <c r="U14" s="25">
        <v>9700</v>
      </c>
      <c r="V14" s="25">
        <v>37939</v>
      </c>
      <c r="W14" s="25">
        <v>5697</v>
      </c>
      <c r="X14" s="25">
        <v>3029</v>
      </c>
      <c r="Y14" s="25">
        <v>8726</v>
      </c>
      <c r="Z14" s="25">
        <v>14852</v>
      </c>
      <c r="AA14" s="25">
        <v>11770</v>
      </c>
      <c r="AB14" s="25">
        <v>26622</v>
      </c>
      <c r="AC14" s="25">
        <v>347266</v>
      </c>
      <c r="AD14" s="25">
        <v>253069</v>
      </c>
      <c r="AE14" s="25">
        <v>600335</v>
      </c>
    </row>
    <row r="15" spans="1:31" s="76" customFormat="1" ht="24" customHeight="1" x14ac:dyDescent="0.35">
      <c r="A15" s="17">
        <v>11</v>
      </c>
      <c r="B15" s="78" t="s">
        <v>22</v>
      </c>
      <c r="C15" s="25">
        <v>58</v>
      </c>
      <c r="D15" s="25">
        <v>58</v>
      </c>
      <c r="E15" s="25">
        <v>4744</v>
      </c>
      <c r="F15" s="25">
        <v>7564</v>
      </c>
      <c r="G15" s="25">
        <v>12308</v>
      </c>
      <c r="H15" s="25">
        <v>20</v>
      </c>
      <c r="I15" s="25">
        <v>40</v>
      </c>
      <c r="J15" s="25">
        <v>60</v>
      </c>
      <c r="K15" s="25">
        <v>34232</v>
      </c>
      <c r="L15" s="25">
        <v>52887</v>
      </c>
      <c r="M15" s="25">
        <v>87119</v>
      </c>
      <c r="N15" s="25">
        <v>140732</v>
      </c>
      <c r="O15" s="25">
        <v>113742</v>
      </c>
      <c r="P15" s="25">
        <v>254474</v>
      </c>
      <c r="Q15" s="25">
        <v>1157</v>
      </c>
      <c r="R15" s="25">
        <v>1054</v>
      </c>
      <c r="S15" s="25">
        <v>2211</v>
      </c>
      <c r="T15" s="25">
        <v>5133</v>
      </c>
      <c r="U15" s="25">
        <v>5847</v>
      </c>
      <c r="V15" s="25">
        <v>10980</v>
      </c>
      <c r="W15" s="25">
        <v>355</v>
      </c>
      <c r="X15" s="25">
        <v>313</v>
      </c>
      <c r="Y15" s="25">
        <v>668</v>
      </c>
      <c r="Z15" s="25">
        <v>8869</v>
      </c>
      <c r="AA15" s="25">
        <v>8789</v>
      </c>
      <c r="AB15" s="25">
        <v>17658</v>
      </c>
      <c r="AC15" s="25">
        <v>195242</v>
      </c>
      <c r="AD15" s="25">
        <v>190236</v>
      </c>
      <c r="AE15" s="25">
        <v>385478</v>
      </c>
    </row>
    <row r="16" spans="1:31" s="76" customFormat="1" ht="24" customHeight="1" x14ac:dyDescent="0.35">
      <c r="A16" s="17">
        <v>12</v>
      </c>
      <c r="B16" s="78" t="s">
        <v>23</v>
      </c>
      <c r="C16" s="25">
        <v>29</v>
      </c>
      <c r="D16" s="25">
        <v>29</v>
      </c>
      <c r="E16" s="25">
        <v>1252</v>
      </c>
      <c r="F16" s="25">
        <v>1192</v>
      </c>
      <c r="G16" s="25">
        <v>2444</v>
      </c>
      <c r="H16" s="25">
        <v>11</v>
      </c>
      <c r="I16" s="25">
        <v>1</v>
      </c>
      <c r="J16" s="25">
        <v>12</v>
      </c>
      <c r="K16" s="25">
        <v>16739</v>
      </c>
      <c r="L16" s="25">
        <v>15196</v>
      </c>
      <c r="M16" s="25">
        <v>31935</v>
      </c>
      <c r="N16" s="25">
        <v>46159</v>
      </c>
      <c r="O16" s="25">
        <v>34957</v>
      </c>
      <c r="P16" s="25">
        <v>81116</v>
      </c>
      <c r="Q16" s="25">
        <v>244</v>
      </c>
      <c r="R16" s="25">
        <v>214</v>
      </c>
      <c r="S16" s="25">
        <v>458</v>
      </c>
      <c r="T16" s="25">
        <v>1440</v>
      </c>
      <c r="U16" s="25">
        <v>1876</v>
      </c>
      <c r="V16" s="25">
        <v>3316</v>
      </c>
      <c r="W16" s="25">
        <v>122</v>
      </c>
      <c r="X16" s="25">
        <v>105</v>
      </c>
      <c r="Y16" s="25">
        <v>227</v>
      </c>
      <c r="Z16" s="25">
        <v>1232</v>
      </c>
      <c r="AA16" s="25">
        <v>1058</v>
      </c>
      <c r="AB16" s="25">
        <v>2290</v>
      </c>
      <c r="AC16" s="25">
        <v>67199</v>
      </c>
      <c r="AD16" s="25">
        <v>54599</v>
      </c>
      <c r="AE16" s="25">
        <v>121798</v>
      </c>
    </row>
    <row r="17" spans="1:31" s="76" customFormat="1" ht="24" customHeight="1" x14ac:dyDescent="0.35">
      <c r="A17" s="17">
        <v>13</v>
      </c>
      <c r="B17" s="78" t="s">
        <v>24</v>
      </c>
      <c r="C17" s="25">
        <v>16</v>
      </c>
      <c r="D17" s="25">
        <v>16</v>
      </c>
      <c r="E17" s="25">
        <v>2346</v>
      </c>
      <c r="F17" s="25">
        <v>2596</v>
      </c>
      <c r="G17" s="25">
        <v>4942</v>
      </c>
      <c r="H17" s="25"/>
      <c r="I17" s="25"/>
      <c r="J17" s="25"/>
      <c r="K17" s="25">
        <v>20086</v>
      </c>
      <c r="L17" s="25">
        <v>35601</v>
      </c>
      <c r="M17" s="25">
        <v>55687</v>
      </c>
      <c r="N17" s="25">
        <v>42215</v>
      </c>
      <c r="O17" s="25">
        <v>36375</v>
      </c>
      <c r="P17" s="25">
        <v>78590</v>
      </c>
      <c r="Q17" s="25">
        <v>416</v>
      </c>
      <c r="R17" s="25">
        <v>279</v>
      </c>
      <c r="S17" s="25">
        <v>695</v>
      </c>
      <c r="T17" s="25">
        <v>582</v>
      </c>
      <c r="U17" s="25">
        <v>859</v>
      </c>
      <c r="V17" s="25">
        <v>1441</v>
      </c>
      <c r="W17" s="25">
        <v>56</v>
      </c>
      <c r="X17" s="25">
        <v>582</v>
      </c>
      <c r="Y17" s="25">
        <v>638</v>
      </c>
      <c r="Z17" s="25">
        <v>2932</v>
      </c>
      <c r="AA17" s="25">
        <v>3736</v>
      </c>
      <c r="AB17" s="25">
        <v>6668</v>
      </c>
      <c r="AC17" s="25">
        <v>68633</v>
      </c>
      <c r="AD17" s="25">
        <v>80028</v>
      </c>
      <c r="AE17" s="25">
        <v>148661</v>
      </c>
    </row>
    <row r="18" spans="1:31" s="76" customFormat="1" ht="24" customHeight="1" x14ac:dyDescent="0.35">
      <c r="A18" s="17">
        <v>14</v>
      </c>
      <c r="B18" s="78" t="s">
        <v>25</v>
      </c>
      <c r="C18" s="25">
        <v>38</v>
      </c>
      <c r="D18" s="25">
        <v>38</v>
      </c>
      <c r="E18" s="25">
        <v>2679</v>
      </c>
      <c r="F18" s="25">
        <v>1845</v>
      </c>
      <c r="G18" s="25">
        <v>4524</v>
      </c>
      <c r="H18" s="25"/>
      <c r="I18" s="25"/>
      <c r="J18" s="25"/>
      <c r="K18" s="25">
        <v>27540</v>
      </c>
      <c r="L18" s="25">
        <v>34361</v>
      </c>
      <c r="M18" s="25">
        <v>61901</v>
      </c>
      <c r="N18" s="25">
        <v>59890</v>
      </c>
      <c r="O18" s="25">
        <v>43197</v>
      </c>
      <c r="P18" s="25">
        <v>103087</v>
      </c>
      <c r="Q18" s="25">
        <v>1446</v>
      </c>
      <c r="R18" s="25">
        <v>839</v>
      </c>
      <c r="S18" s="25">
        <v>2285</v>
      </c>
      <c r="T18" s="25">
        <v>8362</v>
      </c>
      <c r="U18" s="25">
        <v>2913</v>
      </c>
      <c r="V18" s="25">
        <v>11275</v>
      </c>
      <c r="W18" s="25">
        <v>1162</v>
      </c>
      <c r="X18" s="25">
        <v>293</v>
      </c>
      <c r="Y18" s="25">
        <v>1455</v>
      </c>
      <c r="Z18" s="25">
        <v>2831</v>
      </c>
      <c r="AA18" s="25">
        <v>2068</v>
      </c>
      <c r="AB18" s="25">
        <v>4899</v>
      </c>
      <c r="AC18" s="25">
        <v>103910</v>
      </c>
      <c r="AD18" s="25">
        <v>85516</v>
      </c>
      <c r="AE18" s="25">
        <v>189426</v>
      </c>
    </row>
    <row r="19" spans="1:31" s="76" customFormat="1" ht="24" customHeight="1" x14ac:dyDescent="0.35">
      <c r="A19" s="17">
        <v>15</v>
      </c>
      <c r="B19" s="78" t="s">
        <v>26</v>
      </c>
      <c r="C19" s="25">
        <v>91</v>
      </c>
      <c r="D19" s="25">
        <v>90</v>
      </c>
      <c r="E19" s="25">
        <v>7974</v>
      </c>
      <c r="F19" s="25">
        <v>7853</v>
      </c>
      <c r="G19" s="25">
        <v>15827</v>
      </c>
      <c r="H19" s="25">
        <v>31</v>
      </c>
      <c r="I19" s="25">
        <v>146</v>
      </c>
      <c r="J19" s="25">
        <v>177</v>
      </c>
      <c r="K19" s="25">
        <v>74538</v>
      </c>
      <c r="L19" s="25">
        <v>95621</v>
      </c>
      <c r="M19" s="25">
        <v>170159</v>
      </c>
      <c r="N19" s="25">
        <v>195556</v>
      </c>
      <c r="O19" s="25">
        <v>146475</v>
      </c>
      <c r="P19" s="25">
        <v>342031</v>
      </c>
      <c r="Q19" s="25">
        <v>1537</v>
      </c>
      <c r="R19" s="25">
        <v>1211</v>
      </c>
      <c r="S19" s="25">
        <v>2748</v>
      </c>
      <c r="T19" s="25">
        <v>1252</v>
      </c>
      <c r="U19" s="25">
        <v>1419</v>
      </c>
      <c r="V19" s="25">
        <v>2671</v>
      </c>
      <c r="W19" s="25">
        <v>14926</v>
      </c>
      <c r="X19" s="25">
        <v>14784</v>
      </c>
      <c r="Y19" s="25">
        <v>29710</v>
      </c>
      <c r="Z19" s="25">
        <v>4979</v>
      </c>
      <c r="AA19" s="25">
        <v>4718</v>
      </c>
      <c r="AB19" s="25">
        <v>9697</v>
      </c>
      <c r="AC19" s="25">
        <v>300793</v>
      </c>
      <c r="AD19" s="25">
        <v>272227</v>
      </c>
      <c r="AE19" s="25">
        <v>573020</v>
      </c>
    </row>
    <row r="20" spans="1:31" s="76" customFormat="1" ht="24" customHeight="1" x14ac:dyDescent="0.35">
      <c r="A20" s="17">
        <v>16</v>
      </c>
      <c r="B20" s="78" t="s">
        <v>27</v>
      </c>
      <c r="C20" s="25">
        <v>25</v>
      </c>
      <c r="D20" s="25">
        <v>25</v>
      </c>
      <c r="E20" s="25">
        <v>2504</v>
      </c>
      <c r="F20" s="25">
        <v>3780</v>
      </c>
      <c r="G20" s="25">
        <v>6284</v>
      </c>
      <c r="H20" s="25">
        <v>6</v>
      </c>
      <c r="I20" s="25">
        <v>14</v>
      </c>
      <c r="J20" s="25">
        <v>20</v>
      </c>
      <c r="K20" s="25">
        <v>32161</v>
      </c>
      <c r="L20" s="25">
        <v>60059</v>
      </c>
      <c r="M20" s="25">
        <v>92220</v>
      </c>
      <c r="N20" s="25">
        <v>101206</v>
      </c>
      <c r="O20" s="25">
        <v>119314</v>
      </c>
      <c r="P20" s="25">
        <v>220520</v>
      </c>
      <c r="Q20" s="25">
        <v>605</v>
      </c>
      <c r="R20" s="25">
        <v>969</v>
      </c>
      <c r="S20" s="25">
        <v>1574</v>
      </c>
      <c r="T20" s="25">
        <v>1019</v>
      </c>
      <c r="U20" s="25">
        <v>917</v>
      </c>
      <c r="V20" s="25">
        <v>1936</v>
      </c>
      <c r="W20" s="25">
        <v>339</v>
      </c>
      <c r="X20" s="25">
        <v>501</v>
      </c>
      <c r="Y20" s="25">
        <v>840</v>
      </c>
      <c r="Z20" s="25">
        <v>1384</v>
      </c>
      <c r="AA20" s="25">
        <v>1998</v>
      </c>
      <c r="AB20" s="25">
        <v>3382</v>
      </c>
      <c r="AC20" s="25">
        <v>139224</v>
      </c>
      <c r="AD20" s="25">
        <v>187552</v>
      </c>
      <c r="AE20" s="25">
        <v>326776</v>
      </c>
    </row>
    <row r="21" spans="1:31" s="76" customFormat="1" ht="24" customHeight="1" x14ac:dyDescent="0.35">
      <c r="A21" s="17">
        <v>17</v>
      </c>
      <c r="B21" s="79" t="s">
        <v>28</v>
      </c>
      <c r="C21" s="25">
        <v>3</v>
      </c>
      <c r="D21" s="25">
        <v>2</v>
      </c>
      <c r="E21" s="25"/>
      <c r="F21" s="25"/>
      <c r="G21" s="25"/>
      <c r="H21" s="25"/>
      <c r="I21" s="25"/>
      <c r="J21" s="25"/>
      <c r="K21" s="25">
        <v>149</v>
      </c>
      <c r="L21" s="25">
        <v>271</v>
      </c>
      <c r="M21" s="25">
        <v>420</v>
      </c>
      <c r="N21" s="25">
        <v>163</v>
      </c>
      <c r="O21" s="25">
        <v>187</v>
      </c>
      <c r="P21" s="25">
        <v>350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>
        <v>312</v>
      </c>
      <c r="AD21" s="25">
        <v>458</v>
      </c>
      <c r="AE21" s="25">
        <v>770</v>
      </c>
    </row>
    <row r="22" spans="1:31" s="76" customFormat="1" ht="24" customHeight="1" x14ac:dyDescent="0.35">
      <c r="A22" s="17">
        <v>18</v>
      </c>
      <c r="B22" s="78" t="s">
        <v>82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s="76" customFormat="1" ht="24" customHeight="1" x14ac:dyDescent="0.35">
      <c r="A23" s="17">
        <v>19</v>
      </c>
      <c r="B23" s="78" t="s">
        <v>29</v>
      </c>
      <c r="C23" s="25">
        <v>89</v>
      </c>
      <c r="D23" s="25">
        <v>89</v>
      </c>
      <c r="E23" s="25">
        <v>5572</v>
      </c>
      <c r="F23" s="25">
        <v>4242</v>
      </c>
      <c r="G23" s="25">
        <v>9814</v>
      </c>
      <c r="H23" s="25">
        <v>1</v>
      </c>
      <c r="I23" s="25">
        <v>15</v>
      </c>
      <c r="J23" s="25">
        <v>16</v>
      </c>
      <c r="K23" s="25">
        <v>103917</v>
      </c>
      <c r="L23" s="25">
        <v>87863</v>
      </c>
      <c r="M23" s="25">
        <v>191780</v>
      </c>
      <c r="N23" s="25">
        <v>309642</v>
      </c>
      <c r="O23" s="25">
        <v>168938</v>
      </c>
      <c r="P23" s="25">
        <v>478580</v>
      </c>
      <c r="Q23" s="25">
        <v>14807</v>
      </c>
      <c r="R23" s="25">
        <v>17192</v>
      </c>
      <c r="S23" s="25">
        <v>31999</v>
      </c>
      <c r="T23" s="25">
        <v>50280</v>
      </c>
      <c r="U23" s="25">
        <v>27145</v>
      </c>
      <c r="V23" s="25">
        <v>77425</v>
      </c>
      <c r="W23" s="25">
        <v>664</v>
      </c>
      <c r="X23" s="25">
        <v>510</v>
      </c>
      <c r="Y23" s="25">
        <v>1174</v>
      </c>
      <c r="Z23" s="25">
        <v>11931</v>
      </c>
      <c r="AA23" s="25">
        <v>6834</v>
      </c>
      <c r="AB23" s="25">
        <v>18765</v>
      </c>
      <c r="AC23" s="25">
        <v>496814</v>
      </c>
      <c r="AD23" s="25">
        <v>312739</v>
      </c>
      <c r="AE23" s="25">
        <v>809553</v>
      </c>
    </row>
    <row r="24" spans="1:31" s="76" customFormat="1" ht="24" customHeight="1" x14ac:dyDescent="0.35">
      <c r="A24" s="17">
        <v>20</v>
      </c>
      <c r="B24" s="78" t="s">
        <v>30</v>
      </c>
      <c r="C24" s="25">
        <v>87</v>
      </c>
      <c r="D24" s="25">
        <v>85</v>
      </c>
      <c r="E24" s="25">
        <v>10443</v>
      </c>
      <c r="F24" s="25">
        <v>9026</v>
      </c>
      <c r="G24" s="25">
        <v>19469</v>
      </c>
      <c r="H24" s="25"/>
      <c r="I24" s="25"/>
      <c r="J24" s="25"/>
      <c r="K24" s="25">
        <v>160924</v>
      </c>
      <c r="L24" s="25">
        <v>143081</v>
      </c>
      <c r="M24" s="25">
        <v>304005</v>
      </c>
      <c r="N24" s="25">
        <v>373975</v>
      </c>
      <c r="O24" s="25">
        <v>253193</v>
      </c>
      <c r="P24" s="25">
        <v>627168</v>
      </c>
      <c r="Q24" s="25">
        <v>2855</v>
      </c>
      <c r="R24" s="25">
        <v>1979</v>
      </c>
      <c r="S24" s="25">
        <v>4834</v>
      </c>
      <c r="T24" s="25">
        <v>15795</v>
      </c>
      <c r="U24" s="25">
        <v>10560</v>
      </c>
      <c r="V24" s="25">
        <v>26355</v>
      </c>
      <c r="W24" s="25">
        <v>9792</v>
      </c>
      <c r="X24" s="25">
        <v>6782</v>
      </c>
      <c r="Y24" s="25">
        <v>16574</v>
      </c>
      <c r="Z24" s="25">
        <v>5546</v>
      </c>
      <c r="AA24" s="25">
        <v>4202</v>
      </c>
      <c r="AB24" s="25">
        <v>9748</v>
      </c>
      <c r="AC24" s="25">
        <v>579330</v>
      </c>
      <c r="AD24" s="25">
        <v>428823</v>
      </c>
      <c r="AE24" s="25">
        <v>1008153</v>
      </c>
    </row>
    <row r="25" spans="1:31" s="76" customFormat="1" ht="24" customHeight="1" x14ac:dyDescent="0.35">
      <c r="A25" s="17">
        <v>21</v>
      </c>
      <c r="B25" s="78" t="s">
        <v>31</v>
      </c>
      <c r="C25" s="25">
        <v>12</v>
      </c>
      <c r="D25" s="25">
        <v>12</v>
      </c>
      <c r="E25" s="25">
        <v>1497</v>
      </c>
      <c r="F25" s="25">
        <v>1594</v>
      </c>
      <c r="G25" s="25">
        <v>3091</v>
      </c>
      <c r="H25" s="25"/>
      <c r="I25" s="25"/>
      <c r="J25" s="25"/>
      <c r="K25" s="25">
        <v>5424</v>
      </c>
      <c r="L25" s="25">
        <v>5759</v>
      </c>
      <c r="M25" s="25">
        <v>11183</v>
      </c>
      <c r="N25" s="25">
        <v>4783</v>
      </c>
      <c r="O25" s="25">
        <v>2790</v>
      </c>
      <c r="P25" s="25">
        <v>7573</v>
      </c>
      <c r="Q25" s="25">
        <v>110</v>
      </c>
      <c r="R25" s="25">
        <v>75</v>
      </c>
      <c r="S25" s="25">
        <v>185</v>
      </c>
      <c r="T25" s="25">
        <v>181</v>
      </c>
      <c r="U25" s="25">
        <v>134</v>
      </c>
      <c r="V25" s="25">
        <v>315</v>
      </c>
      <c r="W25" s="25">
        <v>28</v>
      </c>
      <c r="X25" s="25">
        <v>27</v>
      </c>
      <c r="Y25" s="25">
        <v>55</v>
      </c>
      <c r="Z25" s="25">
        <v>235</v>
      </c>
      <c r="AA25" s="25">
        <v>108</v>
      </c>
      <c r="AB25" s="25">
        <v>343</v>
      </c>
      <c r="AC25" s="25">
        <v>12258</v>
      </c>
      <c r="AD25" s="25">
        <v>10487</v>
      </c>
      <c r="AE25" s="25">
        <v>22745</v>
      </c>
    </row>
    <row r="26" spans="1:31" s="76" customFormat="1" ht="24" customHeight="1" x14ac:dyDescent="0.35">
      <c r="A26" s="17">
        <v>22</v>
      </c>
      <c r="B26" s="78" t="s">
        <v>32</v>
      </c>
      <c r="C26" s="25">
        <v>12</v>
      </c>
      <c r="D26" s="25">
        <v>11</v>
      </c>
      <c r="E26" s="25">
        <v>1074</v>
      </c>
      <c r="F26" s="25">
        <v>1175</v>
      </c>
      <c r="G26" s="25">
        <v>2249</v>
      </c>
      <c r="H26" s="25">
        <v>1</v>
      </c>
      <c r="I26" s="25"/>
      <c r="J26" s="25">
        <v>1</v>
      </c>
      <c r="K26" s="25">
        <v>5673</v>
      </c>
      <c r="L26" s="25">
        <v>8957</v>
      </c>
      <c r="M26" s="25">
        <v>14630</v>
      </c>
      <c r="N26" s="25">
        <v>4961</v>
      </c>
      <c r="O26" s="25">
        <v>4854</v>
      </c>
      <c r="P26" s="25">
        <v>9815</v>
      </c>
      <c r="Q26" s="25">
        <v>108</v>
      </c>
      <c r="R26" s="25">
        <v>100</v>
      </c>
      <c r="S26" s="25">
        <v>208</v>
      </c>
      <c r="T26" s="25">
        <v>335</v>
      </c>
      <c r="U26" s="25">
        <v>393</v>
      </c>
      <c r="V26" s="25">
        <v>728</v>
      </c>
      <c r="W26" s="25">
        <v>298</v>
      </c>
      <c r="X26" s="25">
        <v>270</v>
      </c>
      <c r="Y26" s="25">
        <v>568</v>
      </c>
      <c r="Z26" s="25">
        <v>130</v>
      </c>
      <c r="AA26" s="25">
        <v>114</v>
      </c>
      <c r="AB26" s="25">
        <v>244</v>
      </c>
      <c r="AC26" s="25">
        <v>12580</v>
      </c>
      <c r="AD26" s="25">
        <v>15863</v>
      </c>
      <c r="AE26" s="25">
        <v>28443</v>
      </c>
    </row>
    <row r="27" spans="1:31" s="76" customFormat="1" ht="24" customHeight="1" x14ac:dyDescent="0.35">
      <c r="A27" s="17">
        <v>23</v>
      </c>
      <c r="B27" s="78" t="s">
        <v>33</v>
      </c>
      <c r="C27" s="25">
        <v>3</v>
      </c>
      <c r="D27" s="25">
        <v>3</v>
      </c>
      <c r="E27" s="25">
        <v>739</v>
      </c>
      <c r="F27" s="25">
        <v>675</v>
      </c>
      <c r="G27" s="25">
        <v>1414</v>
      </c>
      <c r="H27" s="25"/>
      <c r="I27" s="25"/>
      <c r="J27" s="25"/>
      <c r="K27" s="25">
        <v>2020</v>
      </c>
      <c r="L27" s="25">
        <v>2455</v>
      </c>
      <c r="M27" s="25">
        <v>4475</v>
      </c>
      <c r="N27" s="25">
        <v>2708</v>
      </c>
      <c r="O27" s="25">
        <v>2488</v>
      </c>
      <c r="P27" s="25">
        <v>5196</v>
      </c>
      <c r="Q27" s="25">
        <v>16</v>
      </c>
      <c r="R27" s="25">
        <v>17</v>
      </c>
      <c r="S27" s="25">
        <v>33</v>
      </c>
      <c r="T27" s="25">
        <v>6</v>
      </c>
      <c r="U27" s="25">
        <v>43</v>
      </c>
      <c r="V27" s="25">
        <v>49</v>
      </c>
      <c r="W27" s="25"/>
      <c r="X27" s="25"/>
      <c r="Y27" s="25"/>
      <c r="Z27" s="25"/>
      <c r="AA27" s="25"/>
      <c r="AB27" s="25"/>
      <c r="AC27" s="25">
        <v>5489</v>
      </c>
      <c r="AD27" s="25">
        <v>5678</v>
      </c>
      <c r="AE27" s="25">
        <v>11167</v>
      </c>
    </row>
    <row r="28" spans="1:31" s="76" customFormat="1" ht="24" customHeight="1" x14ac:dyDescent="0.35">
      <c r="A28" s="17">
        <v>24</v>
      </c>
      <c r="B28" s="78" t="s">
        <v>34</v>
      </c>
      <c r="C28" s="25">
        <v>6</v>
      </c>
      <c r="D28" s="25">
        <v>6</v>
      </c>
      <c r="E28" s="25">
        <v>394</v>
      </c>
      <c r="F28" s="25">
        <v>451</v>
      </c>
      <c r="G28" s="25">
        <v>845</v>
      </c>
      <c r="H28" s="25"/>
      <c r="I28" s="25"/>
      <c r="J28" s="25"/>
      <c r="K28" s="25">
        <v>2303</v>
      </c>
      <c r="L28" s="25">
        <v>3592</v>
      </c>
      <c r="M28" s="25">
        <v>5895</v>
      </c>
      <c r="N28" s="25">
        <v>3226</v>
      </c>
      <c r="O28" s="25">
        <v>2580</v>
      </c>
      <c r="P28" s="25">
        <v>5806</v>
      </c>
      <c r="Q28" s="25">
        <v>13</v>
      </c>
      <c r="R28" s="25">
        <v>30</v>
      </c>
      <c r="S28" s="25">
        <v>43</v>
      </c>
      <c r="T28" s="25">
        <v>25</v>
      </c>
      <c r="U28" s="25">
        <v>110</v>
      </c>
      <c r="V28" s="25">
        <v>135</v>
      </c>
      <c r="W28" s="25">
        <v>6</v>
      </c>
      <c r="X28" s="25">
        <v>4</v>
      </c>
      <c r="Y28" s="25">
        <v>10</v>
      </c>
      <c r="Z28" s="25"/>
      <c r="AA28" s="25"/>
      <c r="AB28" s="25"/>
      <c r="AC28" s="25">
        <v>5967</v>
      </c>
      <c r="AD28" s="25">
        <v>6767</v>
      </c>
      <c r="AE28" s="25">
        <v>12734</v>
      </c>
    </row>
    <row r="29" spans="1:31" s="76" customFormat="1" ht="24" customHeight="1" x14ac:dyDescent="0.35">
      <c r="A29" s="17">
        <v>25</v>
      </c>
      <c r="B29" s="78" t="s">
        <v>35</v>
      </c>
      <c r="C29" s="25">
        <v>44</v>
      </c>
      <c r="D29" s="25">
        <v>44</v>
      </c>
      <c r="E29" s="25">
        <v>4409</v>
      </c>
      <c r="F29" s="25">
        <v>3448</v>
      </c>
      <c r="G29" s="25">
        <v>7857</v>
      </c>
      <c r="H29" s="25">
        <v>17</v>
      </c>
      <c r="I29" s="25">
        <v>21</v>
      </c>
      <c r="J29" s="25">
        <v>38</v>
      </c>
      <c r="K29" s="25">
        <v>31178</v>
      </c>
      <c r="L29" s="25">
        <v>38776</v>
      </c>
      <c r="M29" s="25">
        <v>69954</v>
      </c>
      <c r="N29" s="25">
        <v>74651</v>
      </c>
      <c r="O29" s="25">
        <v>57588</v>
      </c>
      <c r="P29" s="25">
        <v>132239</v>
      </c>
      <c r="Q29" s="25">
        <v>302</v>
      </c>
      <c r="R29" s="25">
        <v>194</v>
      </c>
      <c r="S29" s="25">
        <v>496</v>
      </c>
      <c r="T29" s="25">
        <v>1670</v>
      </c>
      <c r="U29" s="25">
        <v>1498</v>
      </c>
      <c r="V29" s="25">
        <v>3168</v>
      </c>
      <c r="W29" s="25">
        <v>37</v>
      </c>
      <c r="X29" s="25">
        <v>73</v>
      </c>
      <c r="Y29" s="25">
        <v>110</v>
      </c>
      <c r="Z29" s="25">
        <v>4962</v>
      </c>
      <c r="AA29" s="25">
        <v>4463</v>
      </c>
      <c r="AB29" s="25">
        <v>9425</v>
      </c>
      <c r="AC29" s="25">
        <v>117226</v>
      </c>
      <c r="AD29" s="25">
        <v>106061</v>
      </c>
      <c r="AE29" s="25">
        <v>223287</v>
      </c>
    </row>
    <row r="30" spans="1:31" s="76" customFormat="1" ht="24" customHeight="1" x14ac:dyDescent="0.35">
      <c r="A30" s="17">
        <v>26</v>
      </c>
      <c r="B30" s="78" t="s">
        <v>36</v>
      </c>
      <c r="C30" s="25">
        <v>5</v>
      </c>
      <c r="D30" s="25">
        <v>5</v>
      </c>
      <c r="E30" s="25">
        <v>1100</v>
      </c>
      <c r="F30" s="25">
        <v>955</v>
      </c>
      <c r="G30" s="25">
        <v>2055</v>
      </c>
      <c r="H30" s="25">
        <v>1</v>
      </c>
      <c r="I30" s="25">
        <v>7</v>
      </c>
      <c r="J30" s="25">
        <v>8</v>
      </c>
      <c r="K30" s="25">
        <v>15592</v>
      </c>
      <c r="L30" s="25">
        <v>14769</v>
      </c>
      <c r="M30" s="25">
        <v>30361</v>
      </c>
      <c r="N30" s="25">
        <v>10073</v>
      </c>
      <c r="O30" s="25">
        <v>9489</v>
      </c>
      <c r="P30" s="25">
        <v>19562</v>
      </c>
      <c r="Q30" s="25">
        <v>5</v>
      </c>
      <c r="R30" s="25">
        <v>6</v>
      </c>
      <c r="S30" s="25">
        <v>11</v>
      </c>
      <c r="T30" s="25">
        <v>13</v>
      </c>
      <c r="U30" s="25">
        <v>8</v>
      </c>
      <c r="V30" s="25">
        <v>21</v>
      </c>
      <c r="W30" s="25"/>
      <c r="X30" s="25"/>
      <c r="Y30" s="25"/>
      <c r="Z30" s="25">
        <v>504</v>
      </c>
      <c r="AA30" s="25">
        <v>491</v>
      </c>
      <c r="AB30" s="25">
        <v>995</v>
      </c>
      <c r="AC30" s="25">
        <v>27288</v>
      </c>
      <c r="AD30" s="25">
        <v>25725</v>
      </c>
      <c r="AE30" s="25">
        <v>53013</v>
      </c>
    </row>
    <row r="31" spans="1:31" s="76" customFormat="1" ht="24" customHeight="1" x14ac:dyDescent="0.35">
      <c r="A31" s="17">
        <v>27</v>
      </c>
      <c r="B31" s="78" t="s">
        <v>37</v>
      </c>
      <c r="C31" s="25">
        <v>40</v>
      </c>
      <c r="D31" s="25">
        <v>40</v>
      </c>
      <c r="E31" s="25">
        <v>5441</v>
      </c>
      <c r="F31" s="25">
        <v>7243</v>
      </c>
      <c r="G31" s="25">
        <v>12684</v>
      </c>
      <c r="H31" s="25"/>
      <c r="I31" s="25">
        <v>8</v>
      </c>
      <c r="J31" s="25">
        <v>8</v>
      </c>
      <c r="K31" s="25">
        <v>43043</v>
      </c>
      <c r="L31" s="25">
        <v>40779</v>
      </c>
      <c r="M31" s="25">
        <v>83822</v>
      </c>
      <c r="N31" s="25">
        <v>132795</v>
      </c>
      <c r="O31" s="25">
        <v>81139</v>
      </c>
      <c r="P31" s="25">
        <v>213934</v>
      </c>
      <c r="Q31" s="25">
        <v>497</v>
      </c>
      <c r="R31" s="25">
        <v>509</v>
      </c>
      <c r="S31" s="25">
        <v>1006</v>
      </c>
      <c r="T31" s="25">
        <v>7288</v>
      </c>
      <c r="U31" s="25">
        <v>10666</v>
      </c>
      <c r="V31" s="25">
        <v>17954</v>
      </c>
      <c r="W31" s="25">
        <v>1920</v>
      </c>
      <c r="X31" s="25">
        <v>2770</v>
      </c>
      <c r="Y31" s="25">
        <v>4690</v>
      </c>
      <c r="Z31" s="25">
        <v>8046</v>
      </c>
      <c r="AA31" s="25">
        <v>9985</v>
      </c>
      <c r="AB31" s="25">
        <v>18031</v>
      </c>
      <c r="AC31" s="25">
        <v>199030</v>
      </c>
      <c r="AD31" s="25">
        <v>153099</v>
      </c>
      <c r="AE31" s="25">
        <v>352129</v>
      </c>
    </row>
    <row r="32" spans="1:31" s="76" customFormat="1" ht="24" customHeight="1" x14ac:dyDescent="0.35">
      <c r="A32" s="17">
        <v>28</v>
      </c>
      <c r="B32" s="78" t="s">
        <v>38</v>
      </c>
      <c r="C32" s="25">
        <v>93</v>
      </c>
      <c r="D32" s="25">
        <v>92</v>
      </c>
      <c r="E32" s="25">
        <v>8148</v>
      </c>
      <c r="F32" s="25">
        <v>9701</v>
      </c>
      <c r="G32" s="25">
        <v>17849</v>
      </c>
      <c r="H32" s="25">
        <v>29</v>
      </c>
      <c r="I32" s="25">
        <v>84</v>
      </c>
      <c r="J32" s="25">
        <v>113</v>
      </c>
      <c r="K32" s="25">
        <v>104582</v>
      </c>
      <c r="L32" s="25">
        <v>88697</v>
      </c>
      <c r="M32" s="25">
        <v>193279</v>
      </c>
      <c r="N32" s="25">
        <v>276811</v>
      </c>
      <c r="O32" s="25">
        <v>167245</v>
      </c>
      <c r="P32" s="25">
        <v>444056</v>
      </c>
      <c r="Q32" s="25">
        <v>4400</v>
      </c>
      <c r="R32" s="25">
        <v>2312</v>
      </c>
      <c r="S32" s="25">
        <v>6712</v>
      </c>
      <c r="T32" s="25">
        <v>32271</v>
      </c>
      <c r="U32" s="25">
        <v>18161</v>
      </c>
      <c r="V32" s="25">
        <v>50432</v>
      </c>
      <c r="W32" s="25">
        <v>464</v>
      </c>
      <c r="X32" s="25">
        <v>238</v>
      </c>
      <c r="Y32" s="25">
        <v>702</v>
      </c>
      <c r="Z32" s="25">
        <v>12380</v>
      </c>
      <c r="AA32" s="25">
        <v>9524</v>
      </c>
      <c r="AB32" s="25">
        <v>21904</v>
      </c>
      <c r="AC32" s="25">
        <v>439085</v>
      </c>
      <c r="AD32" s="25">
        <v>295962</v>
      </c>
      <c r="AE32" s="25">
        <v>735047</v>
      </c>
    </row>
    <row r="33" spans="1:31" s="76" customFormat="1" ht="24" customHeight="1" x14ac:dyDescent="0.35">
      <c r="A33" s="17">
        <v>29</v>
      </c>
      <c r="B33" s="78" t="s">
        <v>39</v>
      </c>
      <c r="C33" s="25">
        <v>11</v>
      </c>
      <c r="D33" s="25">
        <v>10</v>
      </c>
      <c r="E33" s="25">
        <v>215</v>
      </c>
      <c r="F33" s="25">
        <v>153</v>
      </c>
      <c r="G33" s="25">
        <v>368</v>
      </c>
      <c r="H33" s="25"/>
      <c r="I33" s="25"/>
      <c r="J33" s="25"/>
      <c r="K33" s="25">
        <v>2674</v>
      </c>
      <c r="L33" s="25">
        <v>3703</v>
      </c>
      <c r="M33" s="25">
        <v>6377</v>
      </c>
      <c r="N33" s="25">
        <v>6962</v>
      </c>
      <c r="O33" s="25">
        <v>5976</v>
      </c>
      <c r="P33" s="25">
        <v>12938</v>
      </c>
      <c r="Q33" s="25">
        <v>13</v>
      </c>
      <c r="R33" s="25">
        <v>8</v>
      </c>
      <c r="S33" s="25">
        <v>21</v>
      </c>
      <c r="T33" s="25">
        <v>460</v>
      </c>
      <c r="U33" s="25">
        <v>498</v>
      </c>
      <c r="V33" s="25">
        <v>958</v>
      </c>
      <c r="W33" s="25">
        <v>4</v>
      </c>
      <c r="X33" s="25">
        <v>4</v>
      </c>
      <c r="Y33" s="25">
        <v>8</v>
      </c>
      <c r="Z33" s="25">
        <v>99</v>
      </c>
      <c r="AA33" s="25">
        <v>87</v>
      </c>
      <c r="AB33" s="25">
        <v>186</v>
      </c>
      <c r="AC33" s="25">
        <v>10427</v>
      </c>
      <c r="AD33" s="25">
        <v>10429</v>
      </c>
      <c r="AE33" s="25">
        <v>20856</v>
      </c>
    </row>
    <row r="34" spans="1:31" s="76" customFormat="1" ht="24" customHeight="1" x14ac:dyDescent="0.35">
      <c r="A34" s="17">
        <v>30</v>
      </c>
      <c r="B34" s="78" t="s">
        <v>40</v>
      </c>
      <c r="C34" s="25">
        <v>65</v>
      </c>
      <c r="D34" s="25">
        <v>65</v>
      </c>
      <c r="E34" s="25">
        <v>16220</v>
      </c>
      <c r="F34" s="25">
        <v>17703</v>
      </c>
      <c r="G34" s="25">
        <v>33923</v>
      </c>
      <c r="H34" s="25">
        <v>18</v>
      </c>
      <c r="I34" s="25">
        <v>74</v>
      </c>
      <c r="J34" s="25">
        <v>92</v>
      </c>
      <c r="K34" s="25">
        <v>102568</v>
      </c>
      <c r="L34" s="25">
        <v>118948</v>
      </c>
      <c r="M34" s="25">
        <v>221516</v>
      </c>
      <c r="N34" s="25">
        <v>344201</v>
      </c>
      <c r="O34" s="25">
        <v>218560</v>
      </c>
      <c r="P34" s="25">
        <v>562761</v>
      </c>
      <c r="Q34" s="25">
        <v>811</v>
      </c>
      <c r="R34" s="25">
        <v>733</v>
      </c>
      <c r="S34" s="25">
        <v>1544</v>
      </c>
      <c r="T34" s="25">
        <v>3371</v>
      </c>
      <c r="U34" s="25">
        <v>5048</v>
      </c>
      <c r="V34" s="25">
        <v>8419</v>
      </c>
      <c r="W34" s="25">
        <v>2815</v>
      </c>
      <c r="X34" s="25">
        <v>16985</v>
      </c>
      <c r="Y34" s="25">
        <v>19800</v>
      </c>
      <c r="Z34" s="25">
        <v>11116</v>
      </c>
      <c r="AA34" s="25">
        <v>10152</v>
      </c>
      <c r="AB34" s="25">
        <v>21268</v>
      </c>
      <c r="AC34" s="25">
        <v>481120</v>
      </c>
      <c r="AD34" s="25">
        <v>388203</v>
      </c>
      <c r="AE34" s="25">
        <v>869323</v>
      </c>
    </row>
    <row r="35" spans="1:31" s="76" customFormat="1" ht="24" customHeight="1" x14ac:dyDescent="0.35">
      <c r="A35" s="17">
        <v>31</v>
      </c>
      <c r="B35" s="78" t="s">
        <v>41</v>
      </c>
      <c r="C35" s="25">
        <v>33</v>
      </c>
      <c r="D35" s="25">
        <v>31</v>
      </c>
      <c r="E35" s="25">
        <v>5501</v>
      </c>
      <c r="F35" s="25">
        <v>3776</v>
      </c>
      <c r="G35" s="25">
        <v>9277</v>
      </c>
      <c r="H35" s="25"/>
      <c r="I35" s="25"/>
      <c r="J35" s="25"/>
      <c r="K35" s="25">
        <v>46132</v>
      </c>
      <c r="L35" s="25">
        <v>58867</v>
      </c>
      <c r="M35" s="25">
        <v>104999</v>
      </c>
      <c r="N35" s="25">
        <v>156884</v>
      </c>
      <c r="O35" s="25">
        <v>131750</v>
      </c>
      <c r="P35" s="25">
        <v>288634</v>
      </c>
      <c r="Q35" s="25">
        <v>4164</v>
      </c>
      <c r="R35" s="25">
        <v>4132</v>
      </c>
      <c r="S35" s="25">
        <v>8296</v>
      </c>
      <c r="T35" s="25">
        <v>3506</v>
      </c>
      <c r="U35" s="25">
        <v>1744</v>
      </c>
      <c r="V35" s="25">
        <v>5250</v>
      </c>
      <c r="W35" s="25">
        <v>1631</v>
      </c>
      <c r="X35" s="25">
        <v>617</v>
      </c>
      <c r="Y35" s="25">
        <v>2248</v>
      </c>
      <c r="Z35" s="25">
        <v>3631</v>
      </c>
      <c r="AA35" s="25">
        <v>2027</v>
      </c>
      <c r="AB35" s="25">
        <v>5658</v>
      </c>
      <c r="AC35" s="25">
        <v>221449</v>
      </c>
      <c r="AD35" s="25">
        <v>202913</v>
      </c>
      <c r="AE35" s="25">
        <v>424362</v>
      </c>
    </row>
    <row r="36" spans="1:31" s="76" customFormat="1" ht="33.75" customHeight="1" x14ac:dyDescent="0.35">
      <c r="A36" s="17">
        <v>32</v>
      </c>
      <c r="B36" s="77" t="s">
        <v>58</v>
      </c>
      <c r="C36" s="25"/>
      <c r="D36" s="25"/>
      <c r="E36" s="25"/>
      <c r="F36" s="25"/>
      <c r="G36" s="25"/>
      <c r="H36" s="25"/>
      <c r="I36" s="25"/>
      <c r="J36" s="25"/>
      <c r="K36" s="25">
        <v>53</v>
      </c>
      <c r="L36" s="25">
        <v>67</v>
      </c>
      <c r="M36" s="25">
        <v>120</v>
      </c>
      <c r="N36" s="25">
        <v>316</v>
      </c>
      <c r="O36" s="25">
        <v>44</v>
      </c>
      <c r="P36" s="25">
        <v>360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>
        <v>369</v>
      </c>
      <c r="AD36" s="25">
        <v>111</v>
      </c>
      <c r="AE36" s="25">
        <v>480</v>
      </c>
    </row>
    <row r="37" spans="1:31" s="76" customFormat="1" ht="24" customHeight="1" x14ac:dyDescent="0.35">
      <c r="A37" s="17">
        <v>33</v>
      </c>
      <c r="B37" s="78" t="s">
        <v>42</v>
      </c>
      <c r="C37" s="25">
        <v>9</v>
      </c>
      <c r="D37" s="25">
        <v>9</v>
      </c>
      <c r="E37" s="25">
        <v>355</v>
      </c>
      <c r="F37" s="25">
        <v>215</v>
      </c>
      <c r="G37" s="25">
        <v>570</v>
      </c>
      <c r="H37" s="25"/>
      <c r="I37" s="25"/>
      <c r="J37" s="25"/>
      <c r="K37" s="25">
        <v>4478</v>
      </c>
      <c r="L37" s="25">
        <v>4798</v>
      </c>
      <c r="M37" s="25">
        <v>9276</v>
      </c>
      <c r="N37" s="25">
        <v>7005</v>
      </c>
      <c r="O37" s="25">
        <v>4069</v>
      </c>
      <c r="P37" s="25">
        <v>11074</v>
      </c>
      <c r="Q37" s="25">
        <v>71</v>
      </c>
      <c r="R37" s="25">
        <v>36</v>
      </c>
      <c r="S37" s="25">
        <v>107</v>
      </c>
      <c r="T37" s="25">
        <v>77</v>
      </c>
      <c r="U37" s="25">
        <v>122</v>
      </c>
      <c r="V37" s="25">
        <v>199</v>
      </c>
      <c r="W37" s="25">
        <v>5</v>
      </c>
      <c r="X37" s="25"/>
      <c r="Y37" s="25">
        <v>5</v>
      </c>
      <c r="Z37" s="25">
        <v>1260</v>
      </c>
      <c r="AA37" s="25">
        <v>1046</v>
      </c>
      <c r="AB37" s="25">
        <v>2306</v>
      </c>
      <c r="AC37" s="25">
        <v>13251</v>
      </c>
      <c r="AD37" s="25">
        <v>10286</v>
      </c>
      <c r="AE37" s="25">
        <v>23537</v>
      </c>
    </row>
    <row r="38" spans="1:31" s="76" customFormat="1" ht="24" customHeight="1" x14ac:dyDescent="0.35">
      <c r="A38" s="17">
        <v>34</v>
      </c>
      <c r="B38" s="78" t="s">
        <v>43</v>
      </c>
      <c r="C38" s="25">
        <v>103</v>
      </c>
      <c r="D38" s="25">
        <v>103</v>
      </c>
      <c r="E38" s="25">
        <v>17500</v>
      </c>
      <c r="F38" s="25">
        <v>14352</v>
      </c>
      <c r="G38" s="25">
        <v>31852</v>
      </c>
      <c r="H38" s="25">
        <v>9</v>
      </c>
      <c r="I38" s="25">
        <v>56</v>
      </c>
      <c r="J38" s="25">
        <v>65</v>
      </c>
      <c r="K38" s="25">
        <v>124910</v>
      </c>
      <c r="L38" s="25">
        <v>99471</v>
      </c>
      <c r="M38" s="25">
        <v>224381</v>
      </c>
      <c r="N38" s="25">
        <v>330696</v>
      </c>
      <c r="O38" s="25">
        <v>171421</v>
      </c>
      <c r="P38" s="25">
        <v>502117</v>
      </c>
      <c r="Q38" s="25">
        <v>2831</v>
      </c>
      <c r="R38" s="25">
        <v>1831</v>
      </c>
      <c r="S38" s="25">
        <v>4662</v>
      </c>
      <c r="T38" s="25">
        <v>22408</v>
      </c>
      <c r="U38" s="25">
        <v>9149</v>
      </c>
      <c r="V38" s="25">
        <v>31557</v>
      </c>
      <c r="W38" s="25">
        <v>12852</v>
      </c>
      <c r="X38" s="25">
        <v>11366</v>
      </c>
      <c r="Y38" s="25">
        <v>24218</v>
      </c>
      <c r="Z38" s="25">
        <v>15206</v>
      </c>
      <c r="AA38" s="25">
        <v>10435</v>
      </c>
      <c r="AB38" s="25">
        <v>25641</v>
      </c>
      <c r="AC38" s="25">
        <v>526412</v>
      </c>
      <c r="AD38" s="25">
        <v>318081</v>
      </c>
      <c r="AE38" s="25">
        <v>844493</v>
      </c>
    </row>
    <row r="39" spans="1:31" s="76" customFormat="1" ht="24" customHeight="1" x14ac:dyDescent="0.35">
      <c r="A39" s="17">
        <v>35</v>
      </c>
      <c r="B39" s="78" t="s">
        <v>44</v>
      </c>
      <c r="C39" s="25">
        <v>41</v>
      </c>
      <c r="D39" s="25">
        <v>40</v>
      </c>
      <c r="E39" s="25">
        <v>4539</v>
      </c>
      <c r="F39" s="25">
        <v>3819</v>
      </c>
      <c r="G39" s="25">
        <v>8358</v>
      </c>
      <c r="H39" s="25"/>
      <c r="I39" s="25"/>
      <c r="J39" s="25"/>
      <c r="K39" s="25">
        <v>36926</v>
      </c>
      <c r="L39" s="25">
        <v>42487</v>
      </c>
      <c r="M39" s="25">
        <v>79413</v>
      </c>
      <c r="N39" s="25">
        <v>117732</v>
      </c>
      <c r="O39" s="25">
        <v>87473</v>
      </c>
      <c r="P39" s="25">
        <v>205205</v>
      </c>
      <c r="Q39" s="25">
        <v>294</v>
      </c>
      <c r="R39" s="25">
        <v>215</v>
      </c>
      <c r="S39" s="25">
        <v>509</v>
      </c>
      <c r="T39" s="25">
        <v>3410</v>
      </c>
      <c r="U39" s="25">
        <v>962</v>
      </c>
      <c r="V39" s="25">
        <v>4372</v>
      </c>
      <c r="W39" s="25">
        <v>128</v>
      </c>
      <c r="X39" s="25">
        <v>74</v>
      </c>
      <c r="Y39" s="25">
        <v>202</v>
      </c>
      <c r="Z39" s="25">
        <v>2712</v>
      </c>
      <c r="AA39" s="25">
        <v>1963</v>
      </c>
      <c r="AB39" s="25">
        <v>4675</v>
      </c>
      <c r="AC39" s="25">
        <v>165741</v>
      </c>
      <c r="AD39" s="25">
        <v>136993</v>
      </c>
      <c r="AE39" s="25">
        <v>302734</v>
      </c>
    </row>
    <row r="40" spans="1:31" s="76" customFormat="1" ht="24" customHeight="1" x14ac:dyDescent="0.35">
      <c r="A40" s="17">
        <v>36</v>
      </c>
      <c r="B40" s="78" t="s">
        <v>45</v>
      </c>
      <c r="C40" s="25">
        <v>59</v>
      </c>
      <c r="D40" s="25">
        <v>59</v>
      </c>
      <c r="E40" s="25">
        <v>9684</v>
      </c>
      <c r="F40" s="25">
        <v>6543</v>
      </c>
      <c r="G40" s="25">
        <v>16227</v>
      </c>
      <c r="H40" s="25">
        <v>77</v>
      </c>
      <c r="I40" s="25">
        <v>53</v>
      </c>
      <c r="J40" s="25">
        <v>130</v>
      </c>
      <c r="K40" s="25">
        <v>83725</v>
      </c>
      <c r="L40" s="25">
        <v>126852</v>
      </c>
      <c r="M40" s="25">
        <v>210577</v>
      </c>
      <c r="N40" s="25">
        <v>211093</v>
      </c>
      <c r="O40" s="25">
        <v>131109</v>
      </c>
      <c r="P40" s="25">
        <v>342202</v>
      </c>
      <c r="Q40" s="25">
        <v>893</v>
      </c>
      <c r="R40" s="25">
        <v>1117</v>
      </c>
      <c r="S40" s="25">
        <v>2010</v>
      </c>
      <c r="T40" s="25">
        <v>2230</v>
      </c>
      <c r="U40" s="25">
        <v>1469</v>
      </c>
      <c r="V40" s="25">
        <v>3699</v>
      </c>
      <c r="W40" s="25">
        <v>1173</v>
      </c>
      <c r="X40" s="25">
        <v>664</v>
      </c>
      <c r="Y40" s="25">
        <v>1837</v>
      </c>
      <c r="Z40" s="25">
        <v>5485</v>
      </c>
      <c r="AA40" s="25">
        <v>2221</v>
      </c>
      <c r="AB40" s="25">
        <v>7706</v>
      </c>
      <c r="AC40" s="25">
        <v>314360</v>
      </c>
      <c r="AD40" s="25">
        <v>270028</v>
      </c>
      <c r="AE40" s="25">
        <v>584388</v>
      </c>
    </row>
    <row r="41" spans="1:31" s="80" customFormat="1" ht="21.75" customHeight="1" x14ac:dyDescent="0.35">
      <c r="A41" s="686" t="s">
        <v>46</v>
      </c>
      <c r="B41" s="686"/>
      <c r="C41" s="41">
        <v>1289</v>
      </c>
      <c r="D41" s="41">
        <v>1278</v>
      </c>
      <c r="E41" s="41">
        <v>150461</v>
      </c>
      <c r="F41" s="41">
        <v>142091</v>
      </c>
      <c r="G41" s="41">
        <v>292552</v>
      </c>
      <c r="H41" s="41">
        <v>257</v>
      </c>
      <c r="I41" s="41">
        <v>644</v>
      </c>
      <c r="J41" s="41">
        <v>901</v>
      </c>
      <c r="K41" s="41">
        <v>1392514</v>
      </c>
      <c r="L41" s="41">
        <v>1565849</v>
      </c>
      <c r="M41" s="41">
        <v>2958363</v>
      </c>
      <c r="N41" s="41">
        <v>3999916</v>
      </c>
      <c r="O41" s="41">
        <v>2814259</v>
      </c>
      <c r="P41" s="41">
        <v>6814175</v>
      </c>
      <c r="Q41" s="41">
        <v>49245</v>
      </c>
      <c r="R41" s="41">
        <v>44860</v>
      </c>
      <c r="S41" s="41">
        <v>94105</v>
      </c>
      <c r="T41" s="41">
        <v>212176</v>
      </c>
      <c r="U41" s="41">
        <v>127530</v>
      </c>
      <c r="V41" s="41">
        <v>339706</v>
      </c>
      <c r="W41" s="41">
        <v>56770</v>
      </c>
      <c r="X41" s="41">
        <v>61369</v>
      </c>
      <c r="Y41" s="41">
        <v>118139</v>
      </c>
      <c r="Z41" s="41">
        <v>132989</v>
      </c>
      <c r="AA41" s="41">
        <v>107968</v>
      </c>
      <c r="AB41" s="41">
        <v>240957</v>
      </c>
      <c r="AC41" s="41">
        <v>5994328</v>
      </c>
      <c r="AD41" s="41">
        <v>4864570</v>
      </c>
      <c r="AE41" s="41">
        <v>10858898</v>
      </c>
    </row>
    <row r="42" spans="1:31" s="80" customFormat="1" ht="12" customHeight="1" x14ac:dyDescent="0.35">
      <c r="A42" s="472"/>
      <c r="B42" s="472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  <c r="X42" s="366"/>
      <c r="Y42" s="366"/>
      <c r="Z42" s="366"/>
      <c r="AA42" s="366"/>
      <c r="AB42" s="366"/>
      <c r="AC42" s="366"/>
      <c r="AD42" s="366"/>
      <c r="AE42" s="366"/>
    </row>
    <row r="43" spans="1:31" x14ac:dyDescent="0.35">
      <c r="B43" s="473"/>
      <c r="C43" s="718" t="s">
        <v>107</v>
      </c>
      <c r="D43" s="718"/>
      <c r="E43" s="718"/>
      <c r="F43" s="718"/>
      <c r="G43" s="718"/>
      <c r="H43" s="718"/>
      <c r="I43" s="718"/>
      <c r="J43" s="718"/>
      <c r="K43" s="718"/>
      <c r="L43" s="718"/>
      <c r="M43" s="718"/>
      <c r="N43" s="718" t="str">
        <f>C43</f>
        <v>Note - Constituent Colleges of State/Central University not included.</v>
      </c>
      <c r="O43" s="718"/>
      <c r="P43" s="718"/>
      <c r="Q43" s="718"/>
      <c r="R43" s="718"/>
      <c r="S43" s="718"/>
      <c r="T43" s="718"/>
      <c r="U43" s="718"/>
      <c r="V43" s="718"/>
      <c r="W43" s="718" t="str">
        <f>N43</f>
        <v>Note - Constituent Colleges of State/Central University not included.</v>
      </c>
      <c r="X43" s="718"/>
      <c r="Y43" s="718"/>
      <c r="Z43" s="718"/>
      <c r="AA43" s="718"/>
      <c r="AB43" s="718"/>
      <c r="AC43" s="718"/>
      <c r="AD43" s="718"/>
      <c r="AE43" s="718"/>
    </row>
  </sheetData>
  <mergeCells count="19">
    <mergeCell ref="AC2:AE2"/>
    <mergeCell ref="N43:V43"/>
    <mergeCell ref="W43:AE43"/>
    <mergeCell ref="C43:M43"/>
    <mergeCell ref="A41:B41"/>
    <mergeCell ref="C1:M1"/>
    <mergeCell ref="N1:V1"/>
    <mergeCell ref="W1:AE1"/>
    <mergeCell ref="A2:A3"/>
    <mergeCell ref="B2:B3"/>
    <mergeCell ref="C2:D2"/>
    <mergeCell ref="E2:G2"/>
    <mergeCell ref="H2:J2"/>
    <mergeCell ref="K2:M2"/>
    <mergeCell ref="N2:P2"/>
    <mergeCell ref="Q2:S2"/>
    <mergeCell ref="T2:V2"/>
    <mergeCell ref="W2:Y2"/>
    <mergeCell ref="Z2:AB2"/>
  </mergeCells>
  <pageMargins left="0.23622047244094491" right="0.15748031496062992" top="0.39370078740157483" bottom="0.39370078740157483" header="0.31496062992125984" footer="0.19685039370078741"/>
  <pageSetup paperSize="9" scale="75" firstPageNumber="13" orientation="portrait" r:id="rId1"/>
  <headerFooter>
    <oddFooter>&amp;L&amp;"Arial,Italic"&amp;9AISHE 2023-24&amp;RT-7</oddFooter>
  </headerFooter>
  <colBreaks count="2" manualBreakCount="2">
    <brk id="13" max="1048575" man="1"/>
    <brk id="2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020B-2D92-4D97-A838-FA3CC6C780C9}">
  <dimension ref="A1:AF41"/>
  <sheetViews>
    <sheetView view="pageBreakPreview" zoomScaleNormal="100" zoomScaleSheetLayoutView="100" workbookViewId="0">
      <pane xSplit="2" ySplit="4" topLeftCell="M38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9.453125" defaultRowHeight="13" x14ac:dyDescent="0.3"/>
  <cols>
    <col min="1" max="1" width="3.453125" style="88" bestFit="1" customWidth="1"/>
    <col min="2" max="2" width="20" style="88" customWidth="1"/>
    <col min="3" max="4" width="11.453125" style="88" customWidth="1"/>
    <col min="5" max="7" width="8.1796875" style="88" bestFit="1" customWidth="1"/>
    <col min="8" max="8" width="5.453125" style="88" bestFit="1" customWidth="1"/>
    <col min="9" max="10" width="7.1796875" style="88" bestFit="1" customWidth="1"/>
    <col min="11" max="12" width="11" style="88" bestFit="1" customWidth="1"/>
    <col min="13" max="13" width="11" style="88" customWidth="1"/>
    <col min="14" max="15" width="14.54296875" style="88" customWidth="1"/>
    <col min="16" max="16" width="13" style="88" customWidth="1"/>
    <col min="17" max="19" width="9.26953125" style="88" customWidth="1"/>
    <col min="20" max="20" width="9.81640625" style="88" bestFit="1" customWidth="1"/>
    <col min="21" max="22" width="10.453125" style="88" customWidth="1"/>
    <col min="23" max="25" width="8.1796875" style="88" bestFit="1" customWidth="1"/>
    <col min="26" max="28" width="9.81640625" style="88" bestFit="1" customWidth="1"/>
    <col min="29" max="29" width="13.1796875" style="88" customWidth="1"/>
    <col min="30" max="30" width="12.7265625" style="88" customWidth="1"/>
    <col min="31" max="31" width="12.81640625" style="88" customWidth="1"/>
    <col min="32" max="32" width="9" style="88" customWidth="1"/>
    <col min="33" max="16384" width="9.453125" style="88"/>
  </cols>
  <sheetData>
    <row r="1" spans="1:32" s="82" customFormat="1" ht="30.75" customHeight="1" x14ac:dyDescent="0.35">
      <c r="B1" s="561"/>
      <c r="C1" s="728" t="s">
        <v>991</v>
      </c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8" t="str">
        <f>C1</f>
        <v>Table 8. States/UTs-wise Number of Registered and Responded Colleges and their Enrolment at various levels 
(Based on Actual Response)</v>
      </c>
      <c r="O1" s="728"/>
      <c r="P1" s="728"/>
      <c r="Q1" s="728"/>
      <c r="R1" s="728"/>
      <c r="S1" s="728"/>
      <c r="T1" s="728"/>
      <c r="U1" s="728"/>
      <c r="V1" s="728"/>
      <c r="W1" s="728" t="str">
        <f>C1</f>
        <v>Table 8. States/UTs-wise Number of Registered and Responded Colleges and their Enrolment at various levels 
(Based on Actual Response)</v>
      </c>
      <c r="X1" s="728"/>
      <c r="Y1" s="728"/>
      <c r="Z1" s="728"/>
      <c r="AA1" s="728"/>
      <c r="AB1" s="728"/>
      <c r="AC1" s="728"/>
      <c r="AD1" s="728"/>
      <c r="AE1" s="728"/>
      <c r="AF1" s="728"/>
    </row>
    <row r="2" spans="1:32" s="84" customFormat="1" ht="18.75" customHeight="1" x14ac:dyDescent="0.35">
      <c r="A2" s="726" t="s">
        <v>94</v>
      </c>
      <c r="B2" s="726" t="s">
        <v>922</v>
      </c>
      <c r="C2" s="726" t="s">
        <v>108</v>
      </c>
      <c r="D2" s="726"/>
      <c r="E2" s="726" t="s">
        <v>95</v>
      </c>
      <c r="F2" s="726"/>
      <c r="G2" s="726"/>
      <c r="H2" s="726" t="s">
        <v>96</v>
      </c>
      <c r="I2" s="726"/>
      <c r="J2" s="726"/>
      <c r="K2" s="726" t="s">
        <v>97</v>
      </c>
      <c r="L2" s="726"/>
      <c r="M2" s="726"/>
      <c r="N2" s="726" t="s">
        <v>98</v>
      </c>
      <c r="O2" s="726"/>
      <c r="P2" s="726"/>
      <c r="Q2" s="726" t="s">
        <v>99</v>
      </c>
      <c r="R2" s="726"/>
      <c r="S2" s="726"/>
      <c r="T2" s="726" t="s">
        <v>100</v>
      </c>
      <c r="U2" s="726"/>
      <c r="V2" s="726"/>
      <c r="W2" s="726" t="s">
        <v>101</v>
      </c>
      <c r="X2" s="726"/>
      <c r="Y2" s="726"/>
      <c r="Z2" s="726" t="s">
        <v>102</v>
      </c>
      <c r="AA2" s="726"/>
      <c r="AB2" s="726"/>
      <c r="AC2" s="726" t="s">
        <v>12</v>
      </c>
      <c r="AD2" s="726"/>
      <c r="AE2" s="726"/>
      <c r="AF2" s="727" t="s">
        <v>109</v>
      </c>
    </row>
    <row r="3" spans="1:32" s="16" customFormat="1" ht="18.75" customHeight="1" x14ac:dyDescent="0.35">
      <c r="A3" s="726"/>
      <c r="B3" s="726"/>
      <c r="C3" s="85" t="s">
        <v>53</v>
      </c>
      <c r="D3" s="83" t="s">
        <v>110</v>
      </c>
      <c r="E3" s="85" t="s">
        <v>103</v>
      </c>
      <c r="F3" s="85" t="s">
        <v>104</v>
      </c>
      <c r="G3" s="85" t="s">
        <v>89</v>
      </c>
      <c r="H3" s="85" t="s">
        <v>103</v>
      </c>
      <c r="I3" s="85" t="s">
        <v>104</v>
      </c>
      <c r="J3" s="85" t="s">
        <v>89</v>
      </c>
      <c r="K3" s="85" t="s">
        <v>103</v>
      </c>
      <c r="L3" s="85" t="s">
        <v>104</v>
      </c>
      <c r="M3" s="85" t="s">
        <v>89</v>
      </c>
      <c r="N3" s="85" t="s">
        <v>103</v>
      </c>
      <c r="O3" s="85" t="s">
        <v>104</v>
      </c>
      <c r="P3" s="85" t="s">
        <v>89</v>
      </c>
      <c r="Q3" s="85" t="s">
        <v>103</v>
      </c>
      <c r="R3" s="85" t="s">
        <v>104</v>
      </c>
      <c r="S3" s="85" t="s">
        <v>89</v>
      </c>
      <c r="T3" s="85" t="s">
        <v>103</v>
      </c>
      <c r="U3" s="85" t="s">
        <v>104</v>
      </c>
      <c r="V3" s="85" t="s">
        <v>89</v>
      </c>
      <c r="W3" s="85" t="s">
        <v>103</v>
      </c>
      <c r="X3" s="85" t="s">
        <v>104</v>
      </c>
      <c r="Y3" s="85" t="s">
        <v>89</v>
      </c>
      <c r="Z3" s="85" t="s">
        <v>103</v>
      </c>
      <c r="AA3" s="85" t="s">
        <v>104</v>
      </c>
      <c r="AB3" s="85" t="s">
        <v>89</v>
      </c>
      <c r="AC3" s="85" t="s">
        <v>103</v>
      </c>
      <c r="AD3" s="85" t="s">
        <v>104</v>
      </c>
      <c r="AE3" s="85" t="s">
        <v>89</v>
      </c>
      <c r="AF3" s="727"/>
    </row>
    <row r="4" spans="1:32" s="549" customFormat="1" ht="10.5" x14ac:dyDescent="0.35">
      <c r="A4" s="547">
        <v>1</v>
      </c>
      <c r="B4" s="547">
        <v>2</v>
      </c>
      <c r="C4" s="547">
        <v>3</v>
      </c>
      <c r="D4" s="547">
        <v>4</v>
      </c>
      <c r="E4" s="547">
        <v>5</v>
      </c>
      <c r="F4" s="547">
        <v>6</v>
      </c>
      <c r="G4" s="547">
        <v>7</v>
      </c>
      <c r="H4" s="547">
        <v>8</v>
      </c>
      <c r="I4" s="547">
        <v>9</v>
      </c>
      <c r="J4" s="547">
        <v>10</v>
      </c>
      <c r="K4" s="547">
        <v>11</v>
      </c>
      <c r="L4" s="547">
        <v>12</v>
      </c>
      <c r="M4" s="547">
        <v>13</v>
      </c>
      <c r="N4" s="547">
        <v>14</v>
      </c>
      <c r="O4" s="547">
        <v>15</v>
      </c>
      <c r="P4" s="547">
        <v>16</v>
      </c>
      <c r="Q4" s="547">
        <v>17</v>
      </c>
      <c r="R4" s="547">
        <v>18</v>
      </c>
      <c r="S4" s="547">
        <v>19</v>
      </c>
      <c r="T4" s="547">
        <v>20</v>
      </c>
      <c r="U4" s="547">
        <v>21</v>
      </c>
      <c r="V4" s="547">
        <v>22</v>
      </c>
      <c r="W4" s="547">
        <v>23</v>
      </c>
      <c r="X4" s="547">
        <v>24</v>
      </c>
      <c r="Y4" s="547">
        <v>25</v>
      </c>
      <c r="Z4" s="547">
        <v>26</v>
      </c>
      <c r="AA4" s="547">
        <v>27</v>
      </c>
      <c r="AB4" s="547">
        <v>28</v>
      </c>
      <c r="AC4" s="547">
        <v>29</v>
      </c>
      <c r="AD4" s="547">
        <v>30</v>
      </c>
      <c r="AE4" s="547">
        <v>31</v>
      </c>
      <c r="AF4" s="547">
        <v>32</v>
      </c>
    </row>
    <row r="5" spans="1:32" s="16" customFormat="1" ht="26.25" customHeight="1" x14ac:dyDescent="0.35">
      <c r="A5" s="87">
        <v>1</v>
      </c>
      <c r="B5" s="368" t="s">
        <v>56</v>
      </c>
      <c r="C5" s="25">
        <v>9</v>
      </c>
      <c r="D5" s="25">
        <v>3</v>
      </c>
      <c r="E5" s="25"/>
      <c r="F5" s="25"/>
      <c r="G5" s="25"/>
      <c r="H5" s="25"/>
      <c r="I5" s="25"/>
      <c r="J5" s="25"/>
      <c r="K5" s="25"/>
      <c r="L5" s="25"/>
      <c r="M5" s="25"/>
      <c r="N5" s="25">
        <v>482</v>
      </c>
      <c r="O5" s="25">
        <v>490</v>
      </c>
      <c r="P5" s="25">
        <v>972</v>
      </c>
      <c r="Q5" s="25">
        <v>1</v>
      </c>
      <c r="R5" s="25"/>
      <c r="S5" s="25">
        <v>1</v>
      </c>
      <c r="T5" s="25">
        <v>331</v>
      </c>
      <c r="U5" s="25">
        <v>163</v>
      </c>
      <c r="V5" s="25">
        <v>494</v>
      </c>
      <c r="W5" s="25"/>
      <c r="X5" s="25"/>
      <c r="Y5" s="25"/>
      <c r="Z5" s="25">
        <v>48</v>
      </c>
      <c r="AA5" s="25">
        <v>131</v>
      </c>
      <c r="AB5" s="25">
        <v>179</v>
      </c>
      <c r="AC5" s="25">
        <v>862</v>
      </c>
      <c r="AD5" s="25">
        <v>784</v>
      </c>
      <c r="AE5" s="25">
        <v>1646</v>
      </c>
      <c r="AF5" s="25">
        <v>548.66666666666663</v>
      </c>
    </row>
    <row r="6" spans="1:32" s="16" customFormat="1" ht="26.25" customHeight="1" x14ac:dyDescent="0.35">
      <c r="A6" s="87">
        <v>2</v>
      </c>
      <c r="B6" s="369" t="s">
        <v>13</v>
      </c>
      <c r="C6" s="25">
        <v>2587</v>
      </c>
      <c r="D6" s="25">
        <v>2561</v>
      </c>
      <c r="E6" s="25">
        <v>726</v>
      </c>
      <c r="F6" s="25">
        <v>754</v>
      </c>
      <c r="G6" s="25">
        <v>1480</v>
      </c>
      <c r="H6" s="25"/>
      <c r="I6" s="25"/>
      <c r="J6" s="25"/>
      <c r="K6" s="25">
        <v>61936</v>
      </c>
      <c r="L6" s="25">
        <v>62628</v>
      </c>
      <c r="M6" s="25">
        <v>124564</v>
      </c>
      <c r="N6" s="25">
        <v>565213</v>
      </c>
      <c r="O6" s="25">
        <v>575762</v>
      </c>
      <c r="P6" s="25">
        <v>1140975</v>
      </c>
      <c r="Q6" s="25">
        <v>126</v>
      </c>
      <c r="R6" s="25">
        <v>122</v>
      </c>
      <c r="S6" s="25">
        <v>248</v>
      </c>
      <c r="T6" s="25">
        <v>34223</v>
      </c>
      <c r="U6" s="25">
        <v>14635</v>
      </c>
      <c r="V6" s="25">
        <v>48858</v>
      </c>
      <c r="W6" s="25">
        <v>67</v>
      </c>
      <c r="X6" s="25">
        <v>75</v>
      </c>
      <c r="Y6" s="25">
        <v>142</v>
      </c>
      <c r="Z6" s="25">
        <v>5017</v>
      </c>
      <c r="AA6" s="25">
        <v>2325</v>
      </c>
      <c r="AB6" s="25">
        <v>7342</v>
      </c>
      <c r="AC6" s="25">
        <v>667308</v>
      </c>
      <c r="AD6" s="25">
        <v>656301</v>
      </c>
      <c r="AE6" s="25">
        <v>1323609</v>
      </c>
      <c r="AF6" s="25">
        <v>516.83287778211638</v>
      </c>
    </row>
    <row r="7" spans="1:32" s="16" customFormat="1" ht="26.25" customHeight="1" x14ac:dyDescent="0.35">
      <c r="A7" s="87">
        <v>3</v>
      </c>
      <c r="B7" s="369" t="s">
        <v>14</v>
      </c>
      <c r="C7" s="25">
        <v>43</v>
      </c>
      <c r="D7" s="25">
        <v>43</v>
      </c>
      <c r="E7" s="25">
        <v>6</v>
      </c>
      <c r="F7" s="25">
        <v>12</v>
      </c>
      <c r="G7" s="25">
        <v>18</v>
      </c>
      <c r="H7" s="25"/>
      <c r="I7" s="25"/>
      <c r="J7" s="25"/>
      <c r="K7" s="25">
        <v>144</v>
      </c>
      <c r="L7" s="25">
        <v>188</v>
      </c>
      <c r="M7" s="25">
        <v>332</v>
      </c>
      <c r="N7" s="25">
        <v>13045</v>
      </c>
      <c r="O7" s="25">
        <v>13564</v>
      </c>
      <c r="P7" s="25">
        <v>26609</v>
      </c>
      <c r="Q7" s="25">
        <v>14</v>
      </c>
      <c r="R7" s="25">
        <v>8</v>
      </c>
      <c r="S7" s="25">
        <v>22</v>
      </c>
      <c r="T7" s="25"/>
      <c r="U7" s="25">
        <v>146</v>
      </c>
      <c r="V7" s="25">
        <v>146</v>
      </c>
      <c r="W7" s="25"/>
      <c r="X7" s="25"/>
      <c r="Y7" s="25"/>
      <c r="Z7" s="25">
        <v>271</v>
      </c>
      <c r="AA7" s="25">
        <v>228</v>
      </c>
      <c r="AB7" s="25">
        <v>499</v>
      </c>
      <c r="AC7" s="25">
        <v>13480</v>
      </c>
      <c r="AD7" s="25">
        <v>14146</v>
      </c>
      <c r="AE7" s="25">
        <v>27626</v>
      </c>
      <c r="AF7" s="25">
        <v>642.46511627906978</v>
      </c>
    </row>
    <row r="8" spans="1:32" s="16" customFormat="1" ht="26.25" customHeight="1" x14ac:dyDescent="0.35">
      <c r="A8" s="87">
        <v>4</v>
      </c>
      <c r="B8" s="369" t="s">
        <v>15</v>
      </c>
      <c r="C8" s="25">
        <v>673</v>
      </c>
      <c r="D8" s="25">
        <v>668</v>
      </c>
      <c r="E8" s="25">
        <v>120</v>
      </c>
      <c r="F8" s="25">
        <v>115</v>
      </c>
      <c r="G8" s="25">
        <v>235</v>
      </c>
      <c r="H8" s="25">
        <v>6</v>
      </c>
      <c r="I8" s="25">
        <v>29</v>
      </c>
      <c r="J8" s="25">
        <v>35</v>
      </c>
      <c r="K8" s="25">
        <v>4761</v>
      </c>
      <c r="L8" s="25">
        <v>8110</v>
      </c>
      <c r="M8" s="25">
        <v>12871</v>
      </c>
      <c r="N8" s="25">
        <v>240698</v>
      </c>
      <c r="O8" s="25">
        <v>281947</v>
      </c>
      <c r="P8" s="25">
        <v>522645</v>
      </c>
      <c r="Q8" s="25">
        <v>181</v>
      </c>
      <c r="R8" s="25">
        <v>207</v>
      </c>
      <c r="S8" s="25">
        <v>388</v>
      </c>
      <c r="T8" s="25">
        <v>4903</v>
      </c>
      <c r="U8" s="25">
        <v>6655</v>
      </c>
      <c r="V8" s="25">
        <v>11558</v>
      </c>
      <c r="W8" s="25">
        <v>10382</v>
      </c>
      <c r="X8" s="25">
        <v>14437</v>
      </c>
      <c r="Y8" s="25">
        <v>24819</v>
      </c>
      <c r="Z8" s="25">
        <v>1905</v>
      </c>
      <c r="AA8" s="25">
        <v>2688</v>
      </c>
      <c r="AB8" s="25">
        <v>4593</v>
      </c>
      <c r="AC8" s="25">
        <v>262956</v>
      </c>
      <c r="AD8" s="25">
        <v>314188</v>
      </c>
      <c r="AE8" s="25">
        <v>577144</v>
      </c>
      <c r="AF8" s="25">
        <v>863.98802395209577</v>
      </c>
    </row>
    <row r="9" spans="1:32" s="16" customFormat="1" ht="26.25" customHeight="1" x14ac:dyDescent="0.35">
      <c r="A9" s="87">
        <v>5</v>
      </c>
      <c r="B9" s="369" t="s">
        <v>16</v>
      </c>
      <c r="C9" s="25">
        <v>1261</v>
      </c>
      <c r="D9" s="25">
        <v>1259</v>
      </c>
      <c r="E9" s="25">
        <v>41</v>
      </c>
      <c r="F9" s="25">
        <v>26</v>
      </c>
      <c r="G9" s="25">
        <v>67</v>
      </c>
      <c r="H9" s="25"/>
      <c r="I9" s="25"/>
      <c r="J9" s="25"/>
      <c r="K9" s="25">
        <v>39846</v>
      </c>
      <c r="L9" s="25">
        <v>53182</v>
      </c>
      <c r="M9" s="25">
        <v>93028</v>
      </c>
      <c r="N9" s="25">
        <v>1073970</v>
      </c>
      <c r="O9" s="25">
        <v>1141896</v>
      </c>
      <c r="P9" s="25">
        <v>2215866</v>
      </c>
      <c r="Q9" s="25">
        <v>292</v>
      </c>
      <c r="R9" s="25">
        <v>191</v>
      </c>
      <c r="S9" s="25">
        <v>483</v>
      </c>
      <c r="T9" s="25">
        <v>23361</v>
      </c>
      <c r="U9" s="25">
        <v>28663</v>
      </c>
      <c r="V9" s="25">
        <v>52024</v>
      </c>
      <c r="W9" s="25">
        <v>5463</v>
      </c>
      <c r="X9" s="25">
        <v>3047</v>
      </c>
      <c r="Y9" s="25">
        <v>8510</v>
      </c>
      <c r="Z9" s="25">
        <v>1215</v>
      </c>
      <c r="AA9" s="25">
        <v>879</v>
      </c>
      <c r="AB9" s="25">
        <v>2094</v>
      </c>
      <c r="AC9" s="25">
        <v>1144188</v>
      </c>
      <c r="AD9" s="25">
        <v>1227884</v>
      </c>
      <c r="AE9" s="25">
        <v>2372072</v>
      </c>
      <c r="AF9" s="25">
        <v>1884.0921366163623</v>
      </c>
    </row>
    <row r="10" spans="1:32" s="16" customFormat="1" ht="26.25" customHeight="1" x14ac:dyDescent="0.35">
      <c r="A10" s="87">
        <v>6</v>
      </c>
      <c r="B10" s="369" t="s">
        <v>17</v>
      </c>
      <c r="C10" s="25">
        <v>25</v>
      </c>
      <c r="D10" s="25">
        <v>25</v>
      </c>
      <c r="E10" s="25">
        <v>11</v>
      </c>
      <c r="F10" s="25">
        <v>71</v>
      </c>
      <c r="G10" s="25">
        <v>82</v>
      </c>
      <c r="H10" s="25"/>
      <c r="I10" s="25"/>
      <c r="J10" s="25"/>
      <c r="K10" s="25">
        <v>1490</v>
      </c>
      <c r="L10" s="25">
        <v>3667</v>
      </c>
      <c r="M10" s="25">
        <v>5157</v>
      </c>
      <c r="N10" s="25">
        <v>18374</v>
      </c>
      <c r="O10" s="25">
        <v>23874</v>
      </c>
      <c r="P10" s="25">
        <v>42248</v>
      </c>
      <c r="Q10" s="25">
        <v>229</v>
      </c>
      <c r="R10" s="25">
        <v>325</v>
      </c>
      <c r="S10" s="25">
        <v>554</v>
      </c>
      <c r="T10" s="25">
        <v>85</v>
      </c>
      <c r="U10" s="25">
        <v>180</v>
      </c>
      <c r="V10" s="25">
        <v>265</v>
      </c>
      <c r="W10" s="25">
        <v>23</v>
      </c>
      <c r="X10" s="25">
        <v>36</v>
      </c>
      <c r="Y10" s="25">
        <v>59</v>
      </c>
      <c r="Z10" s="25">
        <v>34</v>
      </c>
      <c r="AA10" s="25">
        <v>147</v>
      </c>
      <c r="AB10" s="25">
        <v>181</v>
      </c>
      <c r="AC10" s="25">
        <v>20246</v>
      </c>
      <c r="AD10" s="25">
        <v>28300</v>
      </c>
      <c r="AE10" s="25">
        <v>48546</v>
      </c>
      <c r="AF10" s="25">
        <v>1941.84</v>
      </c>
    </row>
    <row r="11" spans="1:32" s="16" customFormat="1" ht="26.25" customHeight="1" x14ac:dyDescent="0.35">
      <c r="A11" s="87">
        <v>7</v>
      </c>
      <c r="B11" s="369" t="s">
        <v>18</v>
      </c>
      <c r="C11" s="27">
        <v>1039</v>
      </c>
      <c r="D11" s="25">
        <v>1036</v>
      </c>
      <c r="E11" s="25">
        <v>339</v>
      </c>
      <c r="F11" s="25">
        <v>358</v>
      </c>
      <c r="G11" s="25">
        <v>697</v>
      </c>
      <c r="H11" s="25">
        <v>10</v>
      </c>
      <c r="I11" s="25">
        <v>23</v>
      </c>
      <c r="J11" s="25">
        <v>33</v>
      </c>
      <c r="K11" s="25">
        <v>21084</v>
      </c>
      <c r="L11" s="25">
        <v>40939</v>
      </c>
      <c r="M11" s="25">
        <v>62023</v>
      </c>
      <c r="N11" s="25">
        <v>154700</v>
      </c>
      <c r="O11" s="25">
        <v>239391</v>
      </c>
      <c r="P11" s="25">
        <v>394091</v>
      </c>
      <c r="Q11" s="25">
        <v>4536</v>
      </c>
      <c r="R11" s="25">
        <v>6254</v>
      </c>
      <c r="S11" s="25">
        <v>10790</v>
      </c>
      <c r="T11" s="25">
        <v>17135</v>
      </c>
      <c r="U11" s="25">
        <v>11477</v>
      </c>
      <c r="V11" s="25">
        <v>28612</v>
      </c>
      <c r="W11" s="25">
        <v>373</v>
      </c>
      <c r="X11" s="25">
        <v>405</v>
      </c>
      <c r="Y11" s="25">
        <v>778</v>
      </c>
      <c r="Z11" s="25">
        <v>1115</v>
      </c>
      <c r="AA11" s="25">
        <v>1257</v>
      </c>
      <c r="AB11" s="25">
        <v>2372</v>
      </c>
      <c r="AC11" s="25">
        <v>199292</v>
      </c>
      <c r="AD11" s="25">
        <v>300104</v>
      </c>
      <c r="AE11" s="25">
        <v>499396</v>
      </c>
      <c r="AF11" s="25">
        <v>482.04247104247105</v>
      </c>
    </row>
    <row r="12" spans="1:32" s="16" customFormat="1" ht="26.25" customHeight="1" x14ac:dyDescent="0.35">
      <c r="A12" s="87">
        <v>8</v>
      </c>
      <c r="B12" s="369" t="s">
        <v>19</v>
      </c>
      <c r="C12" s="25">
        <v>194</v>
      </c>
      <c r="D12" s="25">
        <v>167</v>
      </c>
      <c r="E12" s="25">
        <v>85</v>
      </c>
      <c r="F12" s="25">
        <v>104</v>
      </c>
      <c r="G12" s="25">
        <v>189</v>
      </c>
      <c r="H12" s="25"/>
      <c r="I12" s="25"/>
      <c r="J12" s="25"/>
      <c r="K12" s="25">
        <v>5703</v>
      </c>
      <c r="L12" s="25">
        <v>6323</v>
      </c>
      <c r="M12" s="25">
        <v>12026</v>
      </c>
      <c r="N12" s="25">
        <v>131281</v>
      </c>
      <c r="O12" s="25">
        <v>136305</v>
      </c>
      <c r="P12" s="25">
        <v>267586</v>
      </c>
      <c r="Q12" s="25">
        <v>443</v>
      </c>
      <c r="R12" s="25">
        <v>361</v>
      </c>
      <c r="S12" s="25">
        <v>804</v>
      </c>
      <c r="T12" s="25">
        <v>1372</v>
      </c>
      <c r="U12" s="25">
        <v>3258</v>
      </c>
      <c r="V12" s="25">
        <v>4630</v>
      </c>
      <c r="W12" s="25">
        <v>130</v>
      </c>
      <c r="X12" s="25">
        <v>593</v>
      </c>
      <c r="Y12" s="25">
        <v>723</v>
      </c>
      <c r="Z12" s="25">
        <v>2861</v>
      </c>
      <c r="AA12" s="25">
        <v>2901</v>
      </c>
      <c r="AB12" s="25">
        <v>5762</v>
      </c>
      <c r="AC12" s="25">
        <v>141875</v>
      </c>
      <c r="AD12" s="25">
        <v>149845</v>
      </c>
      <c r="AE12" s="25">
        <v>291720</v>
      </c>
      <c r="AF12" s="25">
        <v>1746.8263473053892</v>
      </c>
    </row>
    <row r="13" spans="1:32" s="16" customFormat="1" ht="26.25" customHeight="1" x14ac:dyDescent="0.35">
      <c r="A13" s="87">
        <v>9</v>
      </c>
      <c r="B13" s="369" t="s">
        <v>20</v>
      </c>
      <c r="C13" s="25">
        <v>66</v>
      </c>
      <c r="D13" s="25">
        <v>66</v>
      </c>
      <c r="E13" s="25">
        <v>118</v>
      </c>
      <c r="F13" s="25">
        <v>144</v>
      </c>
      <c r="G13" s="25">
        <v>262</v>
      </c>
      <c r="H13" s="25">
        <v>4</v>
      </c>
      <c r="I13" s="25">
        <v>11</v>
      </c>
      <c r="J13" s="25">
        <v>15</v>
      </c>
      <c r="K13" s="25">
        <v>947</v>
      </c>
      <c r="L13" s="25">
        <v>1855</v>
      </c>
      <c r="M13" s="25">
        <v>2802</v>
      </c>
      <c r="N13" s="25">
        <v>16616</v>
      </c>
      <c r="O13" s="25">
        <v>20979</v>
      </c>
      <c r="P13" s="25">
        <v>37595</v>
      </c>
      <c r="Q13" s="25">
        <v>17</v>
      </c>
      <c r="R13" s="25">
        <v>53</v>
      </c>
      <c r="S13" s="25">
        <v>70</v>
      </c>
      <c r="T13" s="25">
        <v>104</v>
      </c>
      <c r="U13" s="25">
        <v>427</v>
      </c>
      <c r="V13" s="25">
        <v>531</v>
      </c>
      <c r="W13" s="25">
        <v>9</v>
      </c>
      <c r="X13" s="25"/>
      <c r="Y13" s="25">
        <v>9</v>
      </c>
      <c r="Z13" s="25">
        <v>350</v>
      </c>
      <c r="AA13" s="25">
        <v>1010</v>
      </c>
      <c r="AB13" s="25">
        <v>1360</v>
      </c>
      <c r="AC13" s="25">
        <v>18165</v>
      </c>
      <c r="AD13" s="25">
        <v>24479</v>
      </c>
      <c r="AE13" s="25">
        <v>42644</v>
      </c>
      <c r="AF13" s="25">
        <v>646.12121212121212</v>
      </c>
    </row>
    <row r="14" spans="1:32" s="16" customFormat="1" ht="26.25" customHeight="1" x14ac:dyDescent="0.35">
      <c r="A14" s="87">
        <v>10</v>
      </c>
      <c r="B14" s="369" t="s">
        <v>21</v>
      </c>
      <c r="C14" s="25">
        <v>2521</v>
      </c>
      <c r="D14" s="25">
        <v>2521</v>
      </c>
      <c r="E14" s="25">
        <v>225</v>
      </c>
      <c r="F14" s="25">
        <v>188</v>
      </c>
      <c r="G14" s="25">
        <v>413</v>
      </c>
      <c r="H14" s="25"/>
      <c r="I14" s="25"/>
      <c r="J14" s="25"/>
      <c r="K14" s="25">
        <v>53633</v>
      </c>
      <c r="L14" s="25">
        <v>72295</v>
      </c>
      <c r="M14" s="25">
        <v>125928</v>
      </c>
      <c r="N14" s="25">
        <v>555379</v>
      </c>
      <c r="O14" s="25">
        <v>488625</v>
      </c>
      <c r="P14" s="25">
        <v>1044004</v>
      </c>
      <c r="Q14" s="25">
        <v>1767</v>
      </c>
      <c r="R14" s="25">
        <v>1687</v>
      </c>
      <c r="S14" s="25">
        <v>3454</v>
      </c>
      <c r="T14" s="25">
        <v>79425</v>
      </c>
      <c r="U14" s="25">
        <v>36031</v>
      </c>
      <c r="V14" s="25">
        <v>115456</v>
      </c>
      <c r="W14" s="25">
        <v>2271</v>
      </c>
      <c r="X14" s="25">
        <v>2301</v>
      </c>
      <c r="Y14" s="25">
        <v>4572</v>
      </c>
      <c r="Z14" s="25">
        <v>2794</v>
      </c>
      <c r="AA14" s="25">
        <v>1734</v>
      </c>
      <c r="AB14" s="25">
        <v>4528</v>
      </c>
      <c r="AC14" s="25">
        <v>695494</v>
      </c>
      <c r="AD14" s="25">
        <v>602861</v>
      </c>
      <c r="AE14" s="25">
        <v>1298355</v>
      </c>
      <c r="AF14" s="25">
        <v>515.01586671955579</v>
      </c>
    </row>
    <row r="15" spans="1:32" s="16" customFormat="1" ht="26.25" customHeight="1" x14ac:dyDescent="0.35">
      <c r="A15" s="87">
        <v>11</v>
      </c>
      <c r="B15" s="369" t="s">
        <v>22</v>
      </c>
      <c r="C15" s="25">
        <v>1149</v>
      </c>
      <c r="D15" s="25">
        <v>1149</v>
      </c>
      <c r="E15" s="25">
        <v>293</v>
      </c>
      <c r="F15" s="25">
        <v>425</v>
      </c>
      <c r="G15" s="25">
        <v>718</v>
      </c>
      <c r="H15" s="25">
        <v>7</v>
      </c>
      <c r="I15" s="25">
        <v>9</v>
      </c>
      <c r="J15" s="25">
        <v>16</v>
      </c>
      <c r="K15" s="25">
        <v>18284</v>
      </c>
      <c r="L15" s="25">
        <v>40003</v>
      </c>
      <c r="M15" s="25">
        <v>58287</v>
      </c>
      <c r="N15" s="25">
        <v>263276</v>
      </c>
      <c r="O15" s="25">
        <v>330331</v>
      </c>
      <c r="P15" s="25">
        <v>593607</v>
      </c>
      <c r="Q15" s="25">
        <v>430</v>
      </c>
      <c r="R15" s="25">
        <v>748</v>
      </c>
      <c r="S15" s="25">
        <v>1178</v>
      </c>
      <c r="T15" s="25">
        <v>14429</v>
      </c>
      <c r="U15" s="25">
        <v>12528</v>
      </c>
      <c r="V15" s="25">
        <v>26957</v>
      </c>
      <c r="W15" s="25">
        <v>355</v>
      </c>
      <c r="X15" s="25">
        <v>886</v>
      </c>
      <c r="Y15" s="25">
        <v>1241</v>
      </c>
      <c r="Z15" s="25">
        <v>4534</v>
      </c>
      <c r="AA15" s="25">
        <v>4543</v>
      </c>
      <c r="AB15" s="25">
        <v>9077</v>
      </c>
      <c r="AC15" s="25">
        <v>301608</v>
      </c>
      <c r="AD15" s="25">
        <v>389473</v>
      </c>
      <c r="AE15" s="25">
        <v>691081</v>
      </c>
      <c r="AF15" s="25">
        <v>601.46301131418625</v>
      </c>
    </row>
    <row r="16" spans="1:32" s="16" customFormat="1" ht="26.25" customHeight="1" x14ac:dyDescent="0.35">
      <c r="A16" s="87">
        <v>12</v>
      </c>
      <c r="B16" s="369" t="s">
        <v>23</v>
      </c>
      <c r="C16" s="25">
        <v>369</v>
      </c>
      <c r="D16" s="25">
        <v>346</v>
      </c>
      <c r="E16" s="25"/>
      <c r="F16" s="25">
        <v>6</v>
      </c>
      <c r="G16" s="25">
        <v>6</v>
      </c>
      <c r="H16" s="25"/>
      <c r="I16" s="25"/>
      <c r="J16" s="25"/>
      <c r="K16" s="25">
        <v>3933</v>
      </c>
      <c r="L16" s="25">
        <v>9108</v>
      </c>
      <c r="M16" s="25">
        <v>13041</v>
      </c>
      <c r="N16" s="25">
        <v>70390</v>
      </c>
      <c r="O16" s="25">
        <v>102929</v>
      </c>
      <c r="P16" s="25">
        <v>173319</v>
      </c>
      <c r="Q16" s="25">
        <v>301</v>
      </c>
      <c r="R16" s="25">
        <v>507</v>
      </c>
      <c r="S16" s="25">
        <v>808</v>
      </c>
      <c r="T16" s="25">
        <v>1469</v>
      </c>
      <c r="U16" s="25">
        <v>3030</v>
      </c>
      <c r="V16" s="25">
        <v>4499</v>
      </c>
      <c r="W16" s="25">
        <v>6</v>
      </c>
      <c r="X16" s="25">
        <v>15</v>
      </c>
      <c r="Y16" s="25">
        <v>21</v>
      </c>
      <c r="Z16" s="25">
        <v>101</v>
      </c>
      <c r="AA16" s="25">
        <v>227</v>
      </c>
      <c r="AB16" s="25">
        <v>328</v>
      </c>
      <c r="AC16" s="25">
        <v>76200</v>
      </c>
      <c r="AD16" s="25">
        <v>115822</v>
      </c>
      <c r="AE16" s="25">
        <v>192022</v>
      </c>
      <c r="AF16" s="25">
        <v>554.97687861271675</v>
      </c>
    </row>
    <row r="17" spans="1:32" s="16" customFormat="1" ht="26.25" customHeight="1" x14ac:dyDescent="0.35">
      <c r="A17" s="87">
        <v>13</v>
      </c>
      <c r="B17" s="369" t="s">
        <v>24</v>
      </c>
      <c r="C17" s="25">
        <v>336</v>
      </c>
      <c r="D17" s="25">
        <v>335</v>
      </c>
      <c r="E17" s="25">
        <v>115</v>
      </c>
      <c r="F17" s="25">
        <v>203</v>
      </c>
      <c r="G17" s="25">
        <v>318</v>
      </c>
      <c r="H17" s="25"/>
      <c r="I17" s="25"/>
      <c r="J17" s="25"/>
      <c r="K17" s="25">
        <v>1964</v>
      </c>
      <c r="L17" s="25">
        <v>2458</v>
      </c>
      <c r="M17" s="25">
        <v>4422</v>
      </c>
      <c r="N17" s="25">
        <v>77797</v>
      </c>
      <c r="O17" s="25">
        <v>94429</v>
      </c>
      <c r="P17" s="25">
        <v>172226</v>
      </c>
      <c r="Q17" s="25">
        <v>106</v>
      </c>
      <c r="R17" s="25">
        <v>93</v>
      </c>
      <c r="S17" s="25">
        <v>199</v>
      </c>
      <c r="T17" s="25">
        <v>264</v>
      </c>
      <c r="U17" s="25">
        <v>651</v>
      </c>
      <c r="V17" s="25">
        <v>915</v>
      </c>
      <c r="W17" s="25">
        <v>6</v>
      </c>
      <c r="X17" s="25">
        <v>46</v>
      </c>
      <c r="Y17" s="25">
        <v>52</v>
      </c>
      <c r="Z17" s="25">
        <v>1935</v>
      </c>
      <c r="AA17" s="25">
        <v>2211</v>
      </c>
      <c r="AB17" s="25">
        <v>4146</v>
      </c>
      <c r="AC17" s="25">
        <v>82187</v>
      </c>
      <c r="AD17" s="25">
        <v>100091</v>
      </c>
      <c r="AE17" s="25">
        <v>182278</v>
      </c>
      <c r="AF17" s="25">
        <v>544.11343283582084</v>
      </c>
    </row>
    <row r="18" spans="1:32" s="16" customFormat="1" ht="26.25" customHeight="1" x14ac:dyDescent="0.35">
      <c r="A18" s="87">
        <v>14</v>
      </c>
      <c r="B18" s="369" t="s">
        <v>25</v>
      </c>
      <c r="C18" s="25">
        <v>434</v>
      </c>
      <c r="D18" s="25">
        <v>434</v>
      </c>
      <c r="E18" s="25">
        <v>11</v>
      </c>
      <c r="F18" s="25">
        <v>20</v>
      </c>
      <c r="G18" s="25">
        <v>31</v>
      </c>
      <c r="H18" s="25">
        <v>21</v>
      </c>
      <c r="I18" s="25">
        <v>70</v>
      </c>
      <c r="J18" s="25">
        <v>91</v>
      </c>
      <c r="K18" s="25">
        <v>15066</v>
      </c>
      <c r="L18" s="25">
        <v>27449</v>
      </c>
      <c r="M18" s="25">
        <v>42515</v>
      </c>
      <c r="N18" s="25">
        <v>291639</v>
      </c>
      <c r="O18" s="25">
        <v>325974</v>
      </c>
      <c r="P18" s="25">
        <v>617613</v>
      </c>
      <c r="Q18" s="25">
        <v>48</v>
      </c>
      <c r="R18" s="25">
        <v>43</v>
      </c>
      <c r="S18" s="25">
        <v>91</v>
      </c>
      <c r="T18" s="25">
        <v>26602</v>
      </c>
      <c r="U18" s="25">
        <v>10805</v>
      </c>
      <c r="V18" s="25">
        <v>37407</v>
      </c>
      <c r="W18" s="25">
        <v>232</v>
      </c>
      <c r="X18" s="25">
        <v>314</v>
      </c>
      <c r="Y18" s="25">
        <v>546</v>
      </c>
      <c r="Z18" s="25">
        <v>501</v>
      </c>
      <c r="AA18" s="25">
        <v>297</v>
      </c>
      <c r="AB18" s="25">
        <v>798</v>
      </c>
      <c r="AC18" s="25">
        <v>334120</v>
      </c>
      <c r="AD18" s="25">
        <v>364972</v>
      </c>
      <c r="AE18" s="25">
        <v>699092</v>
      </c>
      <c r="AF18" s="25">
        <v>1610.8110599078341</v>
      </c>
    </row>
    <row r="19" spans="1:32" s="16" customFormat="1" ht="26.25" customHeight="1" x14ac:dyDescent="0.35">
      <c r="A19" s="87">
        <v>15</v>
      </c>
      <c r="B19" s="369" t="s">
        <v>26</v>
      </c>
      <c r="C19" s="25">
        <v>4529</v>
      </c>
      <c r="D19" s="25">
        <v>4280</v>
      </c>
      <c r="E19" s="25">
        <v>1226</v>
      </c>
      <c r="F19" s="25">
        <v>1248</v>
      </c>
      <c r="G19" s="25">
        <v>2474</v>
      </c>
      <c r="H19" s="25">
        <v>7</v>
      </c>
      <c r="I19" s="25">
        <v>33</v>
      </c>
      <c r="J19" s="25">
        <v>40</v>
      </c>
      <c r="K19" s="25">
        <v>62365</v>
      </c>
      <c r="L19" s="25">
        <v>77628</v>
      </c>
      <c r="M19" s="25">
        <v>139993</v>
      </c>
      <c r="N19" s="25">
        <v>820836</v>
      </c>
      <c r="O19" s="25">
        <v>855599</v>
      </c>
      <c r="P19" s="25">
        <v>1676435</v>
      </c>
      <c r="Q19" s="25">
        <v>466</v>
      </c>
      <c r="R19" s="25">
        <v>536</v>
      </c>
      <c r="S19" s="25">
        <v>1002</v>
      </c>
      <c r="T19" s="25">
        <v>8394</v>
      </c>
      <c r="U19" s="25">
        <v>10907</v>
      </c>
      <c r="V19" s="25">
        <v>19301</v>
      </c>
      <c r="W19" s="25">
        <v>1023</v>
      </c>
      <c r="X19" s="25">
        <v>746</v>
      </c>
      <c r="Y19" s="25">
        <v>1769</v>
      </c>
      <c r="Z19" s="25">
        <v>5233</v>
      </c>
      <c r="AA19" s="25">
        <v>5168</v>
      </c>
      <c r="AB19" s="25">
        <v>10401</v>
      </c>
      <c r="AC19" s="25">
        <v>899550</v>
      </c>
      <c r="AD19" s="25">
        <v>951865</v>
      </c>
      <c r="AE19" s="25">
        <v>1851415</v>
      </c>
      <c r="AF19" s="25">
        <v>432.57359813084111</v>
      </c>
    </row>
    <row r="20" spans="1:32" s="16" customFormat="1" ht="26.25" customHeight="1" x14ac:dyDescent="0.35">
      <c r="A20" s="87">
        <v>16</v>
      </c>
      <c r="B20" s="369" t="s">
        <v>27</v>
      </c>
      <c r="C20" s="25">
        <v>1564</v>
      </c>
      <c r="D20" s="25">
        <v>1450</v>
      </c>
      <c r="E20" s="25">
        <v>1744</v>
      </c>
      <c r="F20" s="25">
        <v>4569</v>
      </c>
      <c r="G20" s="25">
        <v>6313</v>
      </c>
      <c r="H20" s="25">
        <v>2</v>
      </c>
      <c r="I20" s="25">
        <v>28</v>
      </c>
      <c r="J20" s="25">
        <v>30</v>
      </c>
      <c r="K20" s="25">
        <v>19021</v>
      </c>
      <c r="L20" s="25">
        <v>61019</v>
      </c>
      <c r="M20" s="25">
        <v>80040</v>
      </c>
      <c r="N20" s="25">
        <v>288812</v>
      </c>
      <c r="O20" s="25">
        <v>398863</v>
      </c>
      <c r="P20" s="25">
        <v>687675</v>
      </c>
      <c r="Q20" s="25">
        <v>37</v>
      </c>
      <c r="R20" s="25">
        <v>211</v>
      </c>
      <c r="S20" s="25">
        <v>248</v>
      </c>
      <c r="T20" s="25">
        <v>6580</v>
      </c>
      <c r="U20" s="25">
        <v>6459</v>
      </c>
      <c r="V20" s="25">
        <v>13039</v>
      </c>
      <c r="W20" s="25">
        <v>61</v>
      </c>
      <c r="X20" s="25">
        <v>194</v>
      </c>
      <c r="Y20" s="25">
        <v>255</v>
      </c>
      <c r="Z20" s="25">
        <v>5098</v>
      </c>
      <c r="AA20" s="25">
        <v>7765</v>
      </c>
      <c r="AB20" s="25">
        <v>12863</v>
      </c>
      <c r="AC20" s="25">
        <v>321355</v>
      </c>
      <c r="AD20" s="25">
        <v>479108</v>
      </c>
      <c r="AE20" s="25">
        <v>800463</v>
      </c>
      <c r="AF20" s="25">
        <v>552.04344827586203</v>
      </c>
    </row>
    <row r="21" spans="1:32" s="16" customFormat="1" ht="26.25" customHeight="1" x14ac:dyDescent="0.35">
      <c r="A21" s="87">
        <v>17</v>
      </c>
      <c r="B21" s="369" t="s">
        <v>28</v>
      </c>
      <c r="C21" s="25">
        <v>7</v>
      </c>
      <c r="D21" s="25">
        <v>6</v>
      </c>
      <c r="E21" s="25"/>
      <c r="F21" s="25"/>
      <c r="G21" s="25"/>
      <c r="H21" s="25"/>
      <c r="I21" s="25"/>
      <c r="J21" s="25"/>
      <c r="K21" s="25"/>
      <c r="L21" s="25"/>
      <c r="M21" s="25"/>
      <c r="N21" s="25">
        <v>882</v>
      </c>
      <c r="O21" s="25">
        <v>1711</v>
      </c>
      <c r="P21" s="25">
        <v>2593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>
        <v>882</v>
      </c>
      <c r="AD21" s="25">
        <v>1711</v>
      </c>
      <c r="AE21" s="25">
        <v>2593</v>
      </c>
      <c r="AF21" s="25">
        <v>432.16666666666669</v>
      </c>
    </row>
    <row r="22" spans="1:32" s="16" customFormat="1" ht="26.25" customHeight="1" x14ac:dyDescent="0.35">
      <c r="A22" s="87">
        <v>18</v>
      </c>
      <c r="B22" s="369" t="s">
        <v>82</v>
      </c>
      <c r="C22" s="25">
        <v>5</v>
      </c>
      <c r="D22" s="25">
        <v>5</v>
      </c>
      <c r="E22" s="25"/>
      <c r="F22" s="25"/>
      <c r="G22" s="25"/>
      <c r="H22" s="25"/>
      <c r="I22" s="25"/>
      <c r="J22" s="25"/>
      <c r="K22" s="25"/>
      <c r="L22" s="25"/>
      <c r="M22" s="25"/>
      <c r="N22" s="25">
        <v>122</v>
      </c>
      <c r="O22" s="25">
        <v>371</v>
      </c>
      <c r="P22" s="25">
        <v>493</v>
      </c>
      <c r="Q22" s="25">
        <v>0</v>
      </c>
      <c r="R22" s="25"/>
      <c r="S22" s="25"/>
      <c r="T22" s="25">
        <v>77</v>
      </c>
      <c r="U22" s="25">
        <v>22</v>
      </c>
      <c r="V22" s="25">
        <v>99</v>
      </c>
      <c r="W22" s="25"/>
      <c r="X22" s="25"/>
      <c r="Y22" s="25"/>
      <c r="Z22" s="25"/>
      <c r="AA22" s="25"/>
      <c r="AB22" s="25"/>
      <c r="AC22" s="25">
        <v>199</v>
      </c>
      <c r="AD22" s="25">
        <v>393</v>
      </c>
      <c r="AE22" s="25">
        <v>592</v>
      </c>
      <c r="AF22" s="25">
        <v>118.4</v>
      </c>
    </row>
    <row r="23" spans="1:32" s="16" customFormat="1" ht="26.25" customHeight="1" x14ac:dyDescent="0.35">
      <c r="A23" s="87">
        <v>19</v>
      </c>
      <c r="B23" s="369" t="s">
        <v>29</v>
      </c>
      <c r="C23" s="25">
        <v>2713</v>
      </c>
      <c r="D23" s="25">
        <v>2659</v>
      </c>
      <c r="E23" s="25">
        <v>686</v>
      </c>
      <c r="F23" s="25">
        <v>893</v>
      </c>
      <c r="G23" s="25">
        <v>1579</v>
      </c>
      <c r="H23" s="25"/>
      <c r="I23" s="25"/>
      <c r="J23" s="25"/>
      <c r="K23" s="25">
        <v>122086</v>
      </c>
      <c r="L23" s="25">
        <v>180787</v>
      </c>
      <c r="M23" s="25">
        <v>302873</v>
      </c>
      <c r="N23" s="25">
        <v>715111</v>
      </c>
      <c r="O23" s="25">
        <v>749604</v>
      </c>
      <c r="P23" s="25">
        <v>1464715</v>
      </c>
      <c r="Q23" s="25">
        <v>3298</v>
      </c>
      <c r="R23" s="25">
        <v>3859</v>
      </c>
      <c r="S23" s="25">
        <v>7157</v>
      </c>
      <c r="T23" s="25">
        <v>48510</v>
      </c>
      <c r="U23" s="25">
        <v>30648</v>
      </c>
      <c r="V23" s="25">
        <v>79158</v>
      </c>
      <c r="W23" s="25">
        <v>2032</v>
      </c>
      <c r="X23" s="25">
        <v>938</v>
      </c>
      <c r="Y23" s="25">
        <v>2970</v>
      </c>
      <c r="Z23" s="25">
        <v>12742</v>
      </c>
      <c r="AA23" s="25">
        <v>13905</v>
      </c>
      <c r="AB23" s="25">
        <v>26647</v>
      </c>
      <c r="AC23" s="25">
        <v>904465</v>
      </c>
      <c r="AD23" s="25">
        <v>980634</v>
      </c>
      <c r="AE23" s="25">
        <v>1885099</v>
      </c>
      <c r="AF23" s="25">
        <v>708.95035727717186</v>
      </c>
    </row>
    <row r="24" spans="1:32" s="16" customFormat="1" ht="26.25" customHeight="1" x14ac:dyDescent="0.35">
      <c r="A24" s="87">
        <v>20</v>
      </c>
      <c r="B24" s="369" t="s">
        <v>30</v>
      </c>
      <c r="C24" s="25">
        <v>5380</v>
      </c>
      <c r="D24" s="25">
        <v>5301</v>
      </c>
      <c r="E24" s="25">
        <v>7151</v>
      </c>
      <c r="F24" s="25">
        <v>6657</v>
      </c>
      <c r="G24" s="25">
        <v>13808</v>
      </c>
      <c r="H24" s="25">
        <v>18</v>
      </c>
      <c r="I24" s="25">
        <v>18</v>
      </c>
      <c r="J24" s="25">
        <v>36</v>
      </c>
      <c r="K24" s="25">
        <v>138276</v>
      </c>
      <c r="L24" s="25">
        <v>170021</v>
      </c>
      <c r="M24" s="25">
        <v>308297</v>
      </c>
      <c r="N24" s="25">
        <v>1480761</v>
      </c>
      <c r="O24" s="25">
        <v>1341307</v>
      </c>
      <c r="P24" s="25">
        <v>2822068</v>
      </c>
      <c r="Q24" s="25">
        <v>2016</v>
      </c>
      <c r="R24" s="25">
        <v>2216</v>
      </c>
      <c r="S24" s="25">
        <v>4232</v>
      </c>
      <c r="T24" s="25">
        <v>28804</v>
      </c>
      <c r="U24" s="25">
        <v>20056</v>
      </c>
      <c r="V24" s="25">
        <v>48860</v>
      </c>
      <c r="W24" s="25">
        <v>1412</v>
      </c>
      <c r="X24" s="25">
        <v>1996</v>
      </c>
      <c r="Y24" s="25">
        <v>3408</v>
      </c>
      <c r="Z24" s="25">
        <v>7492</v>
      </c>
      <c r="AA24" s="25">
        <v>8695</v>
      </c>
      <c r="AB24" s="25">
        <v>16187</v>
      </c>
      <c r="AC24" s="25">
        <v>1665930</v>
      </c>
      <c r="AD24" s="25">
        <v>1550966</v>
      </c>
      <c r="AE24" s="25">
        <v>3216896</v>
      </c>
      <c r="AF24" s="25">
        <v>606.84700999811355</v>
      </c>
    </row>
    <row r="25" spans="1:32" s="16" customFormat="1" ht="26.25" customHeight="1" x14ac:dyDescent="0.35">
      <c r="A25" s="87">
        <v>21</v>
      </c>
      <c r="B25" s="369" t="s">
        <v>31</v>
      </c>
      <c r="C25" s="25">
        <v>116</v>
      </c>
      <c r="D25" s="25">
        <v>116</v>
      </c>
      <c r="E25" s="25">
        <v>21</v>
      </c>
      <c r="F25" s="25">
        <v>27</v>
      </c>
      <c r="G25" s="25">
        <v>48</v>
      </c>
      <c r="H25" s="25">
        <v>4</v>
      </c>
      <c r="I25" s="25">
        <v>8</v>
      </c>
      <c r="J25" s="25">
        <v>12</v>
      </c>
      <c r="K25" s="25">
        <v>841</v>
      </c>
      <c r="L25" s="25">
        <v>825</v>
      </c>
      <c r="M25" s="25">
        <v>1666</v>
      </c>
      <c r="N25" s="25">
        <v>40970</v>
      </c>
      <c r="O25" s="25">
        <v>41933</v>
      </c>
      <c r="P25" s="25">
        <v>82903</v>
      </c>
      <c r="Q25" s="25">
        <v>32</v>
      </c>
      <c r="R25" s="25">
        <v>118</v>
      </c>
      <c r="S25" s="25">
        <v>150</v>
      </c>
      <c r="T25" s="25">
        <v>574</v>
      </c>
      <c r="U25" s="25">
        <v>605</v>
      </c>
      <c r="V25" s="25">
        <v>1179</v>
      </c>
      <c r="W25" s="25"/>
      <c r="X25" s="25"/>
      <c r="Y25" s="25"/>
      <c r="Z25" s="25">
        <v>29</v>
      </c>
      <c r="AA25" s="25">
        <v>46</v>
      </c>
      <c r="AB25" s="25">
        <v>75</v>
      </c>
      <c r="AC25" s="25">
        <v>42471</v>
      </c>
      <c r="AD25" s="25">
        <v>43562</v>
      </c>
      <c r="AE25" s="25">
        <v>86033</v>
      </c>
      <c r="AF25" s="25">
        <v>741.66379310344826</v>
      </c>
    </row>
    <row r="26" spans="1:32" s="16" customFormat="1" ht="26.25" customHeight="1" x14ac:dyDescent="0.35">
      <c r="A26" s="87">
        <v>22</v>
      </c>
      <c r="B26" s="369" t="s">
        <v>32</v>
      </c>
      <c r="C26" s="25">
        <v>81</v>
      </c>
      <c r="D26" s="25">
        <v>78</v>
      </c>
      <c r="E26" s="25">
        <v>38</v>
      </c>
      <c r="F26" s="25">
        <v>38</v>
      </c>
      <c r="G26" s="25">
        <v>76</v>
      </c>
      <c r="H26" s="25"/>
      <c r="I26" s="25"/>
      <c r="J26" s="25"/>
      <c r="K26" s="25">
        <v>251</v>
      </c>
      <c r="L26" s="25">
        <v>575</v>
      </c>
      <c r="M26" s="25">
        <v>826</v>
      </c>
      <c r="N26" s="25">
        <v>32815</v>
      </c>
      <c r="O26" s="25">
        <v>40705</v>
      </c>
      <c r="P26" s="25">
        <v>73520</v>
      </c>
      <c r="Q26" s="25">
        <v>12</v>
      </c>
      <c r="R26" s="25">
        <v>9</v>
      </c>
      <c r="S26" s="25">
        <v>21</v>
      </c>
      <c r="T26" s="25"/>
      <c r="U26" s="25"/>
      <c r="V26" s="25"/>
      <c r="W26" s="25">
        <v>32</v>
      </c>
      <c r="X26" s="25">
        <v>68</v>
      </c>
      <c r="Y26" s="25">
        <v>100</v>
      </c>
      <c r="Z26" s="25">
        <v>154</v>
      </c>
      <c r="AA26" s="25">
        <v>247</v>
      </c>
      <c r="AB26" s="25">
        <v>401</v>
      </c>
      <c r="AC26" s="25">
        <v>33302</v>
      </c>
      <c r="AD26" s="25">
        <v>41642</v>
      </c>
      <c r="AE26" s="25">
        <v>74944</v>
      </c>
      <c r="AF26" s="25">
        <v>960.82051282051282</v>
      </c>
    </row>
    <row r="27" spans="1:32" s="16" customFormat="1" ht="26.25" customHeight="1" x14ac:dyDescent="0.35">
      <c r="A27" s="87">
        <v>23</v>
      </c>
      <c r="B27" s="369" t="s">
        <v>33</v>
      </c>
      <c r="C27" s="25">
        <v>40</v>
      </c>
      <c r="D27" s="25">
        <v>40</v>
      </c>
      <c r="E27" s="25">
        <v>21</v>
      </c>
      <c r="F27" s="25">
        <v>33</v>
      </c>
      <c r="G27" s="25">
        <v>54</v>
      </c>
      <c r="H27" s="25"/>
      <c r="I27" s="25"/>
      <c r="J27" s="25"/>
      <c r="K27" s="25">
        <v>235</v>
      </c>
      <c r="L27" s="25">
        <v>320</v>
      </c>
      <c r="M27" s="25">
        <v>555</v>
      </c>
      <c r="N27" s="25">
        <v>12058</v>
      </c>
      <c r="O27" s="25">
        <v>11101</v>
      </c>
      <c r="P27" s="25">
        <v>23159</v>
      </c>
      <c r="Q27" s="25">
        <v>25</v>
      </c>
      <c r="R27" s="25"/>
      <c r="S27" s="25">
        <v>25</v>
      </c>
      <c r="T27" s="25">
        <v>178</v>
      </c>
      <c r="U27" s="25">
        <v>85</v>
      </c>
      <c r="V27" s="25">
        <v>263</v>
      </c>
      <c r="W27" s="25"/>
      <c r="X27" s="25"/>
      <c r="Y27" s="25"/>
      <c r="Z27" s="25"/>
      <c r="AA27" s="25"/>
      <c r="AB27" s="25"/>
      <c r="AC27" s="25">
        <v>12517</v>
      </c>
      <c r="AD27" s="25">
        <v>11539</v>
      </c>
      <c r="AE27" s="25">
        <v>24056</v>
      </c>
      <c r="AF27" s="25">
        <v>601.4</v>
      </c>
    </row>
    <row r="28" spans="1:32" s="16" customFormat="1" ht="26.25" customHeight="1" x14ac:dyDescent="0.35">
      <c r="A28" s="87">
        <v>24</v>
      </c>
      <c r="B28" s="369" t="s">
        <v>34</v>
      </c>
      <c r="C28" s="25">
        <v>73</v>
      </c>
      <c r="D28" s="25">
        <v>73</v>
      </c>
      <c r="E28" s="25">
        <v>11</v>
      </c>
      <c r="F28" s="25">
        <v>16</v>
      </c>
      <c r="G28" s="25">
        <v>27</v>
      </c>
      <c r="H28" s="25"/>
      <c r="I28" s="25"/>
      <c r="J28" s="25"/>
      <c r="K28" s="25">
        <v>401</v>
      </c>
      <c r="L28" s="25">
        <v>823</v>
      </c>
      <c r="M28" s="25">
        <v>1224</v>
      </c>
      <c r="N28" s="25">
        <v>14930</v>
      </c>
      <c r="O28" s="25">
        <v>17975</v>
      </c>
      <c r="P28" s="25">
        <v>32905</v>
      </c>
      <c r="Q28" s="25"/>
      <c r="R28" s="25"/>
      <c r="S28" s="25"/>
      <c r="T28" s="25">
        <v>6</v>
      </c>
      <c r="U28" s="25">
        <v>83</v>
      </c>
      <c r="V28" s="25">
        <v>89</v>
      </c>
      <c r="W28" s="25">
        <v>346</v>
      </c>
      <c r="X28" s="25">
        <v>334</v>
      </c>
      <c r="Y28" s="25">
        <v>680</v>
      </c>
      <c r="Z28" s="25"/>
      <c r="AA28" s="25"/>
      <c r="AB28" s="25"/>
      <c r="AC28" s="25">
        <v>15694</v>
      </c>
      <c r="AD28" s="25">
        <v>19231</v>
      </c>
      <c r="AE28" s="25">
        <v>34925</v>
      </c>
      <c r="AF28" s="25">
        <v>478.42465753424659</v>
      </c>
    </row>
    <row r="29" spans="1:32" s="16" customFormat="1" ht="26.25" customHeight="1" x14ac:dyDescent="0.35">
      <c r="A29" s="87">
        <v>25</v>
      </c>
      <c r="B29" s="369" t="s">
        <v>35</v>
      </c>
      <c r="C29" s="25">
        <v>1524</v>
      </c>
      <c r="D29" s="25">
        <v>1524</v>
      </c>
      <c r="E29" s="25">
        <v>153</v>
      </c>
      <c r="F29" s="25">
        <v>169</v>
      </c>
      <c r="G29" s="25">
        <v>322</v>
      </c>
      <c r="H29" s="25"/>
      <c r="I29" s="25"/>
      <c r="J29" s="25"/>
      <c r="K29" s="25">
        <v>28062</v>
      </c>
      <c r="L29" s="25">
        <v>28668</v>
      </c>
      <c r="M29" s="25">
        <v>56730</v>
      </c>
      <c r="N29" s="25">
        <v>342298</v>
      </c>
      <c r="O29" s="25">
        <v>371578</v>
      </c>
      <c r="P29" s="25">
        <v>713876</v>
      </c>
      <c r="Q29" s="25">
        <v>528</v>
      </c>
      <c r="R29" s="25">
        <v>461</v>
      </c>
      <c r="S29" s="25">
        <v>989</v>
      </c>
      <c r="T29" s="25">
        <v>15988</v>
      </c>
      <c r="U29" s="25">
        <v>6012</v>
      </c>
      <c r="V29" s="25">
        <v>22000</v>
      </c>
      <c r="W29" s="25">
        <v>669</v>
      </c>
      <c r="X29" s="25">
        <v>891</v>
      </c>
      <c r="Y29" s="25">
        <v>1560</v>
      </c>
      <c r="Z29" s="25">
        <v>2062</v>
      </c>
      <c r="AA29" s="25">
        <v>2501</v>
      </c>
      <c r="AB29" s="25">
        <v>4563</v>
      </c>
      <c r="AC29" s="25">
        <v>389760</v>
      </c>
      <c r="AD29" s="25">
        <v>410280</v>
      </c>
      <c r="AE29" s="25">
        <v>800040</v>
      </c>
      <c r="AF29" s="25">
        <v>524.96062992125985</v>
      </c>
    </row>
    <row r="30" spans="1:32" s="16" customFormat="1" ht="26.25" customHeight="1" x14ac:dyDescent="0.35">
      <c r="A30" s="87">
        <v>26</v>
      </c>
      <c r="B30" s="369" t="s">
        <v>36</v>
      </c>
      <c r="C30" s="25">
        <v>93</v>
      </c>
      <c r="D30" s="25">
        <v>78</v>
      </c>
      <c r="E30" s="25">
        <v>32</v>
      </c>
      <c r="F30" s="25">
        <v>100</v>
      </c>
      <c r="G30" s="25">
        <v>132</v>
      </c>
      <c r="H30" s="25"/>
      <c r="I30" s="25"/>
      <c r="J30" s="25"/>
      <c r="K30" s="25">
        <v>1727</v>
      </c>
      <c r="L30" s="25">
        <v>3120</v>
      </c>
      <c r="M30" s="25">
        <v>4847</v>
      </c>
      <c r="N30" s="25">
        <v>21005</v>
      </c>
      <c r="O30" s="25">
        <v>25248</v>
      </c>
      <c r="P30" s="25">
        <v>46253</v>
      </c>
      <c r="Q30" s="25">
        <v>32</v>
      </c>
      <c r="R30" s="25">
        <v>15</v>
      </c>
      <c r="S30" s="25">
        <v>47</v>
      </c>
      <c r="T30" s="25">
        <v>131</v>
      </c>
      <c r="U30" s="25">
        <v>423</v>
      </c>
      <c r="V30" s="25">
        <v>554</v>
      </c>
      <c r="W30" s="25"/>
      <c r="X30" s="25"/>
      <c r="Y30" s="25"/>
      <c r="Z30" s="25">
        <v>44</v>
      </c>
      <c r="AA30" s="25">
        <v>458</v>
      </c>
      <c r="AB30" s="25">
        <v>502</v>
      </c>
      <c r="AC30" s="25">
        <v>22971</v>
      </c>
      <c r="AD30" s="25">
        <v>29364</v>
      </c>
      <c r="AE30" s="25">
        <v>52335</v>
      </c>
      <c r="AF30" s="25">
        <v>670.96153846153845</v>
      </c>
    </row>
    <row r="31" spans="1:32" s="16" customFormat="1" ht="26.25" customHeight="1" x14ac:dyDescent="0.35">
      <c r="A31" s="87">
        <v>27</v>
      </c>
      <c r="B31" s="369" t="s">
        <v>37</v>
      </c>
      <c r="C31" s="25">
        <v>1051</v>
      </c>
      <c r="D31" s="25">
        <v>1051</v>
      </c>
      <c r="E31" s="25">
        <v>3</v>
      </c>
      <c r="F31" s="25">
        <v>3</v>
      </c>
      <c r="G31" s="25">
        <v>6</v>
      </c>
      <c r="H31" s="25"/>
      <c r="I31" s="25">
        <v>10</v>
      </c>
      <c r="J31" s="25">
        <v>10</v>
      </c>
      <c r="K31" s="25">
        <v>13565</v>
      </c>
      <c r="L31" s="25">
        <v>25022</v>
      </c>
      <c r="M31" s="25">
        <v>38587</v>
      </c>
      <c r="N31" s="25">
        <v>207966</v>
      </c>
      <c r="O31" s="25">
        <v>236519</v>
      </c>
      <c r="P31" s="25">
        <v>444485</v>
      </c>
      <c r="Q31" s="25">
        <v>2200</v>
      </c>
      <c r="R31" s="25">
        <v>2515</v>
      </c>
      <c r="S31" s="25">
        <v>4715</v>
      </c>
      <c r="T31" s="25">
        <v>11129</v>
      </c>
      <c r="U31" s="25">
        <v>21192</v>
      </c>
      <c r="V31" s="25">
        <v>32321</v>
      </c>
      <c r="W31" s="25">
        <v>552</v>
      </c>
      <c r="X31" s="25">
        <v>801</v>
      </c>
      <c r="Y31" s="25">
        <v>1353</v>
      </c>
      <c r="Z31" s="25">
        <v>3715</v>
      </c>
      <c r="AA31" s="25">
        <v>6143</v>
      </c>
      <c r="AB31" s="25">
        <v>9858</v>
      </c>
      <c r="AC31" s="25">
        <v>239130</v>
      </c>
      <c r="AD31" s="25">
        <v>292205</v>
      </c>
      <c r="AE31" s="25">
        <v>531335</v>
      </c>
      <c r="AF31" s="25">
        <v>505.55185537583253</v>
      </c>
    </row>
    <row r="32" spans="1:32" s="16" customFormat="1" ht="26.25" customHeight="1" x14ac:dyDescent="0.35">
      <c r="A32" s="87">
        <v>28</v>
      </c>
      <c r="B32" s="369" t="s">
        <v>38</v>
      </c>
      <c r="C32" s="25">
        <v>4344</v>
      </c>
      <c r="D32" s="25">
        <v>4130</v>
      </c>
      <c r="E32" s="25">
        <v>734</v>
      </c>
      <c r="F32" s="25">
        <v>555</v>
      </c>
      <c r="G32" s="25">
        <v>1289</v>
      </c>
      <c r="H32" s="25"/>
      <c r="I32" s="25"/>
      <c r="J32" s="25"/>
      <c r="K32" s="25">
        <v>54306</v>
      </c>
      <c r="L32" s="25">
        <v>98251</v>
      </c>
      <c r="M32" s="25">
        <v>152557</v>
      </c>
      <c r="N32" s="25">
        <v>729791</v>
      </c>
      <c r="O32" s="25">
        <v>805642</v>
      </c>
      <c r="P32" s="25">
        <v>1535433</v>
      </c>
      <c r="Q32" s="25">
        <v>2412</v>
      </c>
      <c r="R32" s="25">
        <v>2146</v>
      </c>
      <c r="S32" s="25">
        <v>4558</v>
      </c>
      <c r="T32" s="25">
        <v>31968</v>
      </c>
      <c r="U32" s="25">
        <v>14992</v>
      </c>
      <c r="V32" s="25">
        <v>46960</v>
      </c>
      <c r="W32" s="25">
        <v>793</v>
      </c>
      <c r="X32" s="25">
        <v>1274</v>
      </c>
      <c r="Y32" s="25">
        <v>2067</v>
      </c>
      <c r="Z32" s="25">
        <v>57446</v>
      </c>
      <c r="AA32" s="25">
        <v>65440</v>
      </c>
      <c r="AB32" s="25">
        <v>122886</v>
      </c>
      <c r="AC32" s="25">
        <v>877450</v>
      </c>
      <c r="AD32" s="25">
        <v>988300</v>
      </c>
      <c r="AE32" s="25">
        <v>1865750</v>
      </c>
      <c r="AF32" s="25">
        <v>451.75544794188863</v>
      </c>
    </row>
    <row r="33" spans="1:32" s="16" customFormat="1" ht="26.25" customHeight="1" x14ac:dyDescent="0.35">
      <c r="A33" s="87">
        <v>29</v>
      </c>
      <c r="B33" s="369" t="s">
        <v>39</v>
      </c>
      <c r="C33" s="25">
        <v>22</v>
      </c>
      <c r="D33" s="25">
        <v>22</v>
      </c>
      <c r="E33" s="25">
        <v>11</v>
      </c>
      <c r="F33" s="25">
        <v>20</v>
      </c>
      <c r="G33" s="25">
        <v>31</v>
      </c>
      <c r="H33" s="25"/>
      <c r="I33" s="25"/>
      <c r="J33" s="25"/>
      <c r="K33" s="25">
        <v>208</v>
      </c>
      <c r="L33" s="25">
        <v>295</v>
      </c>
      <c r="M33" s="25">
        <v>503</v>
      </c>
      <c r="N33" s="25">
        <v>6042</v>
      </c>
      <c r="O33" s="25">
        <v>6999</v>
      </c>
      <c r="P33" s="25">
        <v>13041</v>
      </c>
      <c r="Q33" s="25">
        <v>11</v>
      </c>
      <c r="R33" s="25">
        <v>4</v>
      </c>
      <c r="S33" s="25">
        <v>15</v>
      </c>
      <c r="T33" s="25">
        <v>84</v>
      </c>
      <c r="U33" s="25">
        <v>38</v>
      </c>
      <c r="V33" s="25">
        <v>122</v>
      </c>
      <c r="W33" s="25"/>
      <c r="X33" s="25"/>
      <c r="Y33" s="25"/>
      <c r="Z33" s="25">
        <v>89</v>
      </c>
      <c r="AA33" s="25">
        <v>205</v>
      </c>
      <c r="AB33" s="25">
        <v>294</v>
      </c>
      <c r="AC33" s="25">
        <v>6445</v>
      </c>
      <c r="AD33" s="25">
        <v>7561</v>
      </c>
      <c r="AE33" s="25">
        <v>14006</v>
      </c>
      <c r="AF33" s="25">
        <v>636.63636363636363</v>
      </c>
    </row>
    <row r="34" spans="1:32" s="16" customFormat="1" ht="26.25" customHeight="1" x14ac:dyDescent="0.35">
      <c r="A34" s="87">
        <v>30</v>
      </c>
      <c r="B34" s="369" t="s">
        <v>40</v>
      </c>
      <c r="C34" s="25">
        <v>2983</v>
      </c>
      <c r="D34" s="25">
        <v>2933</v>
      </c>
      <c r="E34" s="25">
        <v>4991</v>
      </c>
      <c r="F34" s="25">
        <v>9571</v>
      </c>
      <c r="G34" s="25">
        <v>14562</v>
      </c>
      <c r="H34" s="25">
        <v>318</v>
      </c>
      <c r="I34" s="25">
        <v>483</v>
      </c>
      <c r="J34" s="25">
        <v>801</v>
      </c>
      <c r="K34" s="25">
        <v>95498</v>
      </c>
      <c r="L34" s="25">
        <v>157828</v>
      </c>
      <c r="M34" s="25">
        <v>253326</v>
      </c>
      <c r="N34" s="25">
        <v>1025777</v>
      </c>
      <c r="O34" s="25">
        <v>1127102</v>
      </c>
      <c r="P34" s="25">
        <v>2152879</v>
      </c>
      <c r="Q34" s="25">
        <v>1283</v>
      </c>
      <c r="R34" s="25">
        <v>1266</v>
      </c>
      <c r="S34" s="25">
        <v>2549</v>
      </c>
      <c r="T34" s="25">
        <v>7431</v>
      </c>
      <c r="U34" s="25">
        <v>16177</v>
      </c>
      <c r="V34" s="25">
        <v>23608</v>
      </c>
      <c r="W34" s="25">
        <v>741</v>
      </c>
      <c r="X34" s="25">
        <v>4528</v>
      </c>
      <c r="Y34" s="25">
        <v>5269</v>
      </c>
      <c r="Z34" s="25">
        <v>3993</v>
      </c>
      <c r="AA34" s="25">
        <v>5779</v>
      </c>
      <c r="AB34" s="25">
        <v>9772</v>
      </c>
      <c r="AC34" s="25">
        <v>1140032</v>
      </c>
      <c r="AD34" s="25">
        <v>1322734</v>
      </c>
      <c r="AE34" s="25">
        <v>2462766</v>
      </c>
      <c r="AF34" s="25">
        <v>839.67473576542784</v>
      </c>
    </row>
    <row r="35" spans="1:32" s="16" customFormat="1" ht="26.25" customHeight="1" x14ac:dyDescent="0.35">
      <c r="A35" s="87">
        <v>31</v>
      </c>
      <c r="B35" s="369" t="s">
        <v>41</v>
      </c>
      <c r="C35" s="25">
        <v>2160</v>
      </c>
      <c r="D35" s="25">
        <v>1780</v>
      </c>
      <c r="E35" s="25">
        <v>26</v>
      </c>
      <c r="F35" s="25">
        <v>41</v>
      </c>
      <c r="G35" s="25">
        <v>67</v>
      </c>
      <c r="H35" s="25">
        <v>13</v>
      </c>
      <c r="I35" s="25">
        <v>43</v>
      </c>
      <c r="J35" s="25">
        <v>56</v>
      </c>
      <c r="K35" s="25">
        <v>47887</v>
      </c>
      <c r="L35" s="25">
        <v>69968</v>
      </c>
      <c r="M35" s="25">
        <v>117855</v>
      </c>
      <c r="N35" s="25">
        <v>473415</v>
      </c>
      <c r="O35" s="25">
        <v>494849</v>
      </c>
      <c r="P35" s="25">
        <v>968264</v>
      </c>
      <c r="Q35" s="25">
        <v>17</v>
      </c>
      <c r="R35" s="25">
        <v>71</v>
      </c>
      <c r="S35" s="25">
        <v>88</v>
      </c>
      <c r="T35" s="25">
        <v>4395</v>
      </c>
      <c r="U35" s="25">
        <v>2722</v>
      </c>
      <c r="V35" s="25">
        <v>7117</v>
      </c>
      <c r="W35" s="25">
        <v>422</v>
      </c>
      <c r="X35" s="25">
        <v>1044</v>
      </c>
      <c r="Y35" s="25">
        <v>1466</v>
      </c>
      <c r="Z35" s="25">
        <v>2746</v>
      </c>
      <c r="AA35" s="25">
        <v>2424</v>
      </c>
      <c r="AB35" s="25">
        <v>5170</v>
      </c>
      <c r="AC35" s="25">
        <v>528921</v>
      </c>
      <c r="AD35" s="25">
        <v>571162</v>
      </c>
      <c r="AE35" s="25">
        <v>1100083</v>
      </c>
      <c r="AF35" s="25">
        <v>618.02415730337077</v>
      </c>
    </row>
    <row r="36" spans="1:32" s="16" customFormat="1" ht="26.25" customHeight="1" x14ac:dyDescent="0.35">
      <c r="A36" s="87">
        <v>32</v>
      </c>
      <c r="B36" s="342" t="s">
        <v>58</v>
      </c>
      <c r="C36" s="25">
        <v>18</v>
      </c>
      <c r="D36" s="25">
        <v>18</v>
      </c>
      <c r="E36" s="25"/>
      <c r="F36" s="25">
        <v>2</v>
      </c>
      <c r="G36" s="25">
        <v>2</v>
      </c>
      <c r="H36" s="25"/>
      <c r="I36" s="25"/>
      <c r="J36" s="25"/>
      <c r="K36" s="25">
        <v>178</v>
      </c>
      <c r="L36" s="25">
        <v>468</v>
      </c>
      <c r="M36" s="25">
        <v>646</v>
      </c>
      <c r="N36" s="25">
        <v>4259</v>
      </c>
      <c r="O36" s="25">
        <v>5058</v>
      </c>
      <c r="P36" s="25">
        <v>9317</v>
      </c>
      <c r="Q36" s="25">
        <v>1</v>
      </c>
      <c r="R36" s="25"/>
      <c r="S36" s="25">
        <v>1</v>
      </c>
      <c r="T36" s="25">
        <v>1457</v>
      </c>
      <c r="U36" s="25">
        <v>464</v>
      </c>
      <c r="V36" s="25">
        <v>1921</v>
      </c>
      <c r="W36" s="25"/>
      <c r="X36" s="25"/>
      <c r="Y36" s="25"/>
      <c r="Z36" s="25">
        <v>54</v>
      </c>
      <c r="AA36" s="25">
        <v>76</v>
      </c>
      <c r="AB36" s="25">
        <v>130</v>
      </c>
      <c r="AC36" s="25">
        <v>5949</v>
      </c>
      <c r="AD36" s="25">
        <v>6068</v>
      </c>
      <c r="AE36" s="25">
        <v>12017</v>
      </c>
      <c r="AF36" s="25">
        <v>667.61111111111109</v>
      </c>
    </row>
    <row r="37" spans="1:32" s="16" customFormat="1" ht="26.25" customHeight="1" x14ac:dyDescent="0.35">
      <c r="A37" s="87">
        <v>33</v>
      </c>
      <c r="B37" s="369" t="s">
        <v>42</v>
      </c>
      <c r="C37" s="25">
        <v>61</v>
      </c>
      <c r="D37" s="25">
        <v>61</v>
      </c>
      <c r="E37" s="25">
        <v>17</v>
      </c>
      <c r="F37" s="25">
        <v>17</v>
      </c>
      <c r="G37" s="25">
        <v>34</v>
      </c>
      <c r="H37" s="25"/>
      <c r="I37" s="25"/>
      <c r="J37" s="25"/>
      <c r="K37" s="25">
        <v>354</v>
      </c>
      <c r="L37" s="25">
        <v>533</v>
      </c>
      <c r="M37" s="25">
        <v>887</v>
      </c>
      <c r="N37" s="25">
        <v>38701</v>
      </c>
      <c r="O37" s="25">
        <v>41765</v>
      </c>
      <c r="P37" s="25">
        <v>80466</v>
      </c>
      <c r="Q37" s="25"/>
      <c r="R37" s="25"/>
      <c r="S37" s="25"/>
      <c r="T37" s="25">
        <v>1858</v>
      </c>
      <c r="U37" s="25">
        <v>1401</v>
      </c>
      <c r="V37" s="25">
        <v>3259</v>
      </c>
      <c r="W37" s="25">
        <v>5</v>
      </c>
      <c r="X37" s="25">
        <v>1</v>
      </c>
      <c r="Y37" s="25">
        <v>6</v>
      </c>
      <c r="Z37" s="25">
        <v>131</v>
      </c>
      <c r="AA37" s="25">
        <v>140</v>
      </c>
      <c r="AB37" s="25">
        <v>271</v>
      </c>
      <c r="AC37" s="25">
        <v>41066</v>
      </c>
      <c r="AD37" s="25">
        <v>43857</v>
      </c>
      <c r="AE37" s="25">
        <v>84923</v>
      </c>
      <c r="AF37" s="25">
        <v>1392.1803278688524</v>
      </c>
    </row>
    <row r="38" spans="1:32" s="16" customFormat="1" ht="26.25" customHeight="1" x14ac:dyDescent="0.35">
      <c r="A38" s="87">
        <v>34</v>
      </c>
      <c r="B38" s="369" t="s">
        <v>43</v>
      </c>
      <c r="C38" s="25">
        <v>8625</v>
      </c>
      <c r="D38" s="25">
        <v>8292</v>
      </c>
      <c r="E38" s="25">
        <v>1625</v>
      </c>
      <c r="F38" s="25">
        <v>1770</v>
      </c>
      <c r="G38" s="25">
        <v>3395</v>
      </c>
      <c r="H38" s="25"/>
      <c r="I38" s="25"/>
      <c r="J38" s="25"/>
      <c r="K38" s="25">
        <v>249822</v>
      </c>
      <c r="L38" s="25">
        <v>383120</v>
      </c>
      <c r="M38" s="25">
        <v>632942</v>
      </c>
      <c r="N38" s="25">
        <v>2541496</v>
      </c>
      <c r="O38" s="25">
        <v>2587272</v>
      </c>
      <c r="P38" s="25">
        <v>5128768</v>
      </c>
      <c r="Q38" s="25">
        <v>2129</v>
      </c>
      <c r="R38" s="25">
        <v>2687</v>
      </c>
      <c r="S38" s="25">
        <v>4816</v>
      </c>
      <c r="T38" s="25">
        <v>95283</v>
      </c>
      <c r="U38" s="25">
        <v>90343</v>
      </c>
      <c r="V38" s="25">
        <v>185626</v>
      </c>
      <c r="W38" s="25">
        <v>4176</v>
      </c>
      <c r="X38" s="25">
        <v>4422</v>
      </c>
      <c r="Y38" s="25">
        <v>8598</v>
      </c>
      <c r="Z38" s="25">
        <v>33595</v>
      </c>
      <c r="AA38" s="25">
        <v>19144</v>
      </c>
      <c r="AB38" s="25">
        <v>52739</v>
      </c>
      <c r="AC38" s="25">
        <v>2928126</v>
      </c>
      <c r="AD38" s="25">
        <v>3088758</v>
      </c>
      <c r="AE38" s="25">
        <v>6016884</v>
      </c>
      <c r="AF38" s="25">
        <v>725.6251808972504</v>
      </c>
    </row>
    <row r="39" spans="1:32" s="16" customFormat="1" ht="26.25" customHeight="1" x14ac:dyDescent="0.35">
      <c r="A39" s="87">
        <v>35</v>
      </c>
      <c r="B39" s="369" t="s">
        <v>44</v>
      </c>
      <c r="C39" s="25">
        <v>563</v>
      </c>
      <c r="D39" s="25">
        <v>382</v>
      </c>
      <c r="E39" s="25">
        <v>358</v>
      </c>
      <c r="F39" s="25">
        <v>429</v>
      </c>
      <c r="G39" s="25">
        <v>787</v>
      </c>
      <c r="H39" s="25"/>
      <c r="I39" s="25"/>
      <c r="J39" s="25"/>
      <c r="K39" s="25">
        <v>10075</v>
      </c>
      <c r="L39" s="25">
        <v>18068</v>
      </c>
      <c r="M39" s="25">
        <v>28143</v>
      </c>
      <c r="N39" s="25">
        <v>89356</v>
      </c>
      <c r="O39" s="25">
        <v>114957</v>
      </c>
      <c r="P39" s="25">
        <v>204313</v>
      </c>
      <c r="Q39" s="25">
        <v>103</v>
      </c>
      <c r="R39" s="25">
        <v>152</v>
      </c>
      <c r="S39" s="25">
        <v>255</v>
      </c>
      <c r="T39" s="25">
        <v>3157</v>
      </c>
      <c r="U39" s="25">
        <v>2183</v>
      </c>
      <c r="V39" s="25">
        <v>5340</v>
      </c>
      <c r="W39" s="25">
        <v>1</v>
      </c>
      <c r="X39" s="25"/>
      <c r="Y39" s="25">
        <v>1</v>
      </c>
      <c r="Z39" s="25">
        <v>1139</v>
      </c>
      <c r="AA39" s="25">
        <v>707</v>
      </c>
      <c r="AB39" s="25">
        <v>1846</v>
      </c>
      <c r="AC39" s="25">
        <v>104189</v>
      </c>
      <c r="AD39" s="25">
        <v>136496</v>
      </c>
      <c r="AE39" s="25">
        <v>240685</v>
      </c>
      <c r="AF39" s="25">
        <v>630.06544502617805</v>
      </c>
    </row>
    <row r="40" spans="1:32" s="16" customFormat="1" ht="26.25" customHeight="1" x14ac:dyDescent="0.35">
      <c r="A40" s="87">
        <v>36</v>
      </c>
      <c r="B40" s="369" t="s">
        <v>45</v>
      </c>
      <c r="C40" s="25">
        <v>1588</v>
      </c>
      <c r="D40" s="25">
        <v>1576</v>
      </c>
      <c r="E40" s="25">
        <v>476</v>
      </c>
      <c r="F40" s="25">
        <v>190</v>
      </c>
      <c r="G40" s="25">
        <v>666</v>
      </c>
      <c r="H40" s="25"/>
      <c r="I40" s="25"/>
      <c r="J40" s="25"/>
      <c r="K40" s="25">
        <v>19328</v>
      </c>
      <c r="L40" s="25">
        <v>25332</v>
      </c>
      <c r="M40" s="25">
        <v>44660</v>
      </c>
      <c r="N40" s="25">
        <v>729515</v>
      </c>
      <c r="O40" s="25">
        <v>859669</v>
      </c>
      <c r="P40" s="25">
        <v>1589184</v>
      </c>
      <c r="Q40" s="25">
        <v>760</v>
      </c>
      <c r="R40" s="25">
        <v>405</v>
      </c>
      <c r="S40" s="25">
        <v>1165</v>
      </c>
      <c r="T40" s="25">
        <v>27609</v>
      </c>
      <c r="U40" s="25">
        <v>30745</v>
      </c>
      <c r="V40" s="25">
        <v>58354</v>
      </c>
      <c r="W40" s="25">
        <v>2205</v>
      </c>
      <c r="X40" s="25">
        <v>2474</v>
      </c>
      <c r="Y40" s="25">
        <v>4679</v>
      </c>
      <c r="Z40" s="25">
        <v>4453</v>
      </c>
      <c r="AA40" s="25">
        <v>4892</v>
      </c>
      <c r="AB40" s="25">
        <v>9345</v>
      </c>
      <c r="AC40" s="25">
        <v>784346</v>
      </c>
      <c r="AD40" s="25">
        <v>923707</v>
      </c>
      <c r="AE40" s="25">
        <v>1708053</v>
      </c>
      <c r="AF40" s="25">
        <v>1083.7899746192893</v>
      </c>
    </row>
    <row r="41" spans="1:32" s="86" customFormat="1" ht="26.25" customHeight="1" x14ac:dyDescent="0.35">
      <c r="A41" s="690" t="s">
        <v>46</v>
      </c>
      <c r="B41" s="690"/>
      <c r="C41" s="41">
        <v>48246</v>
      </c>
      <c r="D41" s="41">
        <v>46468</v>
      </c>
      <c r="E41" s="41">
        <v>21414</v>
      </c>
      <c r="F41" s="41">
        <v>28774</v>
      </c>
      <c r="G41" s="41">
        <v>50188</v>
      </c>
      <c r="H41" s="41">
        <v>410</v>
      </c>
      <c r="I41" s="41">
        <v>765</v>
      </c>
      <c r="J41" s="41">
        <v>1175</v>
      </c>
      <c r="K41" s="41">
        <v>1093277</v>
      </c>
      <c r="L41" s="41">
        <v>1630876</v>
      </c>
      <c r="M41" s="41">
        <v>2724153</v>
      </c>
      <c r="N41" s="41">
        <v>13089778</v>
      </c>
      <c r="O41" s="41">
        <v>13912323</v>
      </c>
      <c r="P41" s="41">
        <v>27002101</v>
      </c>
      <c r="Q41" s="41">
        <v>23853</v>
      </c>
      <c r="R41" s="41">
        <v>27270</v>
      </c>
      <c r="S41" s="41">
        <v>51123</v>
      </c>
      <c r="T41" s="41">
        <v>497316</v>
      </c>
      <c r="U41" s="41">
        <v>384206</v>
      </c>
      <c r="V41" s="41">
        <v>881522</v>
      </c>
      <c r="W41" s="41">
        <v>33787</v>
      </c>
      <c r="X41" s="41">
        <v>41866</v>
      </c>
      <c r="Y41" s="41">
        <v>75653</v>
      </c>
      <c r="Z41" s="41">
        <v>162896</v>
      </c>
      <c r="AA41" s="41">
        <v>164313</v>
      </c>
      <c r="AB41" s="41">
        <v>327209</v>
      </c>
      <c r="AC41" s="41">
        <v>14922731</v>
      </c>
      <c r="AD41" s="41">
        <v>16190393</v>
      </c>
      <c r="AE41" s="41">
        <v>31113124</v>
      </c>
      <c r="AF41" s="41">
        <v>669.56021348024444</v>
      </c>
    </row>
  </sheetData>
  <mergeCells count="17">
    <mergeCell ref="A41:B41"/>
    <mergeCell ref="Q2:S2"/>
    <mergeCell ref="T2:V2"/>
    <mergeCell ref="W2:Y2"/>
    <mergeCell ref="Z2:AB2"/>
    <mergeCell ref="A2:A3"/>
    <mergeCell ref="B2:B3"/>
    <mergeCell ref="AC2:AE2"/>
    <mergeCell ref="AF2:AF3"/>
    <mergeCell ref="C1:M1"/>
    <mergeCell ref="N1:V1"/>
    <mergeCell ref="W1:AF1"/>
    <mergeCell ref="C2:D2"/>
    <mergeCell ref="E2:G2"/>
    <mergeCell ref="H2:J2"/>
    <mergeCell ref="K2:M2"/>
    <mergeCell ref="N2:P2"/>
  </mergeCells>
  <conditionalFormatting sqref="AF5:AF41">
    <cfRule type="cellIs" dxfId="2" priority="1" operator="lessThan">
      <formula>0</formula>
    </cfRule>
  </conditionalFormatting>
  <pageMargins left="0.59055118110236227" right="0.19685039370078741" top="0.39370078740157483" bottom="0.39370078740157483" header="0.31496062992125984" footer="0.19685039370078741"/>
  <pageSetup paperSize="9" scale="74" firstPageNumber="14" orientation="portrait" r:id="rId1"/>
  <headerFooter>
    <oddFooter>&amp;L&amp;"Arial,Italic"&amp;9AISHE 2023-24&amp;RT-8</oddFooter>
  </headerFooter>
  <colBreaks count="2" manualBreakCount="2">
    <brk id="13" max="41" man="1"/>
    <brk id="2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57D5-A4F9-47A7-911A-F65CDE5C2BF4}">
  <dimension ref="A1:AX41"/>
  <sheetViews>
    <sheetView showZeros="0" view="pageBreakPreview" zoomScaleNormal="100" zoomScaleSheetLayoutView="100" workbookViewId="0">
      <pane xSplit="2" ySplit="5" topLeftCell="C39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9.453125" defaultRowHeight="13" x14ac:dyDescent="0.3"/>
  <cols>
    <col min="1" max="1" width="5.54296875" style="88" bestFit="1" customWidth="1"/>
    <col min="2" max="2" width="21.453125" style="88" customWidth="1"/>
    <col min="3" max="3" width="11.26953125" style="88" customWidth="1"/>
    <col min="4" max="4" width="12.1796875" style="88" customWidth="1"/>
    <col min="5" max="5" width="11.453125" style="88" bestFit="1" customWidth="1"/>
    <col min="6" max="6" width="10.26953125" style="88" bestFit="1" customWidth="1"/>
    <col min="7" max="7" width="11.453125" style="88" bestFit="1" customWidth="1"/>
    <col min="8" max="8" width="9.1796875" style="88" customWidth="1"/>
    <col min="9" max="10" width="12.1796875" style="88" customWidth="1"/>
    <col min="11" max="12" width="9.81640625" style="88" bestFit="1" customWidth="1"/>
    <col min="13" max="13" width="8.54296875" style="88" bestFit="1" customWidth="1"/>
    <col min="14" max="14" width="10.54296875" style="88" customWidth="1"/>
    <col min="15" max="15" width="11.7265625" style="88" customWidth="1"/>
    <col min="16" max="16" width="12.1796875" style="88" customWidth="1"/>
    <col min="17" max="17" width="9.81640625" style="88" bestFit="1" customWidth="1"/>
    <col min="18" max="19" width="11.1796875" style="88" bestFit="1" customWidth="1"/>
    <col min="20" max="20" width="9.1796875" style="88" customWidth="1"/>
    <col min="21" max="22" width="12.1796875" style="88" customWidth="1"/>
    <col min="23" max="23" width="9.81640625" style="88" bestFit="1" customWidth="1"/>
    <col min="24" max="24" width="11.1796875" style="88" bestFit="1" customWidth="1"/>
    <col min="25" max="25" width="11.54296875" style="88" customWidth="1"/>
    <col min="26" max="26" width="10.54296875" style="88" customWidth="1"/>
    <col min="27" max="27" width="11.7265625" style="88" customWidth="1"/>
    <col min="28" max="28" width="12.1796875" style="88" customWidth="1"/>
    <col min="29" max="31" width="9.81640625" style="88" bestFit="1" customWidth="1"/>
    <col min="32" max="32" width="12.54296875" style="88" customWidth="1"/>
    <col min="33" max="34" width="12.7265625" style="88" customWidth="1"/>
    <col min="35" max="37" width="9.81640625" style="88" bestFit="1" customWidth="1"/>
    <col min="38" max="38" width="11.81640625" style="88" customWidth="1"/>
    <col min="39" max="39" width="11.26953125" style="88" customWidth="1"/>
    <col min="40" max="40" width="12.54296875" style="88" customWidth="1"/>
    <col min="41" max="41" width="9.81640625" style="88" bestFit="1" customWidth="1"/>
    <col min="42" max="42" width="8.81640625" style="88" bestFit="1" customWidth="1"/>
    <col min="43" max="43" width="9.81640625" style="88" bestFit="1" customWidth="1"/>
    <col min="44" max="44" width="9.1796875" style="88" customWidth="1"/>
    <col min="45" max="45" width="12.1796875" style="88" customWidth="1"/>
    <col min="46" max="46" width="11.81640625" style="88" customWidth="1"/>
    <col min="47" max="47" width="12.1796875" style="88" bestFit="1" customWidth="1"/>
    <col min="48" max="48" width="11.1796875" style="88" bestFit="1" customWidth="1"/>
    <col min="49" max="49" width="12.1796875" style="88" bestFit="1" customWidth="1"/>
    <col min="50" max="50" width="12.81640625" style="88" customWidth="1"/>
    <col min="51" max="16384" width="9.453125" style="88"/>
  </cols>
  <sheetData>
    <row r="1" spans="1:50" s="71" customFormat="1" ht="37.5" customHeight="1" x14ac:dyDescent="0.35">
      <c r="B1" s="30"/>
      <c r="C1" s="730" t="s">
        <v>992</v>
      </c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 t="str">
        <f>C1</f>
        <v>Table 9. States/UTs-wise Number of Registered and Responded Standalone and their Enrolment at various Institution Type
(Based on Actual Response)</v>
      </c>
      <c r="P1" s="730"/>
      <c r="Q1" s="730"/>
      <c r="R1" s="730"/>
      <c r="S1" s="730"/>
      <c r="T1" s="730"/>
      <c r="U1" s="730"/>
      <c r="V1" s="730"/>
      <c r="W1" s="730"/>
      <c r="X1" s="730"/>
      <c r="Y1" s="730"/>
      <c r="Z1" s="730"/>
      <c r="AA1" s="730" t="str">
        <f>O1</f>
        <v>Table 9. States/UTs-wise Number of Registered and Responded Standalone and their Enrolment at various Institution Type
(Based on Actual Response)</v>
      </c>
      <c r="AB1" s="730"/>
      <c r="AC1" s="730"/>
      <c r="AD1" s="730"/>
      <c r="AE1" s="730"/>
      <c r="AF1" s="730"/>
      <c r="AG1" s="730"/>
      <c r="AH1" s="730"/>
      <c r="AI1" s="730"/>
      <c r="AJ1" s="730"/>
      <c r="AK1" s="730"/>
      <c r="AL1" s="730"/>
      <c r="AM1" s="730" t="str">
        <f>AA1</f>
        <v>Table 9. States/UTs-wise Number of Registered and Responded Standalone and their Enrolment at various Institution Type
(Based on Actual Response)</v>
      </c>
      <c r="AN1" s="730"/>
      <c r="AO1" s="730"/>
      <c r="AP1" s="730"/>
      <c r="AQ1" s="730"/>
      <c r="AR1" s="730"/>
      <c r="AS1" s="730"/>
      <c r="AT1" s="730"/>
      <c r="AU1" s="730"/>
      <c r="AV1" s="730"/>
      <c r="AW1" s="730"/>
      <c r="AX1" s="730"/>
    </row>
    <row r="2" spans="1:50" s="89" customFormat="1" ht="15" x14ac:dyDescent="0.3">
      <c r="A2" s="693" t="s">
        <v>94</v>
      </c>
      <c r="B2" s="693" t="s">
        <v>885</v>
      </c>
      <c r="C2" s="692" t="s">
        <v>111</v>
      </c>
      <c r="D2" s="692"/>
      <c r="E2" s="692"/>
      <c r="F2" s="692"/>
      <c r="G2" s="692"/>
      <c r="H2" s="692"/>
      <c r="I2" s="692" t="s">
        <v>112</v>
      </c>
      <c r="J2" s="692"/>
      <c r="K2" s="692"/>
      <c r="L2" s="692"/>
      <c r="M2" s="692"/>
      <c r="N2" s="692"/>
      <c r="O2" s="692" t="s">
        <v>113</v>
      </c>
      <c r="P2" s="692"/>
      <c r="Q2" s="692"/>
      <c r="R2" s="692"/>
      <c r="S2" s="692"/>
      <c r="T2" s="692"/>
      <c r="U2" s="692" t="s">
        <v>114</v>
      </c>
      <c r="V2" s="692"/>
      <c r="W2" s="692"/>
      <c r="X2" s="692"/>
      <c r="Y2" s="692"/>
      <c r="Z2" s="692"/>
      <c r="AA2" s="692" t="s">
        <v>115</v>
      </c>
      <c r="AB2" s="692"/>
      <c r="AC2" s="692"/>
      <c r="AD2" s="692"/>
      <c r="AE2" s="692"/>
      <c r="AF2" s="692"/>
      <c r="AG2" s="692" t="s">
        <v>116</v>
      </c>
      <c r="AH2" s="692"/>
      <c r="AI2" s="692"/>
      <c r="AJ2" s="692"/>
      <c r="AK2" s="692"/>
      <c r="AL2" s="692"/>
      <c r="AM2" s="692" t="s">
        <v>117</v>
      </c>
      <c r="AN2" s="692"/>
      <c r="AO2" s="692"/>
      <c r="AP2" s="692"/>
      <c r="AQ2" s="692"/>
      <c r="AR2" s="692"/>
      <c r="AS2" s="692" t="s">
        <v>118</v>
      </c>
      <c r="AT2" s="692"/>
      <c r="AU2" s="692"/>
      <c r="AV2" s="692"/>
      <c r="AW2" s="692"/>
      <c r="AX2" s="692"/>
    </row>
    <row r="3" spans="1:50" s="84" customFormat="1" ht="15" x14ac:dyDescent="0.35">
      <c r="A3" s="693"/>
      <c r="B3" s="693"/>
      <c r="C3" s="693" t="s">
        <v>119</v>
      </c>
      <c r="D3" s="693"/>
      <c r="E3" s="693" t="s">
        <v>93</v>
      </c>
      <c r="F3" s="693"/>
      <c r="G3" s="693"/>
      <c r="H3" s="731" t="s">
        <v>120</v>
      </c>
      <c r="I3" s="693" t="s">
        <v>119</v>
      </c>
      <c r="J3" s="693"/>
      <c r="K3" s="693" t="s">
        <v>93</v>
      </c>
      <c r="L3" s="693"/>
      <c r="M3" s="693"/>
      <c r="N3" s="731" t="s">
        <v>120</v>
      </c>
      <c r="O3" s="693" t="s">
        <v>119</v>
      </c>
      <c r="P3" s="693"/>
      <c r="Q3" s="693" t="s">
        <v>93</v>
      </c>
      <c r="R3" s="693"/>
      <c r="S3" s="693"/>
      <c r="T3" s="731" t="s">
        <v>120</v>
      </c>
      <c r="U3" s="693" t="s">
        <v>119</v>
      </c>
      <c r="V3" s="693"/>
      <c r="W3" s="693" t="s">
        <v>93</v>
      </c>
      <c r="X3" s="693"/>
      <c r="Y3" s="693"/>
      <c r="Z3" s="731" t="s">
        <v>120</v>
      </c>
      <c r="AA3" s="693" t="s">
        <v>119</v>
      </c>
      <c r="AB3" s="693"/>
      <c r="AC3" s="693" t="s">
        <v>93</v>
      </c>
      <c r="AD3" s="693"/>
      <c r="AE3" s="693"/>
      <c r="AF3" s="731" t="s">
        <v>120</v>
      </c>
      <c r="AG3" s="693" t="s">
        <v>119</v>
      </c>
      <c r="AH3" s="693"/>
      <c r="AI3" s="693" t="s">
        <v>93</v>
      </c>
      <c r="AJ3" s="693"/>
      <c r="AK3" s="693"/>
      <c r="AL3" s="731" t="s">
        <v>120</v>
      </c>
      <c r="AM3" s="693" t="s">
        <v>119</v>
      </c>
      <c r="AN3" s="693"/>
      <c r="AO3" s="693" t="s">
        <v>93</v>
      </c>
      <c r="AP3" s="693"/>
      <c r="AQ3" s="693"/>
      <c r="AR3" s="731" t="s">
        <v>120</v>
      </c>
      <c r="AS3" s="693" t="s">
        <v>119</v>
      </c>
      <c r="AT3" s="693"/>
      <c r="AU3" s="693" t="s">
        <v>93</v>
      </c>
      <c r="AV3" s="693"/>
      <c r="AW3" s="693"/>
      <c r="AX3" s="731" t="s">
        <v>120</v>
      </c>
    </row>
    <row r="4" spans="1:50" s="90" customFormat="1" ht="67.400000000000006" customHeight="1" x14ac:dyDescent="0.35">
      <c r="A4" s="693"/>
      <c r="B4" s="693"/>
      <c r="C4" s="31" t="s">
        <v>53</v>
      </c>
      <c r="D4" s="31" t="s">
        <v>54</v>
      </c>
      <c r="E4" s="33" t="s">
        <v>103</v>
      </c>
      <c r="F4" s="33" t="s">
        <v>104</v>
      </c>
      <c r="G4" s="31" t="s">
        <v>89</v>
      </c>
      <c r="H4" s="731"/>
      <c r="I4" s="31" t="s">
        <v>53</v>
      </c>
      <c r="J4" s="31" t="s">
        <v>54</v>
      </c>
      <c r="K4" s="33" t="s">
        <v>103</v>
      </c>
      <c r="L4" s="33" t="s">
        <v>104</v>
      </c>
      <c r="M4" s="31" t="s">
        <v>89</v>
      </c>
      <c r="N4" s="731"/>
      <c r="O4" s="31" t="s">
        <v>53</v>
      </c>
      <c r="P4" s="31" t="s">
        <v>54</v>
      </c>
      <c r="Q4" s="33" t="s">
        <v>103</v>
      </c>
      <c r="R4" s="33" t="s">
        <v>104</v>
      </c>
      <c r="S4" s="31" t="s">
        <v>89</v>
      </c>
      <c r="T4" s="731"/>
      <c r="U4" s="31" t="s">
        <v>53</v>
      </c>
      <c r="V4" s="31" t="s">
        <v>54</v>
      </c>
      <c r="W4" s="33" t="s">
        <v>103</v>
      </c>
      <c r="X4" s="33" t="s">
        <v>104</v>
      </c>
      <c r="Y4" s="31" t="s">
        <v>89</v>
      </c>
      <c r="Z4" s="731"/>
      <c r="AA4" s="31" t="s">
        <v>53</v>
      </c>
      <c r="AB4" s="31" t="s">
        <v>54</v>
      </c>
      <c r="AC4" s="33" t="s">
        <v>103</v>
      </c>
      <c r="AD4" s="33" t="s">
        <v>104</v>
      </c>
      <c r="AE4" s="31" t="s">
        <v>89</v>
      </c>
      <c r="AF4" s="731"/>
      <c r="AG4" s="31" t="s">
        <v>53</v>
      </c>
      <c r="AH4" s="31" t="s">
        <v>54</v>
      </c>
      <c r="AI4" s="33" t="s">
        <v>103</v>
      </c>
      <c r="AJ4" s="33" t="s">
        <v>104</v>
      </c>
      <c r="AK4" s="31" t="s">
        <v>89</v>
      </c>
      <c r="AL4" s="731"/>
      <c r="AM4" s="31" t="s">
        <v>53</v>
      </c>
      <c r="AN4" s="31" t="s">
        <v>54</v>
      </c>
      <c r="AO4" s="33" t="s">
        <v>103</v>
      </c>
      <c r="AP4" s="33" t="s">
        <v>104</v>
      </c>
      <c r="AQ4" s="31" t="s">
        <v>89</v>
      </c>
      <c r="AR4" s="731"/>
      <c r="AS4" s="31" t="s">
        <v>53</v>
      </c>
      <c r="AT4" s="31" t="s">
        <v>54</v>
      </c>
      <c r="AU4" s="33" t="s">
        <v>103</v>
      </c>
      <c r="AV4" s="33" t="s">
        <v>104</v>
      </c>
      <c r="AW4" s="31" t="s">
        <v>89</v>
      </c>
      <c r="AX4" s="731"/>
    </row>
    <row r="5" spans="1:50" s="330" customFormat="1" ht="11.5" x14ac:dyDescent="0.35">
      <c r="A5" s="56">
        <v>1</v>
      </c>
      <c r="B5" s="56">
        <v>2</v>
      </c>
      <c r="C5" s="56">
        <v>3</v>
      </c>
      <c r="D5" s="56">
        <v>4</v>
      </c>
      <c r="E5" s="56">
        <v>5</v>
      </c>
      <c r="F5" s="56">
        <v>6</v>
      </c>
      <c r="G5" s="56">
        <v>7</v>
      </c>
      <c r="H5" s="56">
        <v>8</v>
      </c>
      <c r="I5" s="56">
        <v>9</v>
      </c>
      <c r="J5" s="56">
        <v>10</v>
      </c>
      <c r="K5" s="56">
        <v>11</v>
      </c>
      <c r="L5" s="56">
        <v>12</v>
      </c>
      <c r="M5" s="56">
        <v>13</v>
      </c>
      <c r="N5" s="56">
        <v>14</v>
      </c>
      <c r="O5" s="56">
        <v>15</v>
      </c>
      <c r="P5" s="56">
        <v>16</v>
      </c>
      <c r="Q5" s="56">
        <v>17</v>
      </c>
      <c r="R5" s="56">
        <v>18</v>
      </c>
      <c r="S5" s="56">
        <v>19</v>
      </c>
      <c r="T5" s="56">
        <v>20</v>
      </c>
      <c r="U5" s="56">
        <v>21</v>
      </c>
      <c r="V5" s="56">
        <v>22</v>
      </c>
      <c r="W5" s="56">
        <v>23</v>
      </c>
      <c r="X5" s="56">
        <v>24</v>
      </c>
      <c r="Y5" s="56">
        <v>25</v>
      </c>
      <c r="Z5" s="56">
        <v>26</v>
      </c>
      <c r="AA5" s="56">
        <v>27</v>
      </c>
      <c r="AB5" s="56">
        <v>28</v>
      </c>
      <c r="AC5" s="56">
        <v>29</v>
      </c>
      <c r="AD5" s="56">
        <v>30</v>
      </c>
      <c r="AE5" s="56">
        <v>31</v>
      </c>
      <c r="AF5" s="56">
        <v>32</v>
      </c>
      <c r="AG5" s="56">
        <v>33</v>
      </c>
      <c r="AH5" s="56">
        <v>34</v>
      </c>
      <c r="AI5" s="56">
        <v>35</v>
      </c>
      <c r="AJ5" s="56">
        <v>36</v>
      </c>
      <c r="AK5" s="56">
        <v>37</v>
      </c>
      <c r="AL5" s="56">
        <v>38</v>
      </c>
      <c r="AM5" s="56">
        <v>39</v>
      </c>
      <c r="AN5" s="56">
        <v>40</v>
      </c>
      <c r="AO5" s="56">
        <v>41</v>
      </c>
      <c r="AP5" s="56">
        <v>42</v>
      </c>
      <c r="AQ5" s="56">
        <v>43</v>
      </c>
      <c r="AR5" s="56">
        <v>44</v>
      </c>
      <c r="AS5" s="56">
        <v>45</v>
      </c>
      <c r="AT5" s="56">
        <v>46</v>
      </c>
      <c r="AU5" s="56">
        <v>47</v>
      </c>
      <c r="AV5" s="56">
        <v>48</v>
      </c>
      <c r="AW5" s="56">
        <v>49</v>
      </c>
      <c r="AX5" s="56">
        <v>50</v>
      </c>
    </row>
    <row r="6" spans="1:50" s="16" customFormat="1" ht="32.25" customHeight="1" x14ac:dyDescent="0.35">
      <c r="A6" s="37">
        <v>1</v>
      </c>
      <c r="B6" s="91" t="s">
        <v>56</v>
      </c>
      <c r="C6" s="25">
        <v>1</v>
      </c>
      <c r="D6" s="25"/>
      <c r="E6" s="25"/>
      <c r="F6" s="25"/>
      <c r="G6" s="25"/>
      <c r="H6" s="25" t="s">
        <v>121</v>
      </c>
      <c r="I6" s="25"/>
      <c r="J6" s="25"/>
      <c r="K6" s="25"/>
      <c r="L6" s="25"/>
      <c r="M6" s="25"/>
      <c r="N6" s="25" t="s">
        <v>121</v>
      </c>
      <c r="O6" s="25"/>
      <c r="P6" s="25"/>
      <c r="Q6" s="25"/>
      <c r="R6" s="25"/>
      <c r="S6" s="25"/>
      <c r="T6" s="25" t="s">
        <v>121</v>
      </c>
      <c r="U6" s="25">
        <v>1</v>
      </c>
      <c r="V6" s="25">
        <v>1</v>
      </c>
      <c r="W6" s="25">
        <v>18</v>
      </c>
      <c r="X6" s="25">
        <v>112</v>
      </c>
      <c r="Y6" s="25">
        <v>130</v>
      </c>
      <c r="Z6" s="25">
        <v>130</v>
      </c>
      <c r="AA6" s="25"/>
      <c r="AB6" s="25"/>
      <c r="AC6" s="25"/>
      <c r="AD6" s="25"/>
      <c r="AE6" s="25"/>
      <c r="AF6" s="25" t="s">
        <v>121</v>
      </c>
      <c r="AG6" s="25"/>
      <c r="AH6" s="25"/>
      <c r="AI6" s="25"/>
      <c r="AJ6" s="25"/>
      <c r="AK6" s="25"/>
      <c r="AL6" s="25" t="s">
        <v>121</v>
      </c>
      <c r="AM6" s="25"/>
      <c r="AN6" s="25"/>
      <c r="AO6" s="25"/>
      <c r="AP6" s="25"/>
      <c r="AQ6" s="25"/>
      <c r="AR6" s="25" t="s">
        <v>121</v>
      </c>
      <c r="AS6" s="25">
        <v>2</v>
      </c>
      <c r="AT6" s="25">
        <v>1</v>
      </c>
      <c r="AU6" s="25">
        <v>18</v>
      </c>
      <c r="AV6" s="25">
        <v>112</v>
      </c>
      <c r="AW6" s="25">
        <v>130</v>
      </c>
      <c r="AX6" s="25">
        <v>130</v>
      </c>
    </row>
    <row r="7" spans="1:50" s="16" customFormat="1" ht="32.25" customHeight="1" x14ac:dyDescent="0.35">
      <c r="A7" s="37">
        <v>2</v>
      </c>
      <c r="B7" s="79" t="s">
        <v>13</v>
      </c>
      <c r="C7" s="25">
        <v>158</v>
      </c>
      <c r="D7" s="25">
        <v>145</v>
      </c>
      <c r="E7" s="25">
        <v>46321</v>
      </c>
      <c r="F7" s="25">
        <v>17307</v>
      </c>
      <c r="G7" s="25">
        <v>63628</v>
      </c>
      <c r="H7" s="25">
        <v>439</v>
      </c>
      <c r="I7" s="25">
        <v>5</v>
      </c>
      <c r="J7" s="25">
        <v>4</v>
      </c>
      <c r="K7" s="25">
        <v>139</v>
      </c>
      <c r="L7" s="25">
        <v>90</v>
      </c>
      <c r="M7" s="25">
        <v>229</v>
      </c>
      <c r="N7" s="25">
        <v>57</v>
      </c>
      <c r="O7" s="25">
        <v>283</v>
      </c>
      <c r="P7" s="25">
        <v>273</v>
      </c>
      <c r="Q7" s="25">
        <v>2100</v>
      </c>
      <c r="R7" s="25">
        <v>28033</v>
      </c>
      <c r="S7" s="25">
        <v>30133</v>
      </c>
      <c r="T7" s="25">
        <v>110</v>
      </c>
      <c r="U7" s="25">
        <v>14</v>
      </c>
      <c r="V7" s="25">
        <v>13</v>
      </c>
      <c r="W7" s="25">
        <v>108</v>
      </c>
      <c r="X7" s="25">
        <v>408</v>
      </c>
      <c r="Y7" s="25">
        <v>516</v>
      </c>
      <c r="Z7" s="25">
        <v>40</v>
      </c>
      <c r="AA7" s="25">
        <v>4</v>
      </c>
      <c r="AB7" s="25">
        <v>4</v>
      </c>
      <c r="AC7" s="25">
        <v>592</v>
      </c>
      <c r="AD7" s="25">
        <v>128</v>
      </c>
      <c r="AE7" s="25">
        <v>720</v>
      </c>
      <c r="AF7" s="25">
        <v>180</v>
      </c>
      <c r="AG7" s="25">
        <v>5</v>
      </c>
      <c r="AH7" s="25">
        <v>3</v>
      </c>
      <c r="AI7" s="25">
        <v>99</v>
      </c>
      <c r="AJ7" s="25">
        <v>100</v>
      </c>
      <c r="AK7" s="25">
        <v>199</v>
      </c>
      <c r="AL7" s="25">
        <v>66</v>
      </c>
      <c r="AM7" s="25"/>
      <c r="AN7" s="25"/>
      <c r="AO7" s="25"/>
      <c r="AP7" s="25"/>
      <c r="AQ7" s="25"/>
      <c r="AR7" s="25" t="s">
        <v>121</v>
      </c>
      <c r="AS7" s="25">
        <v>469</v>
      </c>
      <c r="AT7" s="25">
        <v>442</v>
      </c>
      <c r="AU7" s="25">
        <v>49359</v>
      </c>
      <c r="AV7" s="25">
        <v>46066</v>
      </c>
      <c r="AW7" s="25">
        <v>95425</v>
      </c>
      <c r="AX7" s="25">
        <v>216</v>
      </c>
    </row>
    <row r="8" spans="1:50" s="16" customFormat="1" ht="32.25" customHeight="1" x14ac:dyDescent="0.35">
      <c r="A8" s="37">
        <v>3</v>
      </c>
      <c r="B8" s="79" t="s">
        <v>14</v>
      </c>
      <c r="C8" s="25">
        <v>6</v>
      </c>
      <c r="D8" s="25">
        <v>6</v>
      </c>
      <c r="E8" s="25">
        <v>355</v>
      </c>
      <c r="F8" s="25">
        <v>74</v>
      </c>
      <c r="G8" s="25">
        <v>429</v>
      </c>
      <c r="H8" s="25">
        <v>72</v>
      </c>
      <c r="I8" s="25"/>
      <c r="J8" s="25"/>
      <c r="K8" s="25"/>
      <c r="L8" s="25"/>
      <c r="M8" s="25"/>
      <c r="N8" s="25" t="s">
        <v>121</v>
      </c>
      <c r="O8" s="25">
        <v>8</v>
      </c>
      <c r="P8" s="25">
        <v>7</v>
      </c>
      <c r="Q8" s="25"/>
      <c r="R8" s="25">
        <v>288</v>
      </c>
      <c r="S8" s="25">
        <v>288</v>
      </c>
      <c r="T8" s="25">
        <v>41</v>
      </c>
      <c r="U8" s="25">
        <v>9</v>
      </c>
      <c r="V8" s="25">
        <v>9</v>
      </c>
      <c r="W8" s="25">
        <v>171</v>
      </c>
      <c r="X8" s="25">
        <v>224</v>
      </c>
      <c r="Y8" s="25">
        <v>395</v>
      </c>
      <c r="Z8" s="25">
        <v>44</v>
      </c>
      <c r="AA8" s="25"/>
      <c r="AB8" s="25"/>
      <c r="AC8" s="25"/>
      <c r="AD8" s="25"/>
      <c r="AE8" s="25"/>
      <c r="AF8" s="25" t="s">
        <v>121</v>
      </c>
      <c r="AG8" s="25"/>
      <c r="AH8" s="25"/>
      <c r="AI8" s="25"/>
      <c r="AJ8" s="25"/>
      <c r="AK8" s="25"/>
      <c r="AL8" s="25" t="s">
        <v>121</v>
      </c>
      <c r="AM8" s="25"/>
      <c r="AN8" s="25"/>
      <c r="AO8" s="25"/>
      <c r="AP8" s="25"/>
      <c r="AQ8" s="25"/>
      <c r="AR8" s="25" t="s">
        <v>121</v>
      </c>
      <c r="AS8" s="25">
        <v>23</v>
      </c>
      <c r="AT8" s="25">
        <v>22</v>
      </c>
      <c r="AU8" s="25">
        <v>526</v>
      </c>
      <c r="AV8" s="25">
        <v>586</v>
      </c>
      <c r="AW8" s="25">
        <v>1112</v>
      </c>
      <c r="AX8" s="25">
        <v>51</v>
      </c>
    </row>
    <row r="9" spans="1:50" s="16" customFormat="1" ht="32.25" customHeight="1" x14ac:dyDescent="0.35">
      <c r="A9" s="37">
        <v>4</v>
      </c>
      <c r="B9" s="79" t="s">
        <v>15</v>
      </c>
      <c r="C9" s="25">
        <v>28</v>
      </c>
      <c r="D9" s="25">
        <v>28</v>
      </c>
      <c r="E9" s="25">
        <v>8618</v>
      </c>
      <c r="F9" s="25">
        <v>3012</v>
      </c>
      <c r="G9" s="25">
        <v>11630</v>
      </c>
      <c r="H9" s="25">
        <v>415</v>
      </c>
      <c r="I9" s="25">
        <v>1</v>
      </c>
      <c r="J9" s="25">
        <v>1</v>
      </c>
      <c r="K9" s="25">
        <v>60</v>
      </c>
      <c r="L9" s="25">
        <v>21</v>
      </c>
      <c r="M9" s="25">
        <v>81</v>
      </c>
      <c r="N9" s="25">
        <v>81</v>
      </c>
      <c r="O9" s="25">
        <v>88</v>
      </c>
      <c r="P9" s="25">
        <v>77</v>
      </c>
      <c r="Q9" s="25">
        <v>389</v>
      </c>
      <c r="R9" s="25">
        <v>7196</v>
      </c>
      <c r="S9" s="25">
        <v>7585</v>
      </c>
      <c r="T9" s="25">
        <v>99</v>
      </c>
      <c r="U9" s="25">
        <v>47</v>
      </c>
      <c r="V9" s="25">
        <v>47</v>
      </c>
      <c r="W9" s="25">
        <v>2989</v>
      </c>
      <c r="X9" s="25">
        <v>3912</v>
      </c>
      <c r="Y9" s="25">
        <v>6901</v>
      </c>
      <c r="Z9" s="25">
        <v>147</v>
      </c>
      <c r="AA9" s="25">
        <v>2</v>
      </c>
      <c r="AB9" s="25">
        <v>1</v>
      </c>
      <c r="AC9" s="25">
        <v>39</v>
      </c>
      <c r="AD9" s="25">
        <v>106</v>
      </c>
      <c r="AE9" s="25">
        <v>145</v>
      </c>
      <c r="AF9" s="25">
        <v>145</v>
      </c>
      <c r="AG9" s="25">
        <v>1</v>
      </c>
      <c r="AH9" s="25">
        <v>1</v>
      </c>
      <c r="AI9" s="25">
        <v>114</v>
      </c>
      <c r="AJ9" s="25">
        <v>32</v>
      </c>
      <c r="AK9" s="25">
        <v>146</v>
      </c>
      <c r="AL9" s="25">
        <v>146</v>
      </c>
      <c r="AM9" s="25">
        <v>1</v>
      </c>
      <c r="AN9" s="25">
        <v>1</v>
      </c>
      <c r="AO9" s="25">
        <v>201</v>
      </c>
      <c r="AP9" s="25">
        <v>108</v>
      </c>
      <c r="AQ9" s="25">
        <v>309</v>
      </c>
      <c r="AR9" s="25">
        <v>309</v>
      </c>
      <c r="AS9" s="25">
        <v>168</v>
      </c>
      <c r="AT9" s="25">
        <v>156</v>
      </c>
      <c r="AU9" s="25">
        <v>12410</v>
      </c>
      <c r="AV9" s="25">
        <v>14387</v>
      </c>
      <c r="AW9" s="25">
        <v>26797</v>
      </c>
      <c r="AX9" s="25">
        <v>172</v>
      </c>
    </row>
    <row r="10" spans="1:50" s="16" customFormat="1" ht="32.25" customHeight="1" x14ac:dyDescent="0.35">
      <c r="A10" s="37">
        <v>5</v>
      </c>
      <c r="B10" s="79" t="s">
        <v>16</v>
      </c>
      <c r="C10" s="25">
        <v>72</v>
      </c>
      <c r="D10" s="25">
        <v>72</v>
      </c>
      <c r="E10" s="25">
        <v>35681</v>
      </c>
      <c r="F10" s="25">
        <v>9288</v>
      </c>
      <c r="G10" s="25">
        <v>44969</v>
      </c>
      <c r="H10" s="25">
        <v>625</v>
      </c>
      <c r="I10" s="25">
        <v>4</v>
      </c>
      <c r="J10" s="25">
        <v>4</v>
      </c>
      <c r="K10" s="25">
        <v>892</v>
      </c>
      <c r="L10" s="25">
        <v>366</v>
      </c>
      <c r="M10" s="25">
        <v>1258</v>
      </c>
      <c r="N10" s="25">
        <v>314</v>
      </c>
      <c r="O10" s="25">
        <v>206</v>
      </c>
      <c r="P10" s="25">
        <v>186</v>
      </c>
      <c r="Q10" s="25">
        <v>7175</v>
      </c>
      <c r="R10" s="25">
        <v>21922</v>
      </c>
      <c r="S10" s="25">
        <v>29097</v>
      </c>
      <c r="T10" s="25">
        <v>156</v>
      </c>
      <c r="U10" s="25">
        <v>69</v>
      </c>
      <c r="V10" s="25">
        <v>69</v>
      </c>
      <c r="W10" s="25">
        <v>9298</v>
      </c>
      <c r="X10" s="25">
        <v>6217</v>
      </c>
      <c r="Y10" s="25">
        <v>15515</v>
      </c>
      <c r="Z10" s="25">
        <v>225</v>
      </c>
      <c r="AA10" s="25">
        <v>1</v>
      </c>
      <c r="AB10" s="25">
        <v>1</v>
      </c>
      <c r="AC10" s="25"/>
      <c r="AD10" s="25"/>
      <c r="AE10" s="25"/>
      <c r="AF10" s="25"/>
      <c r="AG10" s="25">
        <v>8</v>
      </c>
      <c r="AH10" s="25">
        <v>7</v>
      </c>
      <c r="AI10" s="25">
        <v>700</v>
      </c>
      <c r="AJ10" s="25">
        <v>360</v>
      </c>
      <c r="AK10" s="25">
        <v>1060</v>
      </c>
      <c r="AL10" s="25">
        <v>151</v>
      </c>
      <c r="AM10" s="25">
        <v>2</v>
      </c>
      <c r="AN10" s="25">
        <v>2</v>
      </c>
      <c r="AO10" s="25">
        <v>569</v>
      </c>
      <c r="AP10" s="25">
        <v>92</v>
      </c>
      <c r="AQ10" s="25">
        <v>661</v>
      </c>
      <c r="AR10" s="25">
        <v>330</v>
      </c>
      <c r="AS10" s="25">
        <v>362</v>
      </c>
      <c r="AT10" s="25">
        <v>341</v>
      </c>
      <c r="AU10" s="25">
        <v>54315</v>
      </c>
      <c r="AV10" s="25">
        <v>38245</v>
      </c>
      <c r="AW10" s="25">
        <v>92560</v>
      </c>
      <c r="AX10" s="25">
        <v>271</v>
      </c>
    </row>
    <row r="11" spans="1:50" s="16" customFormat="1" ht="32.25" customHeight="1" x14ac:dyDescent="0.35">
      <c r="A11" s="37">
        <v>6</v>
      </c>
      <c r="B11" s="79" t="s">
        <v>17</v>
      </c>
      <c r="C11" s="27">
        <v>3</v>
      </c>
      <c r="D11" s="25">
        <v>3</v>
      </c>
      <c r="E11" s="25">
        <v>981</v>
      </c>
      <c r="F11" s="25">
        <v>552</v>
      </c>
      <c r="G11" s="25">
        <v>1533</v>
      </c>
      <c r="H11" s="25">
        <v>511</v>
      </c>
      <c r="I11" s="25">
        <v>1</v>
      </c>
      <c r="J11" s="25">
        <v>1</v>
      </c>
      <c r="K11" s="25">
        <v>38</v>
      </c>
      <c r="L11" s="25">
        <v>30</v>
      </c>
      <c r="M11" s="25">
        <v>68</v>
      </c>
      <c r="N11" s="25">
        <v>68</v>
      </c>
      <c r="O11" s="25"/>
      <c r="P11" s="25"/>
      <c r="Q11" s="25"/>
      <c r="R11" s="25"/>
      <c r="S11" s="25"/>
      <c r="T11" s="25" t="s">
        <v>121</v>
      </c>
      <c r="U11" s="25">
        <v>3</v>
      </c>
      <c r="V11" s="25">
        <v>3</v>
      </c>
      <c r="W11" s="25">
        <v>28</v>
      </c>
      <c r="X11" s="25">
        <v>422</v>
      </c>
      <c r="Y11" s="25">
        <v>450</v>
      </c>
      <c r="Z11" s="25">
        <v>150</v>
      </c>
      <c r="AA11" s="25">
        <v>1</v>
      </c>
      <c r="AB11" s="25">
        <v>1</v>
      </c>
      <c r="AC11" s="25">
        <v>434</v>
      </c>
      <c r="AD11" s="25">
        <v>70</v>
      </c>
      <c r="AE11" s="25">
        <v>504</v>
      </c>
      <c r="AF11" s="25">
        <v>504</v>
      </c>
      <c r="AG11" s="25"/>
      <c r="AH11" s="25"/>
      <c r="AI11" s="25"/>
      <c r="AJ11" s="25"/>
      <c r="AK11" s="25"/>
      <c r="AL11" s="25" t="s">
        <v>121</v>
      </c>
      <c r="AM11" s="25">
        <v>2</v>
      </c>
      <c r="AN11" s="25">
        <v>2</v>
      </c>
      <c r="AO11" s="25">
        <v>639</v>
      </c>
      <c r="AP11" s="25">
        <v>206</v>
      </c>
      <c r="AQ11" s="25">
        <v>845</v>
      </c>
      <c r="AR11" s="25">
        <v>422</v>
      </c>
      <c r="AS11" s="25">
        <v>10</v>
      </c>
      <c r="AT11" s="25">
        <v>10</v>
      </c>
      <c r="AU11" s="25">
        <v>2120</v>
      </c>
      <c r="AV11" s="25">
        <v>1280</v>
      </c>
      <c r="AW11" s="25">
        <v>3400</v>
      </c>
      <c r="AX11" s="25">
        <v>340</v>
      </c>
    </row>
    <row r="12" spans="1:50" s="16" customFormat="1" ht="32.25" customHeight="1" x14ac:dyDescent="0.35">
      <c r="A12" s="37">
        <v>7</v>
      </c>
      <c r="B12" s="79" t="s">
        <v>18</v>
      </c>
      <c r="C12" s="25">
        <v>1</v>
      </c>
      <c r="D12" s="25">
        <v>1</v>
      </c>
      <c r="E12" s="25">
        <v>19</v>
      </c>
      <c r="F12" s="25">
        <v>16</v>
      </c>
      <c r="G12" s="25">
        <v>35</v>
      </c>
      <c r="H12" s="25">
        <v>35</v>
      </c>
      <c r="I12" s="25">
        <v>3</v>
      </c>
      <c r="J12" s="25">
        <v>3</v>
      </c>
      <c r="K12" s="25">
        <v>498</v>
      </c>
      <c r="L12" s="25">
        <v>220</v>
      </c>
      <c r="M12" s="25">
        <v>718</v>
      </c>
      <c r="N12" s="25">
        <v>239</v>
      </c>
      <c r="O12" s="25">
        <v>32</v>
      </c>
      <c r="P12" s="25">
        <v>32</v>
      </c>
      <c r="Q12" s="25">
        <v>167</v>
      </c>
      <c r="R12" s="25">
        <v>2915</v>
      </c>
      <c r="S12" s="25">
        <v>3082</v>
      </c>
      <c r="T12" s="25">
        <v>96</v>
      </c>
      <c r="U12" s="25">
        <v>31</v>
      </c>
      <c r="V12" s="25">
        <v>31</v>
      </c>
      <c r="W12" s="25">
        <v>2356</v>
      </c>
      <c r="X12" s="25">
        <v>2936</v>
      </c>
      <c r="Y12" s="25">
        <v>5292</v>
      </c>
      <c r="Z12" s="25">
        <v>171</v>
      </c>
      <c r="AA12" s="25">
        <v>1</v>
      </c>
      <c r="AB12" s="25">
        <v>1</v>
      </c>
      <c r="AC12" s="25">
        <v>147</v>
      </c>
      <c r="AD12" s="25">
        <v>59</v>
      </c>
      <c r="AE12" s="25">
        <v>206</v>
      </c>
      <c r="AF12" s="25">
        <v>206</v>
      </c>
      <c r="AG12" s="25"/>
      <c r="AH12" s="25"/>
      <c r="AI12" s="25"/>
      <c r="AJ12" s="25"/>
      <c r="AK12" s="25"/>
      <c r="AL12" s="25" t="s">
        <v>121</v>
      </c>
      <c r="AM12" s="25">
        <v>1</v>
      </c>
      <c r="AN12" s="25">
        <v>1</v>
      </c>
      <c r="AO12" s="25">
        <v>69</v>
      </c>
      <c r="AP12" s="25">
        <v>73</v>
      </c>
      <c r="AQ12" s="25">
        <v>142</v>
      </c>
      <c r="AR12" s="25">
        <v>142</v>
      </c>
      <c r="AS12" s="25">
        <v>69</v>
      </c>
      <c r="AT12" s="25">
        <v>69</v>
      </c>
      <c r="AU12" s="25">
        <v>3256</v>
      </c>
      <c r="AV12" s="25">
        <v>6219</v>
      </c>
      <c r="AW12" s="25">
        <v>9475</v>
      </c>
      <c r="AX12" s="25">
        <v>137</v>
      </c>
    </row>
    <row r="13" spans="1:50" s="16" customFormat="1" ht="32.25" customHeight="1" x14ac:dyDescent="0.35">
      <c r="A13" s="37">
        <v>8</v>
      </c>
      <c r="B13" s="79" t="s">
        <v>19</v>
      </c>
      <c r="C13" s="25">
        <v>11</v>
      </c>
      <c r="D13" s="25">
        <v>10</v>
      </c>
      <c r="E13" s="25">
        <v>4111</v>
      </c>
      <c r="F13" s="25">
        <v>531</v>
      </c>
      <c r="G13" s="25">
        <v>4642</v>
      </c>
      <c r="H13" s="25">
        <v>464</v>
      </c>
      <c r="I13" s="25">
        <v>23</v>
      </c>
      <c r="J13" s="25">
        <v>16</v>
      </c>
      <c r="K13" s="25">
        <v>3572</v>
      </c>
      <c r="L13" s="25">
        <v>2936</v>
      </c>
      <c r="M13" s="25">
        <v>6508</v>
      </c>
      <c r="N13" s="25">
        <v>407</v>
      </c>
      <c r="O13" s="25">
        <v>22</v>
      </c>
      <c r="P13" s="25">
        <v>18</v>
      </c>
      <c r="Q13" s="25">
        <v>63</v>
      </c>
      <c r="R13" s="25">
        <v>1747</v>
      </c>
      <c r="S13" s="25">
        <v>1810</v>
      </c>
      <c r="T13" s="25">
        <v>101</v>
      </c>
      <c r="U13" s="25">
        <v>45</v>
      </c>
      <c r="V13" s="25">
        <v>34</v>
      </c>
      <c r="W13" s="25">
        <v>865</v>
      </c>
      <c r="X13" s="25">
        <v>5248</v>
      </c>
      <c r="Y13" s="25">
        <v>6113</v>
      </c>
      <c r="Z13" s="25">
        <v>180</v>
      </c>
      <c r="AA13" s="25">
        <v>5</v>
      </c>
      <c r="AB13" s="25">
        <v>1</v>
      </c>
      <c r="AC13" s="25">
        <v>6</v>
      </c>
      <c r="AD13" s="25">
        <v>8</v>
      </c>
      <c r="AE13" s="25">
        <v>14</v>
      </c>
      <c r="AF13" s="25">
        <v>14</v>
      </c>
      <c r="AG13" s="25">
        <v>1</v>
      </c>
      <c r="AH13" s="25">
        <v>1</v>
      </c>
      <c r="AI13" s="25">
        <v>385</v>
      </c>
      <c r="AJ13" s="25">
        <v>674</v>
      </c>
      <c r="AK13" s="25">
        <v>1059</v>
      </c>
      <c r="AL13" s="25">
        <v>1059</v>
      </c>
      <c r="AM13" s="25">
        <v>3</v>
      </c>
      <c r="AN13" s="25">
        <v>1</v>
      </c>
      <c r="AO13" s="25">
        <v>816</v>
      </c>
      <c r="AP13" s="25">
        <v>342</v>
      </c>
      <c r="AQ13" s="25">
        <v>1158</v>
      </c>
      <c r="AR13" s="25">
        <v>1158</v>
      </c>
      <c r="AS13" s="25">
        <v>110</v>
      </c>
      <c r="AT13" s="25">
        <v>81</v>
      </c>
      <c r="AU13" s="25">
        <v>9818</v>
      </c>
      <c r="AV13" s="25">
        <v>11486</v>
      </c>
      <c r="AW13" s="25">
        <v>21304</v>
      </c>
      <c r="AX13" s="25">
        <v>263</v>
      </c>
    </row>
    <row r="14" spans="1:50" s="16" customFormat="1" ht="32.25" customHeight="1" x14ac:dyDescent="0.35">
      <c r="A14" s="37">
        <v>9</v>
      </c>
      <c r="B14" s="79" t="s">
        <v>20</v>
      </c>
      <c r="C14" s="25">
        <v>9</v>
      </c>
      <c r="D14" s="25">
        <v>9</v>
      </c>
      <c r="E14" s="25">
        <v>3249</v>
      </c>
      <c r="F14" s="25">
        <v>302</v>
      </c>
      <c r="G14" s="25">
        <v>3551</v>
      </c>
      <c r="H14" s="25">
        <v>395</v>
      </c>
      <c r="I14" s="25">
        <v>1</v>
      </c>
      <c r="J14" s="25">
        <v>1</v>
      </c>
      <c r="K14" s="25">
        <v>958</v>
      </c>
      <c r="L14" s="25">
        <v>506</v>
      </c>
      <c r="M14" s="25">
        <v>1464</v>
      </c>
      <c r="N14" s="25">
        <v>1464</v>
      </c>
      <c r="O14" s="25">
        <v>1</v>
      </c>
      <c r="P14" s="25">
        <v>1</v>
      </c>
      <c r="Q14" s="25">
        <v>32</v>
      </c>
      <c r="R14" s="25">
        <v>276</v>
      </c>
      <c r="S14" s="25">
        <v>308</v>
      </c>
      <c r="T14" s="25">
        <v>308</v>
      </c>
      <c r="U14" s="25">
        <v>3</v>
      </c>
      <c r="V14" s="25">
        <v>3</v>
      </c>
      <c r="W14" s="25">
        <v>24</v>
      </c>
      <c r="X14" s="25">
        <v>289</v>
      </c>
      <c r="Y14" s="25">
        <v>313</v>
      </c>
      <c r="Z14" s="25">
        <v>104</v>
      </c>
      <c r="AA14" s="25">
        <v>1</v>
      </c>
      <c r="AB14" s="25">
        <v>1</v>
      </c>
      <c r="AC14" s="25">
        <v>32</v>
      </c>
      <c r="AD14" s="25">
        <v>17</v>
      </c>
      <c r="AE14" s="25">
        <v>49</v>
      </c>
      <c r="AF14" s="25">
        <v>49</v>
      </c>
      <c r="AG14" s="25">
        <v>2</v>
      </c>
      <c r="AH14" s="25">
        <v>2</v>
      </c>
      <c r="AI14" s="25">
        <v>60</v>
      </c>
      <c r="AJ14" s="25">
        <v>149</v>
      </c>
      <c r="AK14" s="25">
        <v>209</v>
      </c>
      <c r="AL14" s="25">
        <v>104</v>
      </c>
      <c r="AM14" s="25">
        <v>1</v>
      </c>
      <c r="AN14" s="25">
        <v>1</v>
      </c>
      <c r="AO14" s="25">
        <v>931</v>
      </c>
      <c r="AP14" s="25">
        <v>197</v>
      </c>
      <c r="AQ14" s="25">
        <v>1128</v>
      </c>
      <c r="AR14" s="25">
        <v>1128</v>
      </c>
      <c r="AS14" s="25">
        <v>18</v>
      </c>
      <c r="AT14" s="25">
        <v>18</v>
      </c>
      <c r="AU14" s="25">
        <v>5286</v>
      </c>
      <c r="AV14" s="25">
        <v>1736</v>
      </c>
      <c r="AW14" s="25">
        <v>7022</v>
      </c>
      <c r="AX14" s="25">
        <v>390</v>
      </c>
    </row>
    <row r="15" spans="1:50" s="16" customFormat="1" ht="32.25" customHeight="1" x14ac:dyDescent="0.35">
      <c r="A15" s="37">
        <v>10</v>
      </c>
      <c r="B15" s="79" t="s">
        <v>21</v>
      </c>
      <c r="C15" s="25">
        <v>9</v>
      </c>
      <c r="D15" s="25">
        <v>9</v>
      </c>
      <c r="E15" s="25">
        <v>1389</v>
      </c>
      <c r="F15" s="25">
        <v>89</v>
      </c>
      <c r="G15" s="25">
        <v>1478</v>
      </c>
      <c r="H15" s="25">
        <v>164</v>
      </c>
      <c r="I15" s="25">
        <v>8</v>
      </c>
      <c r="J15" s="25">
        <v>8</v>
      </c>
      <c r="K15" s="25">
        <v>1266</v>
      </c>
      <c r="L15" s="25">
        <v>851</v>
      </c>
      <c r="M15" s="25">
        <v>2117</v>
      </c>
      <c r="N15" s="25">
        <v>265</v>
      </c>
      <c r="O15" s="25">
        <v>250</v>
      </c>
      <c r="P15" s="25">
        <v>250</v>
      </c>
      <c r="Q15" s="25">
        <v>5357</v>
      </c>
      <c r="R15" s="25">
        <v>25405</v>
      </c>
      <c r="S15" s="25">
        <v>30762</v>
      </c>
      <c r="T15" s="25">
        <v>123</v>
      </c>
      <c r="U15" s="25">
        <v>110</v>
      </c>
      <c r="V15" s="25">
        <v>110</v>
      </c>
      <c r="W15" s="25">
        <v>1809</v>
      </c>
      <c r="X15" s="25">
        <v>5514</v>
      </c>
      <c r="Y15" s="25">
        <v>7323</v>
      </c>
      <c r="Z15" s="25">
        <v>67</v>
      </c>
      <c r="AA15" s="25">
        <v>6</v>
      </c>
      <c r="AB15" s="25">
        <v>6</v>
      </c>
      <c r="AC15" s="25">
        <v>494</v>
      </c>
      <c r="AD15" s="25">
        <v>732</v>
      </c>
      <c r="AE15" s="25">
        <v>1226</v>
      </c>
      <c r="AF15" s="25">
        <v>204</v>
      </c>
      <c r="AG15" s="25">
        <v>1</v>
      </c>
      <c r="AH15" s="25">
        <v>1</v>
      </c>
      <c r="AI15" s="25">
        <v>6</v>
      </c>
      <c r="AJ15" s="25">
        <v>72</v>
      </c>
      <c r="AK15" s="25">
        <v>78</v>
      </c>
      <c r="AL15" s="25">
        <v>78</v>
      </c>
      <c r="AM15" s="25">
        <v>1</v>
      </c>
      <c r="AN15" s="25">
        <v>1</v>
      </c>
      <c r="AO15" s="25">
        <v>417</v>
      </c>
      <c r="AP15" s="25">
        <v>167</v>
      </c>
      <c r="AQ15" s="25">
        <v>584</v>
      </c>
      <c r="AR15" s="25">
        <v>584</v>
      </c>
      <c r="AS15" s="25">
        <v>385</v>
      </c>
      <c r="AT15" s="25">
        <v>385</v>
      </c>
      <c r="AU15" s="25">
        <v>10738</v>
      </c>
      <c r="AV15" s="25">
        <v>32830</v>
      </c>
      <c r="AW15" s="25">
        <v>43568</v>
      </c>
      <c r="AX15" s="25">
        <v>113</v>
      </c>
    </row>
    <row r="16" spans="1:50" s="16" customFormat="1" ht="32.25" customHeight="1" x14ac:dyDescent="0.35">
      <c r="A16" s="37">
        <v>11</v>
      </c>
      <c r="B16" s="79" t="s">
        <v>22</v>
      </c>
      <c r="C16" s="25">
        <v>130</v>
      </c>
      <c r="D16" s="25">
        <v>130</v>
      </c>
      <c r="E16" s="25">
        <v>43711</v>
      </c>
      <c r="F16" s="25">
        <v>9392</v>
      </c>
      <c r="G16" s="25">
        <v>53103</v>
      </c>
      <c r="H16" s="25">
        <v>408</v>
      </c>
      <c r="I16" s="25">
        <v>7</v>
      </c>
      <c r="J16" s="25">
        <v>7</v>
      </c>
      <c r="K16" s="25">
        <v>2002</v>
      </c>
      <c r="L16" s="25">
        <v>1039</v>
      </c>
      <c r="M16" s="25">
        <v>3041</v>
      </c>
      <c r="N16" s="25">
        <v>434</v>
      </c>
      <c r="O16" s="25">
        <v>73</v>
      </c>
      <c r="P16" s="25">
        <v>73</v>
      </c>
      <c r="Q16" s="25">
        <v>1548</v>
      </c>
      <c r="R16" s="25">
        <v>7359</v>
      </c>
      <c r="S16" s="25">
        <v>8907</v>
      </c>
      <c r="T16" s="25">
        <v>122</v>
      </c>
      <c r="U16" s="25">
        <v>70</v>
      </c>
      <c r="V16" s="25">
        <v>70</v>
      </c>
      <c r="W16" s="25">
        <v>2118</v>
      </c>
      <c r="X16" s="25">
        <v>2180</v>
      </c>
      <c r="Y16" s="25">
        <v>4298</v>
      </c>
      <c r="Z16" s="25">
        <v>61</v>
      </c>
      <c r="AA16" s="25">
        <v>3</v>
      </c>
      <c r="AB16" s="25">
        <v>3</v>
      </c>
      <c r="AC16" s="25">
        <v>104</v>
      </c>
      <c r="AD16" s="25">
        <v>87</v>
      </c>
      <c r="AE16" s="25">
        <v>191</v>
      </c>
      <c r="AF16" s="25">
        <v>64</v>
      </c>
      <c r="AG16" s="25">
        <v>1</v>
      </c>
      <c r="AH16" s="25">
        <v>1</v>
      </c>
      <c r="AI16" s="25">
        <v>120</v>
      </c>
      <c r="AJ16" s="25"/>
      <c r="AK16" s="25">
        <v>120</v>
      </c>
      <c r="AL16" s="25">
        <v>120</v>
      </c>
      <c r="AM16" s="25">
        <v>7</v>
      </c>
      <c r="AN16" s="25">
        <v>7</v>
      </c>
      <c r="AO16" s="25">
        <v>988</v>
      </c>
      <c r="AP16" s="25">
        <v>182</v>
      </c>
      <c r="AQ16" s="25">
        <v>1170</v>
      </c>
      <c r="AR16" s="25">
        <v>167</v>
      </c>
      <c r="AS16" s="25">
        <v>291</v>
      </c>
      <c r="AT16" s="25">
        <v>291</v>
      </c>
      <c r="AU16" s="25">
        <v>50591</v>
      </c>
      <c r="AV16" s="25">
        <v>20239</v>
      </c>
      <c r="AW16" s="25">
        <v>70830</v>
      </c>
      <c r="AX16" s="25">
        <v>243</v>
      </c>
    </row>
    <row r="17" spans="1:50" s="16" customFormat="1" ht="32.25" customHeight="1" x14ac:dyDescent="0.35">
      <c r="A17" s="37">
        <v>12</v>
      </c>
      <c r="B17" s="79" t="s">
        <v>23</v>
      </c>
      <c r="C17" s="25">
        <v>39</v>
      </c>
      <c r="D17" s="25">
        <v>27</v>
      </c>
      <c r="E17" s="25">
        <v>5826</v>
      </c>
      <c r="F17" s="25">
        <v>2039</v>
      </c>
      <c r="G17" s="25">
        <v>7865</v>
      </c>
      <c r="H17" s="25">
        <v>291</v>
      </c>
      <c r="I17" s="25"/>
      <c r="J17" s="25"/>
      <c r="K17" s="25"/>
      <c r="L17" s="25"/>
      <c r="M17" s="25"/>
      <c r="N17" s="25" t="s">
        <v>121</v>
      </c>
      <c r="O17" s="25">
        <v>26</v>
      </c>
      <c r="P17" s="25">
        <v>25</v>
      </c>
      <c r="Q17" s="25"/>
      <c r="R17" s="25">
        <v>3020</v>
      </c>
      <c r="S17" s="25">
        <v>3020</v>
      </c>
      <c r="T17" s="25">
        <v>121</v>
      </c>
      <c r="U17" s="25">
        <v>19</v>
      </c>
      <c r="V17" s="25">
        <v>17</v>
      </c>
      <c r="W17" s="25">
        <v>659</v>
      </c>
      <c r="X17" s="25">
        <v>1035</v>
      </c>
      <c r="Y17" s="25">
        <v>1694</v>
      </c>
      <c r="Z17" s="25">
        <v>100</v>
      </c>
      <c r="AA17" s="25">
        <v>1</v>
      </c>
      <c r="AB17" s="25">
        <v>1</v>
      </c>
      <c r="AC17" s="25">
        <v>146</v>
      </c>
      <c r="AD17" s="25">
        <v>2</v>
      </c>
      <c r="AE17" s="25">
        <v>148</v>
      </c>
      <c r="AF17" s="25">
        <v>148</v>
      </c>
      <c r="AG17" s="25">
        <v>1</v>
      </c>
      <c r="AH17" s="25">
        <v>1</v>
      </c>
      <c r="AI17" s="25">
        <v>28</v>
      </c>
      <c r="AJ17" s="25">
        <v>4</v>
      </c>
      <c r="AK17" s="25">
        <v>32</v>
      </c>
      <c r="AL17" s="25">
        <v>32</v>
      </c>
      <c r="AM17" s="25">
        <v>3</v>
      </c>
      <c r="AN17" s="25">
        <v>3</v>
      </c>
      <c r="AO17" s="25">
        <v>1108</v>
      </c>
      <c r="AP17" s="25">
        <v>120</v>
      </c>
      <c r="AQ17" s="25">
        <v>1228</v>
      </c>
      <c r="AR17" s="25">
        <v>409</v>
      </c>
      <c r="AS17" s="25">
        <v>89</v>
      </c>
      <c r="AT17" s="25">
        <v>74</v>
      </c>
      <c r="AU17" s="25">
        <v>7767</v>
      </c>
      <c r="AV17" s="25">
        <v>6220</v>
      </c>
      <c r="AW17" s="25">
        <v>13987</v>
      </c>
      <c r="AX17" s="25">
        <v>189</v>
      </c>
    </row>
    <row r="18" spans="1:50" s="16" customFormat="1" ht="32.25" customHeight="1" x14ac:dyDescent="0.35">
      <c r="A18" s="37">
        <v>13</v>
      </c>
      <c r="B18" s="92" t="s">
        <v>24</v>
      </c>
      <c r="C18" s="25">
        <v>69</v>
      </c>
      <c r="D18" s="25">
        <v>52</v>
      </c>
      <c r="E18" s="25">
        <v>6205</v>
      </c>
      <c r="F18" s="25">
        <v>3768</v>
      </c>
      <c r="G18" s="25">
        <v>9973</v>
      </c>
      <c r="H18" s="25">
        <v>192</v>
      </c>
      <c r="I18" s="25"/>
      <c r="J18" s="25"/>
      <c r="K18" s="25"/>
      <c r="L18" s="25"/>
      <c r="M18" s="25"/>
      <c r="N18" s="25" t="s">
        <v>121</v>
      </c>
      <c r="O18" s="25">
        <v>35</v>
      </c>
      <c r="P18" s="25">
        <v>30</v>
      </c>
      <c r="Q18" s="25">
        <v>1353</v>
      </c>
      <c r="R18" s="25">
        <v>2851</v>
      </c>
      <c r="S18" s="25">
        <v>4204</v>
      </c>
      <c r="T18" s="25">
        <v>140</v>
      </c>
      <c r="U18" s="25">
        <v>20</v>
      </c>
      <c r="V18" s="25">
        <v>20</v>
      </c>
      <c r="W18" s="25">
        <v>132</v>
      </c>
      <c r="X18" s="25">
        <v>106</v>
      </c>
      <c r="Y18" s="25">
        <v>238</v>
      </c>
      <c r="Z18" s="25">
        <v>12</v>
      </c>
      <c r="AA18" s="25">
        <v>1</v>
      </c>
      <c r="AB18" s="25">
        <v>1</v>
      </c>
      <c r="AC18" s="25">
        <v>60</v>
      </c>
      <c r="AD18" s="25">
        <v>284</v>
      </c>
      <c r="AE18" s="25">
        <v>344</v>
      </c>
      <c r="AF18" s="25">
        <v>344</v>
      </c>
      <c r="AG18" s="25">
        <v>57</v>
      </c>
      <c r="AH18" s="25">
        <v>47</v>
      </c>
      <c r="AI18" s="25">
        <v>2355</v>
      </c>
      <c r="AJ18" s="25">
        <v>4106</v>
      </c>
      <c r="AK18" s="25">
        <v>6461</v>
      </c>
      <c r="AL18" s="25">
        <v>137</v>
      </c>
      <c r="AM18" s="25">
        <v>2</v>
      </c>
      <c r="AN18" s="25">
        <v>2</v>
      </c>
      <c r="AO18" s="25">
        <v>282</v>
      </c>
      <c r="AP18" s="25">
        <v>46</v>
      </c>
      <c r="AQ18" s="25">
        <v>328</v>
      </c>
      <c r="AR18" s="25">
        <v>164</v>
      </c>
      <c r="AS18" s="25">
        <v>184</v>
      </c>
      <c r="AT18" s="25">
        <v>152</v>
      </c>
      <c r="AU18" s="25">
        <v>10387</v>
      </c>
      <c r="AV18" s="25">
        <v>11161</v>
      </c>
      <c r="AW18" s="25">
        <v>21548</v>
      </c>
      <c r="AX18" s="25">
        <v>142</v>
      </c>
    </row>
    <row r="19" spans="1:50" s="16" customFormat="1" ht="32.25" customHeight="1" x14ac:dyDescent="0.35">
      <c r="A19" s="37">
        <v>14</v>
      </c>
      <c r="B19" s="79" t="s">
        <v>25</v>
      </c>
      <c r="C19" s="25">
        <v>109</v>
      </c>
      <c r="D19" s="25">
        <v>106</v>
      </c>
      <c r="E19" s="25">
        <v>6761</v>
      </c>
      <c r="F19" s="25">
        <v>2411</v>
      </c>
      <c r="G19" s="25">
        <v>9172</v>
      </c>
      <c r="H19" s="25">
        <v>87</v>
      </c>
      <c r="I19" s="25">
        <v>4</v>
      </c>
      <c r="J19" s="25">
        <v>4</v>
      </c>
      <c r="K19" s="25">
        <v>1449</v>
      </c>
      <c r="L19" s="25">
        <v>876</v>
      </c>
      <c r="M19" s="25">
        <v>2325</v>
      </c>
      <c r="N19" s="25">
        <v>581</v>
      </c>
      <c r="O19" s="25">
        <v>130</v>
      </c>
      <c r="P19" s="25">
        <v>122</v>
      </c>
      <c r="Q19" s="25">
        <v>1937</v>
      </c>
      <c r="R19" s="25">
        <v>14158</v>
      </c>
      <c r="S19" s="25">
        <v>16095</v>
      </c>
      <c r="T19" s="25">
        <v>132</v>
      </c>
      <c r="U19" s="25">
        <v>23</v>
      </c>
      <c r="V19" s="25">
        <v>17</v>
      </c>
      <c r="W19" s="25">
        <v>473</v>
      </c>
      <c r="X19" s="25">
        <v>1034</v>
      </c>
      <c r="Y19" s="25">
        <v>1507</v>
      </c>
      <c r="Z19" s="25">
        <v>89</v>
      </c>
      <c r="AA19" s="25">
        <v>3</v>
      </c>
      <c r="AB19" s="25">
        <v>2</v>
      </c>
      <c r="AC19" s="25">
        <v>169</v>
      </c>
      <c r="AD19" s="25">
        <v>26</v>
      </c>
      <c r="AE19" s="25">
        <v>195</v>
      </c>
      <c r="AF19" s="25">
        <v>98</v>
      </c>
      <c r="AG19" s="25">
        <v>42</v>
      </c>
      <c r="AH19" s="25">
        <v>39</v>
      </c>
      <c r="AI19" s="25">
        <v>2725</v>
      </c>
      <c r="AJ19" s="25">
        <v>1072</v>
      </c>
      <c r="AK19" s="25">
        <v>3797</v>
      </c>
      <c r="AL19" s="25">
        <v>97</v>
      </c>
      <c r="AM19" s="25">
        <v>2</v>
      </c>
      <c r="AN19" s="25">
        <v>1</v>
      </c>
      <c r="AO19" s="25">
        <v>182</v>
      </c>
      <c r="AP19" s="25">
        <v>64</v>
      </c>
      <c r="AQ19" s="25">
        <v>246</v>
      </c>
      <c r="AR19" s="25">
        <v>246</v>
      </c>
      <c r="AS19" s="25">
        <v>313</v>
      </c>
      <c r="AT19" s="25">
        <v>291</v>
      </c>
      <c r="AU19" s="25">
        <v>13696</v>
      </c>
      <c r="AV19" s="25">
        <v>19641</v>
      </c>
      <c r="AW19" s="25">
        <v>33337</v>
      </c>
      <c r="AX19" s="25">
        <v>115</v>
      </c>
    </row>
    <row r="20" spans="1:50" s="16" customFormat="1" ht="32.25" customHeight="1" x14ac:dyDescent="0.35">
      <c r="A20" s="37">
        <v>15</v>
      </c>
      <c r="B20" s="79" t="s">
        <v>26</v>
      </c>
      <c r="C20" s="25">
        <v>460</v>
      </c>
      <c r="D20" s="25">
        <v>356</v>
      </c>
      <c r="E20" s="25">
        <v>110782</v>
      </c>
      <c r="F20" s="25">
        <v>29424</v>
      </c>
      <c r="G20" s="25">
        <v>140206</v>
      </c>
      <c r="H20" s="25">
        <v>394</v>
      </c>
      <c r="I20" s="25">
        <v>30</v>
      </c>
      <c r="J20" s="25">
        <v>19</v>
      </c>
      <c r="K20" s="25">
        <v>3018</v>
      </c>
      <c r="L20" s="25">
        <v>2066</v>
      </c>
      <c r="M20" s="25">
        <v>5084</v>
      </c>
      <c r="N20" s="25">
        <v>268</v>
      </c>
      <c r="O20" s="25">
        <v>656</v>
      </c>
      <c r="P20" s="25">
        <v>538</v>
      </c>
      <c r="Q20" s="25">
        <v>29281</v>
      </c>
      <c r="R20" s="25">
        <v>49175</v>
      </c>
      <c r="S20" s="25">
        <v>78456</v>
      </c>
      <c r="T20" s="25">
        <v>146</v>
      </c>
      <c r="U20" s="25">
        <v>228</v>
      </c>
      <c r="V20" s="25">
        <v>146</v>
      </c>
      <c r="W20" s="25">
        <v>1200</v>
      </c>
      <c r="X20" s="25">
        <v>3552</v>
      </c>
      <c r="Y20" s="25">
        <v>4752</v>
      </c>
      <c r="Z20" s="25">
        <v>33</v>
      </c>
      <c r="AA20" s="25">
        <v>3</v>
      </c>
      <c r="AB20" s="25">
        <v>2</v>
      </c>
      <c r="AC20" s="25">
        <v>258</v>
      </c>
      <c r="AD20" s="25">
        <v>40</v>
      </c>
      <c r="AE20" s="25">
        <v>298</v>
      </c>
      <c r="AF20" s="25">
        <v>149</v>
      </c>
      <c r="AG20" s="25">
        <v>446</v>
      </c>
      <c r="AH20" s="25">
        <v>153</v>
      </c>
      <c r="AI20" s="25">
        <v>8112</v>
      </c>
      <c r="AJ20" s="25">
        <v>11656</v>
      </c>
      <c r="AK20" s="25">
        <v>19768</v>
      </c>
      <c r="AL20" s="25">
        <v>129</v>
      </c>
      <c r="AM20" s="25">
        <v>2</v>
      </c>
      <c r="AN20" s="25">
        <v>1</v>
      </c>
      <c r="AO20" s="25">
        <v>30</v>
      </c>
      <c r="AP20" s="25">
        <v>8</v>
      </c>
      <c r="AQ20" s="25">
        <v>38</v>
      </c>
      <c r="AR20" s="25">
        <v>38</v>
      </c>
      <c r="AS20" s="25">
        <v>1825</v>
      </c>
      <c r="AT20" s="25">
        <v>1215</v>
      </c>
      <c r="AU20" s="25">
        <v>152681</v>
      </c>
      <c r="AV20" s="25">
        <v>95921</v>
      </c>
      <c r="AW20" s="25">
        <v>248602</v>
      </c>
      <c r="AX20" s="25">
        <v>205</v>
      </c>
    </row>
    <row r="21" spans="1:50" s="16" customFormat="1" ht="32.25" customHeight="1" x14ac:dyDescent="0.35">
      <c r="A21" s="37">
        <v>16</v>
      </c>
      <c r="B21" s="79" t="s">
        <v>27</v>
      </c>
      <c r="C21" s="25">
        <v>98</v>
      </c>
      <c r="D21" s="25">
        <v>92</v>
      </c>
      <c r="E21" s="25">
        <v>44083</v>
      </c>
      <c r="F21" s="25">
        <v>11982</v>
      </c>
      <c r="G21" s="25">
        <v>56065</v>
      </c>
      <c r="H21" s="25">
        <v>609</v>
      </c>
      <c r="I21" s="25">
        <v>12</v>
      </c>
      <c r="J21" s="25">
        <v>4</v>
      </c>
      <c r="K21" s="25">
        <v>504</v>
      </c>
      <c r="L21" s="25">
        <v>432</v>
      </c>
      <c r="M21" s="25">
        <v>936</v>
      </c>
      <c r="N21" s="25">
        <v>234</v>
      </c>
      <c r="O21" s="25">
        <v>142</v>
      </c>
      <c r="P21" s="25">
        <v>126</v>
      </c>
      <c r="Q21" s="25">
        <v>684</v>
      </c>
      <c r="R21" s="25">
        <v>9289</v>
      </c>
      <c r="S21" s="25">
        <v>9973</v>
      </c>
      <c r="T21" s="25">
        <v>79</v>
      </c>
      <c r="U21" s="25">
        <v>166</v>
      </c>
      <c r="V21" s="25">
        <v>151</v>
      </c>
      <c r="W21" s="25">
        <v>2045</v>
      </c>
      <c r="X21" s="25">
        <v>9994</v>
      </c>
      <c r="Y21" s="25">
        <v>12039</v>
      </c>
      <c r="Z21" s="25">
        <v>80</v>
      </c>
      <c r="AA21" s="25">
        <v>32</v>
      </c>
      <c r="AB21" s="25">
        <v>30</v>
      </c>
      <c r="AC21" s="25">
        <v>1952</v>
      </c>
      <c r="AD21" s="25">
        <v>2858</v>
      </c>
      <c r="AE21" s="25">
        <v>4810</v>
      </c>
      <c r="AF21" s="25">
        <v>160</v>
      </c>
      <c r="AG21" s="25">
        <v>36</v>
      </c>
      <c r="AH21" s="25">
        <v>26</v>
      </c>
      <c r="AI21" s="25">
        <v>219</v>
      </c>
      <c r="AJ21" s="25">
        <v>902</v>
      </c>
      <c r="AK21" s="25">
        <v>1121</v>
      </c>
      <c r="AL21" s="25">
        <v>43</v>
      </c>
      <c r="AM21" s="25">
        <v>15</v>
      </c>
      <c r="AN21" s="25">
        <v>14</v>
      </c>
      <c r="AO21" s="25">
        <v>1088</v>
      </c>
      <c r="AP21" s="25">
        <v>184</v>
      </c>
      <c r="AQ21" s="25">
        <v>1272</v>
      </c>
      <c r="AR21" s="25">
        <v>91</v>
      </c>
      <c r="AS21" s="25">
        <v>501</v>
      </c>
      <c r="AT21" s="25">
        <v>443</v>
      </c>
      <c r="AU21" s="25">
        <v>50575</v>
      </c>
      <c r="AV21" s="25">
        <v>35641</v>
      </c>
      <c r="AW21" s="25">
        <v>86216</v>
      </c>
      <c r="AX21" s="25">
        <v>195</v>
      </c>
    </row>
    <row r="22" spans="1:50" s="16" customFormat="1" ht="32.25" customHeight="1" x14ac:dyDescent="0.35">
      <c r="A22" s="37">
        <v>17</v>
      </c>
      <c r="B22" s="79" t="s">
        <v>28</v>
      </c>
      <c r="C22" s="25">
        <v>4</v>
      </c>
      <c r="D22" s="25">
        <v>4</v>
      </c>
      <c r="E22" s="25">
        <v>375</v>
      </c>
      <c r="F22" s="25">
        <v>462</v>
      </c>
      <c r="G22" s="25">
        <v>837</v>
      </c>
      <c r="H22" s="25">
        <v>209</v>
      </c>
      <c r="I22" s="25"/>
      <c r="J22" s="25"/>
      <c r="K22" s="25"/>
      <c r="L22" s="25"/>
      <c r="M22" s="25"/>
      <c r="N22" s="25" t="s">
        <v>121</v>
      </c>
      <c r="O22" s="25"/>
      <c r="P22" s="25"/>
      <c r="Q22" s="25"/>
      <c r="R22" s="25"/>
      <c r="S22" s="25"/>
      <c r="T22" s="25" t="s">
        <v>121</v>
      </c>
      <c r="U22" s="25">
        <v>2</v>
      </c>
      <c r="V22" s="25">
        <v>2</v>
      </c>
      <c r="W22" s="25"/>
      <c r="X22" s="25"/>
      <c r="Y22" s="25"/>
      <c r="Z22" s="25"/>
      <c r="AA22" s="25"/>
      <c r="AB22" s="25"/>
      <c r="AC22" s="25"/>
      <c r="AD22" s="25"/>
      <c r="AE22" s="25"/>
      <c r="AF22" s="25" t="s">
        <v>121</v>
      </c>
      <c r="AG22" s="25">
        <v>2</v>
      </c>
      <c r="AH22" s="25">
        <v>2</v>
      </c>
      <c r="AI22" s="25">
        <v>10</v>
      </c>
      <c r="AJ22" s="25">
        <v>141</v>
      </c>
      <c r="AK22" s="25">
        <v>151</v>
      </c>
      <c r="AL22" s="25">
        <v>76</v>
      </c>
      <c r="AM22" s="25"/>
      <c r="AN22" s="25"/>
      <c r="AO22" s="25"/>
      <c r="AP22" s="25"/>
      <c r="AQ22" s="25"/>
      <c r="AR22" s="25" t="s">
        <v>121</v>
      </c>
      <c r="AS22" s="25">
        <v>8</v>
      </c>
      <c r="AT22" s="25">
        <v>8</v>
      </c>
      <c r="AU22" s="25">
        <v>385</v>
      </c>
      <c r="AV22" s="25">
        <v>603</v>
      </c>
      <c r="AW22" s="25">
        <v>988</v>
      </c>
      <c r="AX22" s="25">
        <v>124</v>
      </c>
    </row>
    <row r="23" spans="1:50" s="16" customFormat="1" ht="32.25" customHeight="1" x14ac:dyDescent="0.35">
      <c r="A23" s="37">
        <v>18</v>
      </c>
      <c r="B23" s="79" t="s">
        <v>29</v>
      </c>
      <c r="C23" s="25">
        <v>63</v>
      </c>
      <c r="D23" s="25">
        <v>59</v>
      </c>
      <c r="E23" s="25">
        <v>17777</v>
      </c>
      <c r="F23" s="25">
        <v>4303</v>
      </c>
      <c r="G23" s="25">
        <v>22080</v>
      </c>
      <c r="H23" s="25">
        <v>374</v>
      </c>
      <c r="I23" s="25">
        <v>77</v>
      </c>
      <c r="J23" s="25">
        <v>33</v>
      </c>
      <c r="K23" s="25">
        <v>3645</v>
      </c>
      <c r="L23" s="25">
        <v>2449</v>
      </c>
      <c r="M23" s="25">
        <v>6094</v>
      </c>
      <c r="N23" s="25">
        <v>185</v>
      </c>
      <c r="O23" s="25">
        <v>137</v>
      </c>
      <c r="P23" s="25">
        <v>97</v>
      </c>
      <c r="Q23" s="25">
        <v>4388</v>
      </c>
      <c r="R23" s="25">
        <v>8489</v>
      </c>
      <c r="S23" s="25">
        <v>12877</v>
      </c>
      <c r="T23" s="25">
        <v>133</v>
      </c>
      <c r="U23" s="25">
        <v>147</v>
      </c>
      <c r="V23" s="25">
        <v>126</v>
      </c>
      <c r="W23" s="25">
        <v>8630</v>
      </c>
      <c r="X23" s="25">
        <v>11718</v>
      </c>
      <c r="Y23" s="25">
        <v>20348</v>
      </c>
      <c r="Z23" s="25">
        <v>161</v>
      </c>
      <c r="AA23" s="25">
        <v>2</v>
      </c>
      <c r="AB23" s="25">
        <v>2</v>
      </c>
      <c r="AC23" s="25">
        <v>432</v>
      </c>
      <c r="AD23" s="25">
        <v>216</v>
      </c>
      <c r="AE23" s="25">
        <v>648</v>
      </c>
      <c r="AF23" s="25">
        <v>324</v>
      </c>
      <c r="AG23" s="25">
        <v>8</v>
      </c>
      <c r="AH23" s="25">
        <v>4</v>
      </c>
      <c r="AI23" s="25">
        <v>325</v>
      </c>
      <c r="AJ23" s="25">
        <v>266</v>
      </c>
      <c r="AK23" s="25">
        <v>591</v>
      </c>
      <c r="AL23" s="25">
        <v>148</v>
      </c>
      <c r="AM23" s="25">
        <v>6</v>
      </c>
      <c r="AN23" s="25">
        <v>5</v>
      </c>
      <c r="AO23" s="25">
        <v>443</v>
      </c>
      <c r="AP23" s="25">
        <v>144</v>
      </c>
      <c r="AQ23" s="25">
        <v>587</v>
      </c>
      <c r="AR23" s="25">
        <v>117</v>
      </c>
      <c r="AS23" s="25">
        <v>440</v>
      </c>
      <c r="AT23" s="25">
        <v>326</v>
      </c>
      <c r="AU23" s="25">
        <v>35640</v>
      </c>
      <c r="AV23" s="25">
        <v>27585</v>
      </c>
      <c r="AW23" s="25">
        <v>63225</v>
      </c>
      <c r="AX23" s="25">
        <v>194</v>
      </c>
    </row>
    <row r="24" spans="1:50" s="16" customFormat="1" ht="32.25" customHeight="1" x14ac:dyDescent="0.35">
      <c r="A24" s="37">
        <v>19</v>
      </c>
      <c r="B24" s="79" t="s">
        <v>30</v>
      </c>
      <c r="C24" s="25">
        <v>787</v>
      </c>
      <c r="D24" s="25">
        <v>683</v>
      </c>
      <c r="E24" s="25">
        <v>178474</v>
      </c>
      <c r="F24" s="25">
        <v>91804</v>
      </c>
      <c r="G24" s="25">
        <v>270278</v>
      </c>
      <c r="H24" s="25">
        <v>396</v>
      </c>
      <c r="I24" s="25">
        <v>69</v>
      </c>
      <c r="J24" s="25">
        <v>54</v>
      </c>
      <c r="K24" s="25">
        <v>8549</v>
      </c>
      <c r="L24" s="25">
        <v>5723</v>
      </c>
      <c r="M24" s="25">
        <v>14272</v>
      </c>
      <c r="N24" s="25">
        <v>264</v>
      </c>
      <c r="O24" s="25">
        <v>801</v>
      </c>
      <c r="P24" s="25">
        <v>724</v>
      </c>
      <c r="Q24" s="25">
        <v>7659</v>
      </c>
      <c r="R24" s="25">
        <v>57429</v>
      </c>
      <c r="S24" s="25">
        <v>65088</v>
      </c>
      <c r="T24" s="25">
        <v>90</v>
      </c>
      <c r="U24" s="25">
        <v>749</v>
      </c>
      <c r="V24" s="25">
        <v>542</v>
      </c>
      <c r="W24" s="25">
        <v>7706</v>
      </c>
      <c r="X24" s="25">
        <v>23490</v>
      </c>
      <c r="Y24" s="25">
        <v>31196</v>
      </c>
      <c r="Z24" s="25">
        <v>58</v>
      </c>
      <c r="AA24" s="25">
        <v>14</v>
      </c>
      <c r="AB24" s="25">
        <v>14</v>
      </c>
      <c r="AC24" s="25">
        <v>6709</v>
      </c>
      <c r="AD24" s="25">
        <v>3423</v>
      </c>
      <c r="AE24" s="25">
        <v>10132</v>
      </c>
      <c r="AF24" s="25">
        <v>724</v>
      </c>
      <c r="AG24" s="25">
        <v>2</v>
      </c>
      <c r="AH24" s="25">
        <v>2</v>
      </c>
      <c r="AI24" s="25">
        <v>467</v>
      </c>
      <c r="AJ24" s="25">
        <v>634</v>
      </c>
      <c r="AK24" s="25">
        <v>1101</v>
      </c>
      <c r="AL24" s="25">
        <v>550</v>
      </c>
      <c r="AM24" s="25">
        <v>4</v>
      </c>
      <c r="AN24" s="25">
        <v>2</v>
      </c>
      <c r="AO24" s="25">
        <v>1046</v>
      </c>
      <c r="AP24" s="25">
        <v>440</v>
      </c>
      <c r="AQ24" s="25">
        <v>1486</v>
      </c>
      <c r="AR24" s="25">
        <v>743</v>
      </c>
      <c r="AS24" s="25">
        <v>2426</v>
      </c>
      <c r="AT24" s="25">
        <v>2021</v>
      </c>
      <c r="AU24" s="25">
        <v>210610</v>
      </c>
      <c r="AV24" s="25">
        <v>182943</v>
      </c>
      <c r="AW24" s="25">
        <v>393553</v>
      </c>
      <c r="AX24" s="25">
        <v>195</v>
      </c>
    </row>
    <row r="25" spans="1:50" s="16" customFormat="1" ht="32.25" customHeight="1" x14ac:dyDescent="0.35">
      <c r="A25" s="37">
        <v>20</v>
      </c>
      <c r="B25" s="79" t="s">
        <v>31</v>
      </c>
      <c r="C25" s="25">
        <v>5</v>
      </c>
      <c r="D25" s="25">
        <v>5</v>
      </c>
      <c r="E25" s="25">
        <v>433</v>
      </c>
      <c r="F25" s="25">
        <v>326</v>
      </c>
      <c r="G25" s="25">
        <v>759</v>
      </c>
      <c r="H25" s="25">
        <v>152</v>
      </c>
      <c r="I25" s="25"/>
      <c r="J25" s="25"/>
      <c r="K25" s="25"/>
      <c r="L25" s="25"/>
      <c r="M25" s="25"/>
      <c r="N25" s="25" t="s">
        <v>121</v>
      </c>
      <c r="O25" s="25">
        <v>18</v>
      </c>
      <c r="P25" s="25">
        <v>16</v>
      </c>
      <c r="Q25" s="25">
        <v>133</v>
      </c>
      <c r="R25" s="25">
        <v>1226</v>
      </c>
      <c r="S25" s="25">
        <v>1359</v>
      </c>
      <c r="T25" s="25">
        <v>85</v>
      </c>
      <c r="U25" s="25">
        <v>11</v>
      </c>
      <c r="V25" s="25">
        <v>11</v>
      </c>
      <c r="W25" s="25">
        <v>353</v>
      </c>
      <c r="X25" s="25">
        <v>819</v>
      </c>
      <c r="Y25" s="25">
        <v>1172</v>
      </c>
      <c r="Z25" s="25">
        <v>107</v>
      </c>
      <c r="AA25" s="25">
        <v>1</v>
      </c>
      <c r="AB25" s="25">
        <v>1</v>
      </c>
      <c r="AC25" s="25">
        <v>34</v>
      </c>
      <c r="AD25" s="25">
        <v>21</v>
      </c>
      <c r="AE25" s="25">
        <v>55</v>
      </c>
      <c r="AF25" s="25">
        <v>55</v>
      </c>
      <c r="AG25" s="25">
        <v>3</v>
      </c>
      <c r="AH25" s="25">
        <v>3</v>
      </c>
      <c r="AI25" s="25">
        <v>126</v>
      </c>
      <c r="AJ25" s="25">
        <v>132</v>
      </c>
      <c r="AK25" s="25">
        <v>258</v>
      </c>
      <c r="AL25" s="25">
        <v>86</v>
      </c>
      <c r="AM25" s="25"/>
      <c r="AN25" s="25"/>
      <c r="AO25" s="25"/>
      <c r="AP25" s="25"/>
      <c r="AQ25" s="25"/>
      <c r="AR25" s="25" t="s">
        <v>121</v>
      </c>
      <c r="AS25" s="25">
        <v>38</v>
      </c>
      <c r="AT25" s="25">
        <v>36</v>
      </c>
      <c r="AU25" s="25">
        <v>1079</v>
      </c>
      <c r="AV25" s="25">
        <v>2524</v>
      </c>
      <c r="AW25" s="25">
        <v>3603</v>
      </c>
      <c r="AX25" s="25">
        <v>100</v>
      </c>
    </row>
    <row r="26" spans="1:50" s="16" customFormat="1" ht="32.25" customHeight="1" x14ac:dyDescent="0.35">
      <c r="A26" s="37">
        <v>21</v>
      </c>
      <c r="B26" s="79" t="s">
        <v>32</v>
      </c>
      <c r="C26" s="25">
        <v>3</v>
      </c>
      <c r="D26" s="25">
        <v>3</v>
      </c>
      <c r="E26" s="25">
        <v>553</v>
      </c>
      <c r="F26" s="25">
        <v>330</v>
      </c>
      <c r="G26" s="25">
        <v>883</v>
      </c>
      <c r="H26" s="25">
        <v>294</v>
      </c>
      <c r="I26" s="25"/>
      <c r="J26" s="25"/>
      <c r="K26" s="25"/>
      <c r="L26" s="25"/>
      <c r="M26" s="25"/>
      <c r="N26" s="25" t="s">
        <v>121</v>
      </c>
      <c r="O26" s="25">
        <v>11</v>
      </c>
      <c r="P26" s="25">
        <v>10</v>
      </c>
      <c r="Q26" s="25">
        <v>19</v>
      </c>
      <c r="R26" s="25">
        <v>1013</v>
      </c>
      <c r="S26" s="25">
        <v>1032</v>
      </c>
      <c r="T26" s="25">
        <v>103</v>
      </c>
      <c r="U26" s="25">
        <v>9</v>
      </c>
      <c r="V26" s="25">
        <v>8</v>
      </c>
      <c r="W26" s="25">
        <v>374</v>
      </c>
      <c r="X26" s="25">
        <v>696</v>
      </c>
      <c r="Y26" s="25">
        <v>1070</v>
      </c>
      <c r="Z26" s="25">
        <v>134</v>
      </c>
      <c r="AA26" s="25">
        <v>1</v>
      </c>
      <c r="AB26" s="25">
        <v>1</v>
      </c>
      <c r="AC26" s="25">
        <v>259</v>
      </c>
      <c r="AD26" s="25">
        <v>349</v>
      </c>
      <c r="AE26" s="25">
        <v>608</v>
      </c>
      <c r="AF26" s="25">
        <v>608</v>
      </c>
      <c r="AG26" s="25"/>
      <c r="AH26" s="25"/>
      <c r="AI26" s="25"/>
      <c r="AJ26" s="25"/>
      <c r="AK26" s="25"/>
      <c r="AL26" s="25" t="s">
        <v>121</v>
      </c>
      <c r="AM26" s="25">
        <v>1</v>
      </c>
      <c r="AN26" s="25">
        <v>1</v>
      </c>
      <c r="AO26" s="25">
        <v>141</v>
      </c>
      <c r="AP26" s="25">
        <v>106</v>
      </c>
      <c r="AQ26" s="25">
        <v>247</v>
      </c>
      <c r="AR26" s="25">
        <v>247</v>
      </c>
      <c r="AS26" s="25">
        <v>25</v>
      </c>
      <c r="AT26" s="25">
        <v>23</v>
      </c>
      <c r="AU26" s="25">
        <v>1346</v>
      </c>
      <c r="AV26" s="25">
        <v>2494</v>
      </c>
      <c r="AW26" s="25">
        <v>3840</v>
      </c>
      <c r="AX26" s="25">
        <v>167</v>
      </c>
    </row>
    <row r="27" spans="1:50" s="16" customFormat="1" ht="32.25" customHeight="1" x14ac:dyDescent="0.35">
      <c r="A27" s="37">
        <v>22</v>
      </c>
      <c r="B27" s="79" t="s">
        <v>33</v>
      </c>
      <c r="C27" s="25">
        <v>45</v>
      </c>
      <c r="D27" s="25">
        <v>45</v>
      </c>
      <c r="E27" s="25">
        <v>3490</v>
      </c>
      <c r="F27" s="25">
        <v>3441</v>
      </c>
      <c r="G27" s="25">
        <v>6931</v>
      </c>
      <c r="H27" s="25">
        <v>154</v>
      </c>
      <c r="I27" s="25"/>
      <c r="J27" s="25"/>
      <c r="K27" s="25"/>
      <c r="L27" s="25"/>
      <c r="M27" s="25"/>
      <c r="N27" s="25" t="s">
        <v>121</v>
      </c>
      <c r="O27" s="25">
        <v>11</v>
      </c>
      <c r="P27" s="25">
        <v>11</v>
      </c>
      <c r="Q27" s="25">
        <v>131</v>
      </c>
      <c r="R27" s="25">
        <v>608</v>
      </c>
      <c r="S27" s="25">
        <v>739</v>
      </c>
      <c r="T27" s="25">
        <v>67</v>
      </c>
      <c r="U27" s="25">
        <v>9</v>
      </c>
      <c r="V27" s="25">
        <v>9</v>
      </c>
      <c r="W27" s="25">
        <v>566</v>
      </c>
      <c r="X27" s="25">
        <v>828</v>
      </c>
      <c r="Y27" s="25">
        <v>1394</v>
      </c>
      <c r="Z27" s="25">
        <v>155</v>
      </c>
      <c r="AA27" s="25"/>
      <c r="AB27" s="25"/>
      <c r="AC27" s="25"/>
      <c r="AD27" s="25"/>
      <c r="AE27" s="25"/>
      <c r="AF27" s="25" t="s">
        <v>121</v>
      </c>
      <c r="AG27" s="25">
        <v>7</v>
      </c>
      <c r="AH27" s="25">
        <v>7</v>
      </c>
      <c r="AI27" s="25">
        <v>302</v>
      </c>
      <c r="AJ27" s="25">
        <v>788</v>
      </c>
      <c r="AK27" s="25">
        <v>1090</v>
      </c>
      <c r="AL27" s="25">
        <v>156</v>
      </c>
      <c r="AM27" s="25"/>
      <c r="AN27" s="25"/>
      <c r="AO27" s="25"/>
      <c r="AP27" s="25"/>
      <c r="AQ27" s="25"/>
      <c r="AR27" s="25" t="s">
        <v>121</v>
      </c>
      <c r="AS27" s="25">
        <v>72</v>
      </c>
      <c r="AT27" s="25">
        <v>72</v>
      </c>
      <c r="AU27" s="25">
        <v>4489</v>
      </c>
      <c r="AV27" s="25">
        <v>5665</v>
      </c>
      <c r="AW27" s="25">
        <v>10154</v>
      </c>
      <c r="AX27" s="25">
        <v>141</v>
      </c>
    </row>
    <row r="28" spans="1:50" s="16" customFormat="1" ht="32.25" customHeight="1" x14ac:dyDescent="0.35">
      <c r="A28" s="37">
        <v>23</v>
      </c>
      <c r="B28" s="79" t="s">
        <v>34</v>
      </c>
      <c r="C28" s="25">
        <v>9</v>
      </c>
      <c r="D28" s="25">
        <v>9</v>
      </c>
      <c r="E28" s="25">
        <v>525</v>
      </c>
      <c r="F28" s="25">
        <v>259</v>
      </c>
      <c r="G28" s="25">
        <v>784</v>
      </c>
      <c r="H28" s="25">
        <v>87</v>
      </c>
      <c r="I28" s="25"/>
      <c r="J28" s="25"/>
      <c r="K28" s="25"/>
      <c r="L28" s="25"/>
      <c r="M28" s="25"/>
      <c r="N28" s="25" t="s">
        <v>121</v>
      </c>
      <c r="O28" s="25">
        <v>5</v>
      </c>
      <c r="P28" s="25">
        <v>5</v>
      </c>
      <c r="Q28" s="25">
        <v>38</v>
      </c>
      <c r="R28" s="25">
        <v>539</v>
      </c>
      <c r="S28" s="25">
        <v>577</v>
      </c>
      <c r="T28" s="25">
        <v>115</v>
      </c>
      <c r="U28" s="25">
        <v>9</v>
      </c>
      <c r="V28" s="25">
        <v>9</v>
      </c>
      <c r="W28" s="25">
        <v>232</v>
      </c>
      <c r="X28" s="25">
        <v>614</v>
      </c>
      <c r="Y28" s="25">
        <v>846</v>
      </c>
      <c r="Z28" s="25">
        <v>94</v>
      </c>
      <c r="AA28" s="25"/>
      <c r="AB28" s="25"/>
      <c r="AC28" s="25"/>
      <c r="AD28" s="25"/>
      <c r="AE28" s="25"/>
      <c r="AF28" s="25" t="s">
        <v>121</v>
      </c>
      <c r="AG28" s="25">
        <v>1</v>
      </c>
      <c r="AH28" s="25">
        <v>1</v>
      </c>
      <c r="AI28" s="25">
        <v>8</v>
      </c>
      <c r="AJ28" s="25">
        <v>15</v>
      </c>
      <c r="AK28" s="25">
        <v>23</v>
      </c>
      <c r="AL28" s="25">
        <v>23</v>
      </c>
      <c r="AM28" s="25">
        <v>1</v>
      </c>
      <c r="AN28" s="25">
        <v>1</v>
      </c>
      <c r="AO28" s="25">
        <v>19</v>
      </c>
      <c r="AP28" s="25">
        <v>16</v>
      </c>
      <c r="AQ28" s="25">
        <v>35</v>
      </c>
      <c r="AR28" s="25">
        <v>35</v>
      </c>
      <c r="AS28" s="25">
        <v>25</v>
      </c>
      <c r="AT28" s="25">
        <v>25</v>
      </c>
      <c r="AU28" s="25">
        <v>822</v>
      </c>
      <c r="AV28" s="25">
        <v>1443</v>
      </c>
      <c r="AW28" s="25">
        <v>2265</v>
      </c>
      <c r="AX28" s="25">
        <v>91</v>
      </c>
    </row>
    <row r="29" spans="1:50" s="16" customFormat="1" ht="32.25" customHeight="1" x14ac:dyDescent="0.35">
      <c r="A29" s="37">
        <v>24</v>
      </c>
      <c r="B29" s="79" t="s">
        <v>35</v>
      </c>
      <c r="C29" s="25">
        <v>135</v>
      </c>
      <c r="D29" s="25">
        <v>135</v>
      </c>
      <c r="E29" s="25">
        <v>95515</v>
      </c>
      <c r="F29" s="25">
        <v>19967</v>
      </c>
      <c r="G29" s="25">
        <v>115482</v>
      </c>
      <c r="H29" s="25">
        <v>855</v>
      </c>
      <c r="I29" s="25">
        <v>16</v>
      </c>
      <c r="J29" s="25">
        <v>16</v>
      </c>
      <c r="K29" s="25">
        <v>1931</v>
      </c>
      <c r="L29" s="25">
        <v>1365</v>
      </c>
      <c r="M29" s="25">
        <v>3296</v>
      </c>
      <c r="N29" s="25">
        <v>206</v>
      </c>
      <c r="O29" s="25">
        <v>283</v>
      </c>
      <c r="P29" s="25">
        <v>283</v>
      </c>
      <c r="Q29" s="25">
        <v>3336</v>
      </c>
      <c r="R29" s="25">
        <v>24602</v>
      </c>
      <c r="S29" s="25">
        <v>27938</v>
      </c>
      <c r="T29" s="25">
        <v>99</v>
      </c>
      <c r="U29" s="25">
        <v>69</v>
      </c>
      <c r="V29" s="25">
        <v>69</v>
      </c>
      <c r="W29" s="25">
        <v>2424</v>
      </c>
      <c r="X29" s="25">
        <v>4170</v>
      </c>
      <c r="Y29" s="25">
        <v>6594</v>
      </c>
      <c r="Z29" s="25">
        <v>96</v>
      </c>
      <c r="AA29" s="25">
        <v>3</v>
      </c>
      <c r="AB29" s="25">
        <v>3</v>
      </c>
      <c r="AC29" s="25">
        <v>101</v>
      </c>
      <c r="AD29" s="25">
        <v>106</v>
      </c>
      <c r="AE29" s="25">
        <v>207</v>
      </c>
      <c r="AF29" s="25">
        <v>69</v>
      </c>
      <c r="AG29" s="25">
        <v>125</v>
      </c>
      <c r="AH29" s="25">
        <v>125</v>
      </c>
      <c r="AI29" s="25">
        <v>4337</v>
      </c>
      <c r="AJ29" s="25">
        <v>3264</v>
      </c>
      <c r="AK29" s="25">
        <v>7601</v>
      </c>
      <c r="AL29" s="25">
        <v>61</v>
      </c>
      <c r="AM29" s="25">
        <v>5</v>
      </c>
      <c r="AN29" s="25">
        <v>5</v>
      </c>
      <c r="AO29" s="25">
        <v>906</v>
      </c>
      <c r="AP29" s="25">
        <v>580</v>
      </c>
      <c r="AQ29" s="25">
        <v>1486</v>
      </c>
      <c r="AR29" s="25">
        <v>297</v>
      </c>
      <c r="AS29" s="25">
        <v>636</v>
      </c>
      <c r="AT29" s="25">
        <v>636</v>
      </c>
      <c r="AU29" s="25">
        <v>108550</v>
      </c>
      <c r="AV29" s="25">
        <v>54054</v>
      </c>
      <c r="AW29" s="25">
        <v>162604</v>
      </c>
      <c r="AX29" s="25">
        <v>256</v>
      </c>
    </row>
    <row r="30" spans="1:50" s="16" customFormat="1" ht="32.25" customHeight="1" x14ac:dyDescent="0.35">
      <c r="A30" s="37">
        <v>25</v>
      </c>
      <c r="B30" s="79" t="s">
        <v>36</v>
      </c>
      <c r="C30" s="25">
        <v>8</v>
      </c>
      <c r="D30" s="25">
        <v>7</v>
      </c>
      <c r="E30" s="25">
        <v>2279</v>
      </c>
      <c r="F30" s="25">
        <v>369</v>
      </c>
      <c r="G30" s="25">
        <v>2648</v>
      </c>
      <c r="H30" s="25">
        <v>378</v>
      </c>
      <c r="I30" s="25"/>
      <c r="J30" s="25"/>
      <c r="K30" s="25"/>
      <c r="L30" s="25"/>
      <c r="M30" s="25"/>
      <c r="N30" s="25" t="s">
        <v>121</v>
      </c>
      <c r="O30" s="25">
        <v>1</v>
      </c>
      <c r="P30" s="25">
        <v>1</v>
      </c>
      <c r="Q30" s="25"/>
      <c r="R30" s="25">
        <v>184</v>
      </c>
      <c r="S30" s="25">
        <v>184</v>
      </c>
      <c r="T30" s="25">
        <v>184</v>
      </c>
      <c r="U30" s="25">
        <v>2</v>
      </c>
      <c r="V30" s="25">
        <v>1</v>
      </c>
      <c r="W30" s="25">
        <v>10</v>
      </c>
      <c r="X30" s="25">
        <v>144</v>
      </c>
      <c r="Y30" s="25">
        <v>154</v>
      </c>
      <c r="Z30" s="25">
        <v>154</v>
      </c>
      <c r="AA30" s="25"/>
      <c r="AB30" s="25"/>
      <c r="AC30" s="25"/>
      <c r="AD30" s="25"/>
      <c r="AE30" s="25"/>
      <c r="AF30" s="25" t="s">
        <v>121</v>
      </c>
      <c r="AG30" s="25">
        <v>1</v>
      </c>
      <c r="AH30" s="25">
        <v>1</v>
      </c>
      <c r="AI30" s="25">
        <v>63</v>
      </c>
      <c r="AJ30" s="25">
        <v>99</v>
      </c>
      <c r="AK30" s="25">
        <v>162</v>
      </c>
      <c r="AL30" s="25">
        <v>162</v>
      </c>
      <c r="AM30" s="25"/>
      <c r="AN30" s="25"/>
      <c r="AO30" s="25"/>
      <c r="AP30" s="25"/>
      <c r="AQ30" s="25"/>
      <c r="AR30" s="25" t="s">
        <v>121</v>
      </c>
      <c r="AS30" s="25">
        <v>12</v>
      </c>
      <c r="AT30" s="25">
        <v>10</v>
      </c>
      <c r="AU30" s="25">
        <v>2352</v>
      </c>
      <c r="AV30" s="25">
        <v>796</v>
      </c>
      <c r="AW30" s="25">
        <v>3148</v>
      </c>
      <c r="AX30" s="25">
        <v>315</v>
      </c>
    </row>
    <row r="31" spans="1:50" s="16" customFormat="1" ht="32.25" customHeight="1" x14ac:dyDescent="0.35">
      <c r="A31" s="37">
        <v>26</v>
      </c>
      <c r="B31" s="79" t="s">
        <v>37</v>
      </c>
      <c r="C31" s="25">
        <v>115</v>
      </c>
      <c r="D31" s="25">
        <v>115</v>
      </c>
      <c r="E31" s="25">
        <v>18382</v>
      </c>
      <c r="F31" s="25">
        <v>5369</v>
      </c>
      <c r="G31" s="25">
        <v>23751</v>
      </c>
      <c r="H31" s="25">
        <v>207</v>
      </c>
      <c r="I31" s="25">
        <v>1</v>
      </c>
      <c r="J31" s="25">
        <v>1</v>
      </c>
      <c r="K31" s="25"/>
      <c r="L31" s="25"/>
      <c r="M31" s="25"/>
      <c r="N31" s="25"/>
      <c r="O31" s="25">
        <v>121</v>
      </c>
      <c r="P31" s="25">
        <v>121</v>
      </c>
      <c r="Q31" s="25">
        <v>4688</v>
      </c>
      <c r="R31" s="25">
        <v>15519</v>
      </c>
      <c r="S31" s="25">
        <v>20207</v>
      </c>
      <c r="T31" s="25">
        <v>167</v>
      </c>
      <c r="U31" s="25">
        <v>62</v>
      </c>
      <c r="V31" s="25">
        <v>62</v>
      </c>
      <c r="W31" s="25">
        <v>1377</v>
      </c>
      <c r="X31" s="25">
        <v>3837</v>
      </c>
      <c r="Y31" s="25">
        <v>5214</v>
      </c>
      <c r="Z31" s="25">
        <v>84</v>
      </c>
      <c r="AA31" s="25">
        <v>1</v>
      </c>
      <c r="AB31" s="25">
        <v>1</v>
      </c>
      <c r="AC31" s="25">
        <v>137</v>
      </c>
      <c r="AD31" s="25">
        <v>2</v>
      </c>
      <c r="AE31" s="25">
        <v>139</v>
      </c>
      <c r="AF31" s="25">
        <v>139</v>
      </c>
      <c r="AG31" s="25">
        <v>8</v>
      </c>
      <c r="AH31" s="25">
        <v>8</v>
      </c>
      <c r="AI31" s="25">
        <v>230</v>
      </c>
      <c r="AJ31" s="25">
        <v>153</v>
      </c>
      <c r="AK31" s="25">
        <v>383</v>
      </c>
      <c r="AL31" s="25">
        <v>48</v>
      </c>
      <c r="AM31" s="25">
        <v>3</v>
      </c>
      <c r="AN31" s="25">
        <v>3</v>
      </c>
      <c r="AO31" s="25">
        <v>400</v>
      </c>
      <c r="AP31" s="25">
        <v>106</v>
      </c>
      <c r="AQ31" s="25">
        <v>506</v>
      </c>
      <c r="AR31" s="25">
        <v>169</v>
      </c>
      <c r="AS31" s="25">
        <v>311</v>
      </c>
      <c r="AT31" s="25">
        <v>311</v>
      </c>
      <c r="AU31" s="25">
        <v>25214</v>
      </c>
      <c r="AV31" s="25">
        <v>24986</v>
      </c>
      <c r="AW31" s="25">
        <v>50200</v>
      </c>
      <c r="AX31" s="25">
        <v>161</v>
      </c>
    </row>
    <row r="32" spans="1:50" s="16" customFormat="1" ht="32.25" customHeight="1" x14ac:dyDescent="0.35">
      <c r="A32" s="37">
        <v>27</v>
      </c>
      <c r="B32" s="79" t="s">
        <v>38</v>
      </c>
      <c r="C32" s="25">
        <v>144</v>
      </c>
      <c r="D32" s="25">
        <v>115</v>
      </c>
      <c r="E32" s="25">
        <v>20576</v>
      </c>
      <c r="F32" s="25">
        <v>3591</v>
      </c>
      <c r="G32" s="25">
        <v>24167</v>
      </c>
      <c r="H32" s="25">
        <v>210</v>
      </c>
      <c r="I32" s="25">
        <v>7</v>
      </c>
      <c r="J32" s="25">
        <v>5</v>
      </c>
      <c r="K32" s="25">
        <v>591</v>
      </c>
      <c r="L32" s="25">
        <v>441</v>
      </c>
      <c r="M32" s="25">
        <v>1032</v>
      </c>
      <c r="N32" s="25">
        <v>206</v>
      </c>
      <c r="O32" s="25">
        <v>89</v>
      </c>
      <c r="P32" s="25">
        <v>74</v>
      </c>
      <c r="Q32" s="25">
        <v>5426</v>
      </c>
      <c r="R32" s="25">
        <v>4800</v>
      </c>
      <c r="S32" s="25">
        <v>10226</v>
      </c>
      <c r="T32" s="25">
        <v>138</v>
      </c>
      <c r="U32" s="25">
        <v>384</v>
      </c>
      <c r="V32" s="25">
        <v>304</v>
      </c>
      <c r="W32" s="25">
        <v>16840</v>
      </c>
      <c r="X32" s="25">
        <v>18323</v>
      </c>
      <c r="Y32" s="25">
        <v>35163</v>
      </c>
      <c r="Z32" s="25">
        <v>116</v>
      </c>
      <c r="AA32" s="25">
        <v>2</v>
      </c>
      <c r="AB32" s="25">
        <v>2</v>
      </c>
      <c r="AC32" s="25">
        <v>322</v>
      </c>
      <c r="AD32" s="25">
        <v>81</v>
      </c>
      <c r="AE32" s="25">
        <v>403</v>
      </c>
      <c r="AF32" s="25">
        <v>202</v>
      </c>
      <c r="AG32" s="25">
        <v>154</v>
      </c>
      <c r="AH32" s="25">
        <v>106</v>
      </c>
      <c r="AI32" s="25">
        <v>8519</v>
      </c>
      <c r="AJ32" s="25">
        <v>3211</v>
      </c>
      <c r="AK32" s="25">
        <v>11730</v>
      </c>
      <c r="AL32" s="25">
        <v>111</v>
      </c>
      <c r="AM32" s="25">
        <v>11</v>
      </c>
      <c r="AN32" s="25">
        <v>7</v>
      </c>
      <c r="AO32" s="25">
        <v>836</v>
      </c>
      <c r="AP32" s="25">
        <v>209</v>
      </c>
      <c r="AQ32" s="25">
        <v>1045</v>
      </c>
      <c r="AR32" s="25">
        <v>149</v>
      </c>
      <c r="AS32" s="25">
        <v>791</v>
      </c>
      <c r="AT32" s="25">
        <v>613</v>
      </c>
      <c r="AU32" s="25">
        <v>53110</v>
      </c>
      <c r="AV32" s="25">
        <v>30656</v>
      </c>
      <c r="AW32" s="25">
        <v>83766</v>
      </c>
      <c r="AX32" s="25">
        <v>137</v>
      </c>
    </row>
    <row r="33" spans="1:50" s="16" customFormat="1" ht="32.25" customHeight="1" x14ac:dyDescent="0.35">
      <c r="A33" s="37">
        <v>28</v>
      </c>
      <c r="B33" s="79" t="s">
        <v>39</v>
      </c>
      <c r="C33" s="25">
        <v>2</v>
      </c>
      <c r="D33" s="25">
        <v>2</v>
      </c>
      <c r="E33" s="25">
        <v>1092</v>
      </c>
      <c r="F33" s="25">
        <v>422</v>
      </c>
      <c r="G33" s="25">
        <v>1514</v>
      </c>
      <c r="H33" s="25">
        <v>757</v>
      </c>
      <c r="I33" s="25"/>
      <c r="J33" s="25"/>
      <c r="K33" s="25"/>
      <c r="L33" s="25"/>
      <c r="M33" s="25"/>
      <c r="N33" s="25" t="s">
        <v>121</v>
      </c>
      <c r="O33" s="25">
        <v>1</v>
      </c>
      <c r="P33" s="25">
        <v>1</v>
      </c>
      <c r="Q33" s="25"/>
      <c r="R33" s="25">
        <v>26</v>
      </c>
      <c r="S33" s="25">
        <v>26</v>
      </c>
      <c r="T33" s="25">
        <v>26</v>
      </c>
      <c r="U33" s="25">
        <v>4</v>
      </c>
      <c r="V33" s="25">
        <v>4</v>
      </c>
      <c r="W33" s="25">
        <v>93</v>
      </c>
      <c r="X33" s="25">
        <v>306</v>
      </c>
      <c r="Y33" s="25">
        <v>399</v>
      </c>
      <c r="Z33" s="25">
        <v>100</v>
      </c>
      <c r="AA33" s="25"/>
      <c r="AB33" s="25"/>
      <c r="AC33" s="25"/>
      <c r="AD33" s="25"/>
      <c r="AE33" s="25"/>
      <c r="AF33" s="25" t="s">
        <v>121</v>
      </c>
      <c r="AG33" s="25"/>
      <c r="AH33" s="25"/>
      <c r="AI33" s="25"/>
      <c r="AJ33" s="25"/>
      <c r="AK33" s="25"/>
      <c r="AL33" s="25" t="s">
        <v>121</v>
      </c>
      <c r="AM33" s="25">
        <v>1</v>
      </c>
      <c r="AN33" s="25">
        <v>1</v>
      </c>
      <c r="AO33" s="25">
        <v>66</v>
      </c>
      <c r="AP33" s="25">
        <v>54</v>
      </c>
      <c r="AQ33" s="25">
        <v>120</v>
      </c>
      <c r="AR33" s="25">
        <v>120</v>
      </c>
      <c r="AS33" s="25">
        <v>8</v>
      </c>
      <c r="AT33" s="25">
        <v>8</v>
      </c>
      <c r="AU33" s="25">
        <v>1251</v>
      </c>
      <c r="AV33" s="25">
        <v>808</v>
      </c>
      <c r="AW33" s="25">
        <v>2059</v>
      </c>
      <c r="AX33" s="25">
        <v>257</v>
      </c>
    </row>
    <row r="34" spans="1:50" s="16" customFormat="1" ht="32.25" customHeight="1" x14ac:dyDescent="0.35">
      <c r="A34" s="37">
        <v>29</v>
      </c>
      <c r="B34" s="79" t="s">
        <v>40</v>
      </c>
      <c r="C34" s="25">
        <v>480</v>
      </c>
      <c r="D34" s="25">
        <v>465</v>
      </c>
      <c r="E34" s="25">
        <v>170814</v>
      </c>
      <c r="F34" s="25">
        <v>19626</v>
      </c>
      <c r="G34" s="25">
        <v>190440</v>
      </c>
      <c r="H34" s="25">
        <v>410</v>
      </c>
      <c r="I34" s="25">
        <v>8</v>
      </c>
      <c r="J34" s="25">
        <v>8</v>
      </c>
      <c r="K34" s="25">
        <v>1300</v>
      </c>
      <c r="L34" s="25">
        <v>973</v>
      </c>
      <c r="M34" s="25">
        <v>2273</v>
      </c>
      <c r="N34" s="25">
        <v>284</v>
      </c>
      <c r="O34" s="25">
        <v>107</v>
      </c>
      <c r="P34" s="25">
        <v>106</v>
      </c>
      <c r="Q34" s="25">
        <v>104</v>
      </c>
      <c r="R34" s="25">
        <v>8270</v>
      </c>
      <c r="S34" s="25">
        <v>8374</v>
      </c>
      <c r="T34" s="25">
        <v>79</v>
      </c>
      <c r="U34" s="25">
        <v>283</v>
      </c>
      <c r="V34" s="25">
        <v>110</v>
      </c>
      <c r="W34" s="25">
        <v>85</v>
      </c>
      <c r="X34" s="25">
        <v>2013</v>
      </c>
      <c r="Y34" s="25">
        <v>2098</v>
      </c>
      <c r="Z34" s="25">
        <v>19</v>
      </c>
      <c r="AA34" s="25">
        <v>4</v>
      </c>
      <c r="AB34" s="25">
        <v>4</v>
      </c>
      <c r="AC34" s="25">
        <v>643</v>
      </c>
      <c r="AD34" s="25">
        <v>345</v>
      </c>
      <c r="AE34" s="25">
        <v>988</v>
      </c>
      <c r="AF34" s="25">
        <v>247</v>
      </c>
      <c r="AG34" s="25">
        <v>4</v>
      </c>
      <c r="AH34" s="25">
        <v>3</v>
      </c>
      <c r="AI34" s="25">
        <v>35</v>
      </c>
      <c r="AJ34" s="25">
        <v>75</v>
      </c>
      <c r="AK34" s="25">
        <v>110</v>
      </c>
      <c r="AL34" s="25">
        <v>37</v>
      </c>
      <c r="AM34" s="25">
        <v>2</v>
      </c>
      <c r="AN34" s="25">
        <v>2</v>
      </c>
      <c r="AO34" s="25">
        <v>1215</v>
      </c>
      <c r="AP34" s="25">
        <v>223</v>
      </c>
      <c r="AQ34" s="25">
        <v>1438</v>
      </c>
      <c r="AR34" s="25">
        <v>719</v>
      </c>
      <c r="AS34" s="25">
        <v>888</v>
      </c>
      <c r="AT34" s="25">
        <v>698</v>
      </c>
      <c r="AU34" s="25">
        <v>174196</v>
      </c>
      <c r="AV34" s="25">
        <v>31525</v>
      </c>
      <c r="AW34" s="25">
        <v>205721</v>
      </c>
      <c r="AX34" s="25">
        <v>295</v>
      </c>
    </row>
    <row r="35" spans="1:50" s="16" customFormat="1" ht="32.25" customHeight="1" x14ac:dyDescent="0.35">
      <c r="A35" s="37">
        <v>30</v>
      </c>
      <c r="B35" s="79" t="s">
        <v>41</v>
      </c>
      <c r="C35" s="25">
        <v>138</v>
      </c>
      <c r="D35" s="25">
        <v>107</v>
      </c>
      <c r="E35" s="25">
        <v>32925</v>
      </c>
      <c r="F35" s="25">
        <v>18722</v>
      </c>
      <c r="G35" s="25">
        <v>51647</v>
      </c>
      <c r="H35" s="25">
        <v>483</v>
      </c>
      <c r="I35" s="25">
        <v>23</v>
      </c>
      <c r="J35" s="25">
        <v>11</v>
      </c>
      <c r="K35" s="25">
        <v>1945</v>
      </c>
      <c r="L35" s="25">
        <v>1581</v>
      </c>
      <c r="M35" s="25">
        <v>3526</v>
      </c>
      <c r="N35" s="25">
        <v>321</v>
      </c>
      <c r="O35" s="25">
        <v>128</v>
      </c>
      <c r="P35" s="25">
        <v>89</v>
      </c>
      <c r="Q35" s="25">
        <v>845</v>
      </c>
      <c r="R35" s="25">
        <v>9538</v>
      </c>
      <c r="S35" s="25">
        <v>10383</v>
      </c>
      <c r="T35" s="25">
        <v>117</v>
      </c>
      <c r="U35" s="25">
        <v>177</v>
      </c>
      <c r="V35" s="25">
        <v>48</v>
      </c>
      <c r="W35" s="25">
        <v>495</v>
      </c>
      <c r="X35" s="25">
        <v>2341</v>
      </c>
      <c r="Y35" s="25">
        <v>2836</v>
      </c>
      <c r="Z35" s="25">
        <v>59</v>
      </c>
      <c r="AA35" s="25">
        <v>3</v>
      </c>
      <c r="AB35" s="25"/>
      <c r="AC35" s="25"/>
      <c r="AD35" s="25"/>
      <c r="AE35" s="25"/>
      <c r="AF35" s="25" t="s">
        <v>121</v>
      </c>
      <c r="AG35" s="25"/>
      <c r="AH35" s="25"/>
      <c r="AI35" s="25"/>
      <c r="AJ35" s="25"/>
      <c r="AK35" s="25"/>
      <c r="AL35" s="25" t="s">
        <v>121</v>
      </c>
      <c r="AM35" s="25">
        <v>2</v>
      </c>
      <c r="AN35" s="25">
        <v>2</v>
      </c>
      <c r="AO35" s="25">
        <v>682</v>
      </c>
      <c r="AP35" s="25">
        <v>236</v>
      </c>
      <c r="AQ35" s="25">
        <v>918</v>
      </c>
      <c r="AR35" s="25">
        <v>459</v>
      </c>
      <c r="AS35" s="25">
        <v>471</v>
      </c>
      <c r="AT35" s="25">
        <v>257</v>
      </c>
      <c r="AU35" s="25">
        <v>36892</v>
      </c>
      <c r="AV35" s="25">
        <v>32418</v>
      </c>
      <c r="AW35" s="25">
        <v>69310</v>
      </c>
      <c r="AX35" s="25">
        <v>270</v>
      </c>
    </row>
    <row r="36" spans="1:50" s="16" customFormat="1" ht="32.25" customHeight="1" x14ac:dyDescent="0.35">
      <c r="A36" s="37">
        <v>31</v>
      </c>
      <c r="B36" s="300" t="s">
        <v>58</v>
      </c>
      <c r="C36" s="25"/>
      <c r="D36" s="25"/>
      <c r="E36" s="25"/>
      <c r="F36" s="25"/>
      <c r="G36" s="25"/>
      <c r="H36" s="25" t="s">
        <v>121</v>
      </c>
      <c r="I36" s="25">
        <v>1</v>
      </c>
      <c r="J36" s="25">
        <v>1</v>
      </c>
      <c r="K36" s="25">
        <v>71</v>
      </c>
      <c r="L36" s="25">
        <v>25</v>
      </c>
      <c r="M36" s="25">
        <v>96</v>
      </c>
      <c r="N36" s="25">
        <v>96</v>
      </c>
      <c r="O36" s="25"/>
      <c r="P36" s="25"/>
      <c r="Q36" s="25"/>
      <c r="R36" s="25"/>
      <c r="S36" s="25"/>
      <c r="T36" s="25" t="s">
        <v>121</v>
      </c>
      <c r="U36" s="25"/>
      <c r="V36" s="25"/>
      <c r="W36" s="25"/>
      <c r="X36" s="25"/>
      <c r="Y36" s="25"/>
      <c r="Z36" s="25" t="s">
        <v>121</v>
      </c>
      <c r="AA36" s="25"/>
      <c r="AB36" s="25"/>
      <c r="AC36" s="25"/>
      <c r="AD36" s="25"/>
      <c r="AE36" s="25"/>
      <c r="AF36" s="25" t="s">
        <v>121</v>
      </c>
      <c r="AG36" s="25"/>
      <c r="AH36" s="25"/>
      <c r="AI36" s="25"/>
      <c r="AJ36" s="25"/>
      <c r="AK36" s="25"/>
      <c r="AL36" s="25" t="s">
        <v>121</v>
      </c>
      <c r="AM36" s="25">
        <v>1</v>
      </c>
      <c r="AN36" s="25">
        <v>1</v>
      </c>
      <c r="AO36" s="25">
        <v>21</v>
      </c>
      <c r="AP36" s="25">
        <v>6</v>
      </c>
      <c r="AQ36" s="25">
        <v>27</v>
      </c>
      <c r="AR36" s="25">
        <v>27</v>
      </c>
      <c r="AS36" s="25">
        <v>2</v>
      </c>
      <c r="AT36" s="25">
        <v>2</v>
      </c>
      <c r="AU36" s="25">
        <v>92</v>
      </c>
      <c r="AV36" s="25">
        <v>31</v>
      </c>
      <c r="AW36" s="25">
        <v>123</v>
      </c>
      <c r="AX36" s="25">
        <v>62</v>
      </c>
    </row>
    <row r="37" spans="1:50" s="16" customFormat="1" ht="32.25" customHeight="1" x14ac:dyDescent="0.35">
      <c r="A37" s="37">
        <v>32</v>
      </c>
      <c r="B37" s="77" t="s">
        <v>42</v>
      </c>
      <c r="C37" s="25"/>
      <c r="D37" s="25"/>
      <c r="E37" s="25"/>
      <c r="F37" s="25"/>
      <c r="G37" s="25"/>
      <c r="H37" s="25" t="s">
        <v>121</v>
      </c>
      <c r="I37" s="25"/>
      <c r="J37" s="25"/>
      <c r="K37" s="25"/>
      <c r="L37" s="25"/>
      <c r="M37" s="25"/>
      <c r="N37" s="25" t="s">
        <v>121</v>
      </c>
      <c r="O37" s="25">
        <v>10</v>
      </c>
      <c r="P37" s="25">
        <v>10</v>
      </c>
      <c r="Q37" s="25">
        <v>290</v>
      </c>
      <c r="R37" s="25">
        <v>551</v>
      </c>
      <c r="S37" s="25">
        <v>841</v>
      </c>
      <c r="T37" s="25">
        <v>84</v>
      </c>
      <c r="U37" s="25">
        <v>5</v>
      </c>
      <c r="V37" s="25">
        <v>5</v>
      </c>
      <c r="W37" s="25">
        <v>329</v>
      </c>
      <c r="X37" s="25">
        <v>605</v>
      </c>
      <c r="Y37" s="25">
        <v>934</v>
      </c>
      <c r="Z37" s="25">
        <v>187</v>
      </c>
      <c r="AA37" s="25">
        <v>2</v>
      </c>
      <c r="AB37" s="25">
        <v>2</v>
      </c>
      <c r="AC37" s="25">
        <v>107</v>
      </c>
      <c r="AD37" s="25">
        <v>27</v>
      </c>
      <c r="AE37" s="25">
        <v>134</v>
      </c>
      <c r="AF37" s="25">
        <v>67</v>
      </c>
      <c r="AG37" s="25"/>
      <c r="AH37" s="25"/>
      <c r="AI37" s="25"/>
      <c r="AJ37" s="25"/>
      <c r="AK37" s="25"/>
      <c r="AL37" s="25" t="s">
        <v>121</v>
      </c>
      <c r="AM37" s="25">
        <v>1</v>
      </c>
      <c r="AN37" s="25">
        <v>1</v>
      </c>
      <c r="AO37" s="25"/>
      <c r="AP37" s="25"/>
      <c r="AQ37" s="25"/>
      <c r="AR37" s="25"/>
      <c r="AS37" s="25">
        <v>18</v>
      </c>
      <c r="AT37" s="25">
        <v>18</v>
      </c>
      <c r="AU37" s="25">
        <v>726</v>
      </c>
      <c r="AV37" s="25">
        <v>1183</v>
      </c>
      <c r="AW37" s="25">
        <v>1909</v>
      </c>
      <c r="AX37" s="25">
        <v>106</v>
      </c>
    </row>
    <row r="38" spans="1:50" s="16" customFormat="1" ht="32.25" customHeight="1" x14ac:dyDescent="0.35">
      <c r="A38" s="37">
        <v>33</v>
      </c>
      <c r="B38" s="79" t="s">
        <v>43</v>
      </c>
      <c r="C38" s="25">
        <v>1614</v>
      </c>
      <c r="D38" s="25">
        <v>1039</v>
      </c>
      <c r="E38" s="25">
        <v>135186</v>
      </c>
      <c r="F38" s="25">
        <v>31546</v>
      </c>
      <c r="G38" s="25">
        <v>166732</v>
      </c>
      <c r="H38" s="25">
        <v>160</v>
      </c>
      <c r="I38" s="25">
        <v>43</v>
      </c>
      <c r="J38" s="25">
        <v>26</v>
      </c>
      <c r="K38" s="25">
        <v>8208</v>
      </c>
      <c r="L38" s="25">
        <v>4629</v>
      </c>
      <c r="M38" s="25">
        <v>12837</v>
      </c>
      <c r="N38" s="25">
        <v>494</v>
      </c>
      <c r="O38" s="25">
        <v>365</v>
      </c>
      <c r="P38" s="25">
        <v>279</v>
      </c>
      <c r="Q38" s="25">
        <v>7906</v>
      </c>
      <c r="R38" s="25">
        <v>43659</v>
      </c>
      <c r="S38" s="25">
        <v>51565</v>
      </c>
      <c r="T38" s="25">
        <v>185</v>
      </c>
      <c r="U38" s="25">
        <v>883</v>
      </c>
      <c r="V38" s="25">
        <v>377</v>
      </c>
      <c r="W38" s="25">
        <v>17819</v>
      </c>
      <c r="X38" s="25">
        <v>18733</v>
      </c>
      <c r="Y38" s="25">
        <v>36552</v>
      </c>
      <c r="Z38" s="25">
        <v>97</v>
      </c>
      <c r="AA38" s="25">
        <v>8</v>
      </c>
      <c r="AB38" s="25">
        <v>4</v>
      </c>
      <c r="AC38" s="25">
        <v>937</v>
      </c>
      <c r="AD38" s="25">
        <v>284</v>
      </c>
      <c r="AE38" s="25">
        <v>1221</v>
      </c>
      <c r="AF38" s="25">
        <v>305</v>
      </c>
      <c r="AG38" s="25">
        <v>344</v>
      </c>
      <c r="AH38" s="25">
        <v>159</v>
      </c>
      <c r="AI38" s="25">
        <v>7864</v>
      </c>
      <c r="AJ38" s="25">
        <v>6052</v>
      </c>
      <c r="AK38" s="25">
        <v>13916</v>
      </c>
      <c r="AL38" s="25">
        <v>88</v>
      </c>
      <c r="AM38" s="25">
        <v>7</v>
      </c>
      <c r="AN38" s="25">
        <v>6</v>
      </c>
      <c r="AO38" s="25">
        <v>1499</v>
      </c>
      <c r="AP38" s="25">
        <v>376</v>
      </c>
      <c r="AQ38" s="25">
        <v>1875</v>
      </c>
      <c r="AR38" s="25">
        <v>312</v>
      </c>
      <c r="AS38" s="25">
        <v>3264</v>
      </c>
      <c r="AT38" s="25">
        <v>1890</v>
      </c>
      <c r="AU38" s="25">
        <v>179419</v>
      </c>
      <c r="AV38" s="25">
        <v>105279</v>
      </c>
      <c r="AW38" s="25">
        <v>284698</v>
      </c>
      <c r="AX38" s="25">
        <v>151</v>
      </c>
    </row>
    <row r="39" spans="1:50" s="16" customFormat="1" ht="32.25" customHeight="1" x14ac:dyDescent="0.35">
      <c r="A39" s="37">
        <v>34</v>
      </c>
      <c r="B39" s="79" t="s">
        <v>44</v>
      </c>
      <c r="C39" s="25">
        <v>124</v>
      </c>
      <c r="D39" s="25">
        <v>111</v>
      </c>
      <c r="E39" s="25">
        <v>15354</v>
      </c>
      <c r="F39" s="25">
        <v>3708</v>
      </c>
      <c r="G39" s="25">
        <v>19062</v>
      </c>
      <c r="H39" s="25">
        <v>172</v>
      </c>
      <c r="I39" s="25">
        <v>3</v>
      </c>
      <c r="J39" s="25">
        <v>1</v>
      </c>
      <c r="K39" s="25">
        <v>152</v>
      </c>
      <c r="L39" s="25">
        <v>88</v>
      </c>
      <c r="M39" s="25">
        <v>240</v>
      </c>
      <c r="N39" s="25">
        <v>240</v>
      </c>
      <c r="O39" s="25">
        <v>27</v>
      </c>
      <c r="P39" s="25">
        <v>17</v>
      </c>
      <c r="Q39" s="25">
        <v>1134</v>
      </c>
      <c r="R39" s="25">
        <v>2377</v>
      </c>
      <c r="S39" s="25">
        <v>3511</v>
      </c>
      <c r="T39" s="25">
        <v>207</v>
      </c>
      <c r="U39" s="25">
        <v>13</v>
      </c>
      <c r="V39" s="25">
        <v>10</v>
      </c>
      <c r="W39" s="25">
        <v>325</v>
      </c>
      <c r="X39" s="25">
        <v>176</v>
      </c>
      <c r="Y39" s="25">
        <v>501</v>
      </c>
      <c r="Z39" s="25">
        <v>50</v>
      </c>
      <c r="AA39" s="25">
        <v>2</v>
      </c>
      <c r="AB39" s="25">
        <v>2</v>
      </c>
      <c r="AC39" s="25">
        <v>470</v>
      </c>
      <c r="AD39" s="25">
        <v>63</v>
      </c>
      <c r="AE39" s="25">
        <v>533</v>
      </c>
      <c r="AF39" s="25">
        <v>266</v>
      </c>
      <c r="AG39" s="25">
        <v>9</v>
      </c>
      <c r="AH39" s="25">
        <v>4</v>
      </c>
      <c r="AI39" s="25">
        <v>87</v>
      </c>
      <c r="AJ39" s="25">
        <v>39</v>
      </c>
      <c r="AK39" s="25">
        <v>126</v>
      </c>
      <c r="AL39" s="25">
        <v>32</v>
      </c>
      <c r="AM39" s="25">
        <v>1</v>
      </c>
      <c r="AN39" s="25">
        <v>1</v>
      </c>
      <c r="AO39" s="25">
        <v>325</v>
      </c>
      <c r="AP39" s="25">
        <v>64</v>
      </c>
      <c r="AQ39" s="25">
        <v>389</v>
      </c>
      <c r="AR39" s="25">
        <v>389</v>
      </c>
      <c r="AS39" s="25">
        <v>179</v>
      </c>
      <c r="AT39" s="25">
        <v>146</v>
      </c>
      <c r="AU39" s="25">
        <v>17847</v>
      </c>
      <c r="AV39" s="25">
        <v>6515</v>
      </c>
      <c r="AW39" s="25">
        <v>24362</v>
      </c>
      <c r="AX39" s="25">
        <v>167</v>
      </c>
    </row>
    <row r="40" spans="1:50" s="16" customFormat="1" ht="32.25" customHeight="1" x14ac:dyDescent="0.35">
      <c r="A40" s="37">
        <v>35</v>
      </c>
      <c r="B40" s="79" t="s">
        <v>45</v>
      </c>
      <c r="C40" s="25">
        <v>315</v>
      </c>
      <c r="D40" s="25">
        <v>259</v>
      </c>
      <c r="E40" s="25">
        <v>74926</v>
      </c>
      <c r="F40" s="25">
        <v>13786</v>
      </c>
      <c r="G40" s="25">
        <v>88712</v>
      </c>
      <c r="H40" s="25">
        <v>343</v>
      </c>
      <c r="I40" s="25">
        <v>16</v>
      </c>
      <c r="J40" s="25">
        <v>7</v>
      </c>
      <c r="K40" s="25">
        <v>1256</v>
      </c>
      <c r="L40" s="25">
        <v>803</v>
      </c>
      <c r="M40" s="25">
        <v>2059</v>
      </c>
      <c r="N40" s="25">
        <v>294</v>
      </c>
      <c r="O40" s="25">
        <v>157</v>
      </c>
      <c r="P40" s="25">
        <v>142</v>
      </c>
      <c r="Q40" s="25">
        <v>1078</v>
      </c>
      <c r="R40" s="25">
        <v>20106</v>
      </c>
      <c r="S40" s="25">
        <v>21184</v>
      </c>
      <c r="T40" s="25">
        <v>149</v>
      </c>
      <c r="U40" s="25">
        <v>254</v>
      </c>
      <c r="V40" s="25">
        <v>250</v>
      </c>
      <c r="W40" s="25">
        <v>16420</v>
      </c>
      <c r="X40" s="25">
        <v>20823</v>
      </c>
      <c r="Y40" s="25">
        <v>37243</v>
      </c>
      <c r="Z40" s="25">
        <v>149</v>
      </c>
      <c r="AA40" s="25">
        <v>15</v>
      </c>
      <c r="AB40" s="25">
        <v>14</v>
      </c>
      <c r="AC40" s="25">
        <v>4722</v>
      </c>
      <c r="AD40" s="25">
        <v>2116</v>
      </c>
      <c r="AE40" s="25">
        <v>6838</v>
      </c>
      <c r="AF40" s="25">
        <v>488</v>
      </c>
      <c r="AG40" s="25">
        <v>29</v>
      </c>
      <c r="AH40" s="25">
        <v>22</v>
      </c>
      <c r="AI40" s="25">
        <v>817</v>
      </c>
      <c r="AJ40" s="25">
        <v>836</v>
      </c>
      <c r="AK40" s="25">
        <v>1653</v>
      </c>
      <c r="AL40" s="25">
        <v>75</v>
      </c>
      <c r="AM40" s="25">
        <v>2</v>
      </c>
      <c r="AN40" s="25">
        <v>2</v>
      </c>
      <c r="AO40" s="25">
        <v>213</v>
      </c>
      <c r="AP40" s="25">
        <v>83</v>
      </c>
      <c r="AQ40" s="25">
        <v>296</v>
      </c>
      <c r="AR40" s="25">
        <v>148</v>
      </c>
      <c r="AS40" s="25">
        <v>788</v>
      </c>
      <c r="AT40" s="25">
        <v>696</v>
      </c>
      <c r="AU40" s="25">
        <v>99432</v>
      </c>
      <c r="AV40" s="25">
        <v>58553</v>
      </c>
      <c r="AW40" s="25">
        <v>157985</v>
      </c>
      <c r="AX40" s="25">
        <v>227</v>
      </c>
    </row>
    <row r="41" spans="1:50" s="86" customFormat="1" ht="32.25" customHeight="1" x14ac:dyDescent="0.35">
      <c r="A41" s="690" t="s">
        <v>46</v>
      </c>
      <c r="B41" s="690"/>
      <c r="C41" s="93">
        <v>5194</v>
      </c>
      <c r="D41" s="93">
        <v>4209</v>
      </c>
      <c r="E41" s="93">
        <v>1086768</v>
      </c>
      <c r="F41" s="93">
        <v>308218</v>
      </c>
      <c r="G41" s="93">
        <v>1394986</v>
      </c>
      <c r="H41" s="93">
        <v>331</v>
      </c>
      <c r="I41" s="93">
        <v>363</v>
      </c>
      <c r="J41" s="93">
        <v>235</v>
      </c>
      <c r="K41" s="93">
        <v>42044</v>
      </c>
      <c r="L41" s="93">
        <v>27510</v>
      </c>
      <c r="M41" s="93">
        <v>69554</v>
      </c>
      <c r="N41" s="93">
        <v>296</v>
      </c>
      <c r="O41" s="93">
        <v>4224</v>
      </c>
      <c r="P41" s="93">
        <v>3744</v>
      </c>
      <c r="Q41" s="93">
        <v>87261</v>
      </c>
      <c r="R41" s="93">
        <v>372570</v>
      </c>
      <c r="S41" s="93">
        <v>459831</v>
      </c>
      <c r="T41" s="93">
        <v>123</v>
      </c>
      <c r="U41" s="93">
        <v>3930</v>
      </c>
      <c r="V41" s="93">
        <v>2688</v>
      </c>
      <c r="W41" s="93">
        <v>98371</v>
      </c>
      <c r="X41" s="93">
        <v>152819</v>
      </c>
      <c r="Y41" s="93">
        <v>251190</v>
      </c>
      <c r="Z41" s="93">
        <v>93</v>
      </c>
      <c r="AA41" s="93">
        <v>122</v>
      </c>
      <c r="AB41" s="93">
        <v>105</v>
      </c>
      <c r="AC41" s="93">
        <v>19306</v>
      </c>
      <c r="AD41" s="93">
        <v>11450</v>
      </c>
      <c r="AE41" s="93">
        <v>30756</v>
      </c>
      <c r="AF41" s="93">
        <v>293</v>
      </c>
      <c r="AG41" s="93">
        <v>1298</v>
      </c>
      <c r="AH41" s="93">
        <v>729</v>
      </c>
      <c r="AI41" s="93">
        <v>38113</v>
      </c>
      <c r="AJ41" s="93">
        <v>34832</v>
      </c>
      <c r="AK41" s="93">
        <v>72945</v>
      </c>
      <c r="AL41" s="93">
        <v>100</v>
      </c>
      <c r="AM41" s="93">
        <v>90</v>
      </c>
      <c r="AN41" s="93">
        <v>77</v>
      </c>
      <c r="AO41" s="93">
        <v>15132</v>
      </c>
      <c r="AP41" s="93">
        <v>4432</v>
      </c>
      <c r="AQ41" s="93">
        <v>19564</v>
      </c>
      <c r="AR41" s="93">
        <v>254</v>
      </c>
      <c r="AS41" s="93">
        <v>15221</v>
      </c>
      <c r="AT41" s="93">
        <v>11787</v>
      </c>
      <c r="AU41" s="93">
        <v>1386995</v>
      </c>
      <c r="AV41" s="93">
        <v>911831</v>
      </c>
      <c r="AW41" s="93">
        <v>2298826</v>
      </c>
      <c r="AX41" s="93">
        <v>195</v>
      </c>
    </row>
  </sheetData>
  <mergeCells count="39">
    <mergeCell ref="A41:B41"/>
    <mergeCell ref="AM3:AN3"/>
    <mergeCell ref="AO3:AQ3"/>
    <mergeCell ref="AR3:AR4"/>
    <mergeCell ref="AS3:AT3"/>
    <mergeCell ref="O3:P3"/>
    <mergeCell ref="Q3:S3"/>
    <mergeCell ref="T3:T4"/>
    <mergeCell ref="U3:V3"/>
    <mergeCell ref="W3:Y3"/>
    <mergeCell ref="Z3:Z4"/>
    <mergeCell ref="H3:H4"/>
    <mergeCell ref="I3:J3"/>
    <mergeCell ref="K3:M3"/>
    <mergeCell ref="N3:N4"/>
    <mergeCell ref="AX3:AX4"/>
    <mergeCell ref="AA3:AB3"/>
    <mergeCell ref="AC3:AE3"/>
    <mergeCell ref="AF3:AF4"/>
    <mergeCell ref="AG3:AH3"/>
    <mergeCell ref="AI3:AK3"/>
    <mergeCell ref="AL3:AL4"/>
    <mergeCell ref="AU3:AW3"/>
    <mergeCell ref="C1:N1"/>
    <mergeCell ref="O1:Z1"/>
    <mergeCell ref="AA1:AL1"/>
    <mergeCell ref="AM1:AX1"/>
    <mergeCell ref="A2:A4"/>
    <mergeCell ref="B2:B4"/>
    <mergeCell ref="C2:H2"/>
    <mergeCell ref="I2:N2"/>
    <mergeCell ref="O2:T2"/>
    <mergeCell ref="U2:Z2"/>
    <mergeCell ref="AA2:AF2"/>
    <mergeCell ref="AG2:AL2"/>
    <mergeCell ref="AM2:AR2"/>
    <mergeCell ref="AS2:AX2"/>
    <mergeCell ref="C3:D3"/>
    <mergeCell ref="E3:G3"/>
  </mergeCells>
  <pageMargins left="0.39370078740157483" right="0.19685039370078741" top="0.39370078740157483" bottom="0.39370078740157483" header="0.31496062992125984" footer="0.19685039370078741"/>
  <pageSetup paperSize="9" scale="60" firstPageNumber="17" orientation="portrait" r:id="rId1"/>
  <headerFooter>
    <oddFooter>&amp;L&amp;"Arial,Italic"&amp;9AISHE 2023-24&amp;RT-9</oddFooter>
  </headerFooter>
  <colBreaks count="3" manualBreakCount="3">
    <brk id="14" max="38" man="1"/>
    <brk id="26" max="41" man="1"/>
    <brk id="38" max="41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F4BC-8619-4322-94EC-6397488471B0}">
  <dimension ref="A1:AC41"/>
  <sheetViews>
    <sheetView view="pageBreakPreview" zoomScaleNormal="100" zoomScaleSheetLayoutView="100" workbookViewId="0">
      <pane xSplit="2" ySplit="4" topLeftCell="T5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5.81640625" defaultRowHeight="15.5" x14ac:dyDescent="0.35"/>
  <cols>
    <col min="1" max="1" width="4.453125" style="29" bestFit="1" customWidth="1"/>
    <col min="2" max="2" width="20.54296875" style="29" customWidth="1"/>
    <col min="3" max="11" width="9.1796875" style="29" customWidth="1"/>
    <col min="12" max="12" width="8.453125" style="29" bestFit="1" customWidth="1"/>
    <col min="13" max="13" width="8.54296875" style="29" customWidth="1"/>
    <col min="14" max="14" width="10.1796875" style="29" bestFit="1" customWidth="1"/>
    <col min="15" max="15" width="8.453125" style="29" bestFit="1" customWidth="1"/>
    <col min="16" max="16" width="8.453125" style="29" customWidth="1"/>
    <col min="17" max="17" width="8.26953125" style="29" customWidth="1"/>
    <col min="18" max="18" width="11.26953125" style="29" bestFit="1" customWidth="1"/>
    <col min="19" max="19" width="10.1796875" style="29" bestFit="1" customWidth="1"/>
    <col min="20" max="20" width="11.26953125" style="29" bestFit="1" customWidth="1"/>
    <col min="21" max="21" width="7.26953125" style="29" bestFit="1" customWidth="1"/>
    <col min="22" max="22" width="9.1796875" style="29" bestFit="1" customWidth="1"/>
    <col min="23" max="23" width="8.453125" style="29" bestFit="1" customWidth="1"/>
    <col min="24" max="24" width="6.81640625" style="29" bestFit="1" customWidth="1"/>
    <col min="25" max="25" width="8.81640625" style="29" bestFit="1" customWidth="1"/>
    <col min="26" max="26" width="7.1796875" style="29" bestFit="1" customWidth="1"/>
    <col min="27" max="27" width="11.26953125" style="29" bestFit="1" customWidth="1"/>
    <col min="28" max="28" width="10.1796875" style="29" bestFit="1" customWidth="1"/>
    <col min="29" max="29" width="11.26953125" style="29" bestFit="1" customWidth="1"/>
    <col min="30" max="16384" width="5.81640625" style="29"/>
  </cols>
  <sheetData>
    <row r="1" spans="1:29" s="95" customFormat="1" ht="32.15" customHeight="1" x14ac:dyDescent="0.35">
      <c r="A1" s="94"/>
      <c r="B1" s="39"/>
      <c r="C1" s="732" t="s">
        <v>993</v>
      </c>
      <c r="D1" s="732"/>
      <c r="E1" s="732"/>
      <c r="F1" s="732"/>
      <c r="G1" s="732"/>
      <c r="H1" s="732"/>
      <c r="I1" s="732"/>
      <c r="J1" s="732"/>
      <c r="K1" s="732"/>
      <c r="L1" s="732" t="str">
        <f>C1</f>
        <v>Table 9a. States/UTs-wise Standalone Enrolment at various Level
(Based on Actual Response)</v>
      </c>
      <c r="M1" s="732"/>
      <c r="N1" s="732"/>
      <c r="O1" s="732"/>
      <c r="P1" s="732"/>
      <c r="Q1" s="732"/>
      <c r="R1" s="732"/>
      <c r="S1" s="732"/>
      <c r="T1" s="732"/>
      <c r="U1" s="732" t="str">
        <f>C1</f>
        <v>Table 9a. States/UTs-wise Standalone Enrolment at various Level
(Based on Actual Response)</v>
      </c>
      <c r="V1" s="732"/>
      <c r="W1" s="732"/>
      <c r="X1" s="732"/>
      <c r="Y1" s="732"/>
      <c r="Z1" s="732"/>
      <c r="AA1" s="732"/>
      <c r="AB1" s="732"/>
      <c r="AC1" s="732"/>
    </row>
    <row r="2" spans="1:29" s="32" customFormat="1" ht="15" x14ac:dyDescent="0.35">
      <c r="A2" s="711" t="s">
        <v>918</v>
      </c>
      <c r="B2" s="711" t="s">
        <v>885</v>
      </c>
      <c r="C2" s="711" t="s">
        <v>95</v>
      </c>
      <c r="D2" s="711"/>
      <c r="E2" s="711"/>
      <c r="F2" s="711" t="s">
        <v>96</v>
      </c>
      <c r="G2" s="711"/>
      <c r="H2" s="711"/>
      <c r="I2" s="711" t="s">
        <v>97</v>
      </c>
      <c r="J2" s="711"/>
      <c r="K2" s="711"/>
      <c r="L2" s="711" t="s">
        <v>98</v>
      </c>
      <c r="M2" s="711"/>
      <c r="N2" s="711"/>
      <c r="O2" s="711" t="s">
        <v>99</v>
      </c>
      <c r="P2" s="711"/>
      <c r="Q2" s="711"/>
      <c r="R2" s="711" t="s">
        <v>100</v>
      </c>
      <c r="S2" s="711"/>
      <c r="T2" s="711"/>
      <c r="U2" s="711" t="s">
        <v>101</v>
      </c>
      <c r="V2" s="711"/>
      <c r="W2" s="711"/>
      <c r="X2" s="711" t="s">
        <v>102</v>
      </c>
      <c r="Y2" s="711"/>
      <c r="Z2" s="711"/>
      <c r="AA2" s="711" t="s">
        <v>12</v>
      </c>
      <c r="AB2" s="711"/>
      <c r="AC2" s="711"/>
    </row>
    <row r="3" spans="1:29" s="34" customFormat="1" x14ac:dyDescent="0.35">
      <c r="A3" s="711"/>
      <c r="B3" s="711"/>
      <c r="C3" s="23" t="s">
        <v>103</v>
      </c>
      <c r="D3" s="23" t="s">
        <v>104</v>
      </c>
      <c r="E3" s="23" t="s">
        <v>89</v>
      </c>
      <c r="F3" s="23" t="s">
        <v>103</v>
      </c>
      <c r="G3" s="23" t="s">
        <v>104</v>
      </c>
      <c r="H3" s="23" t="s">
        <v>89</v>
      </c>
      <c r="I3" s="23" t="s">
        <v>103</v>
      </c>
      <c r="J3" s="23" t="s">
        <v>104</v>
      </c>
      <c r="K3" s="23" t="s">
        <v>89</v>
      </c>
      <c r="L3" s="23" t="s">
        <v>103</v>
      </c>
      <c r="M3" s="23" t="s">
        <v>104</v>
      </c>
      <c r="N3" s="23" t="s">
        <v>89</v>
      </c>
      <c r="O3" s="23" t="s">
        <v>103</v>
      </c>
      <c r="P3" s="23" t="s">
        <v>104</v>
      </c>
      <c r="Q3" s="23" t="s">
        <v>89</v>
      </c>
      <c r="R3" s="23" t="s">
        <v>103</v>
      </c>
      <c r="S3" s="23" t="s">
        <v>104</v>
      </c>
      <c r="T3" s="23" t="s">
        <v>89</v>
      </c>
      <c r="U3" s="23" t="s">
        <v>103</v>
      </c>
      <c r="V3" s="23" t="s">
        <v>104</v>
      </c>
      <c r="W3" s="23" t="s">
        <v>89</v>
      </c>
      <c r="X3" s="23" t="s">
        <v>103</v>
      </c>
      <c r="Y3" s="23" t="s">
        <v>104</v>
      </c>
      <c r="Z3" s="23" t="s">
        <v>89</v>
      </c>
      <c r="AA3" s="23" t="s">
        <v>103</v>
      </c>
      <c r="AB3" s="23" t="s">
        <v>104</v>
      </c>
      <c r="AC3" s="23" t="s">
        <v>89</v>
      </c>
    </row>
    <row r="4" spans="1:29" s="337" customFormat="1" ht="11.5" x14ac:dyDescent="0.35">
      <c r="A4" s="56">
        <v>1</v>
      </c>
      <c r="B4" s="56">
        <v>2</v>
      </c>
      <c r="C4" s="56">
        <v>3</v>
      </c>
      <c r="D4" s="56">
        <v>4</v>
      </c>
      <c r="E4" s="56">
        <v>5</v>
      </c>
      <c r="F4" s="56">
        <v>6</v>
      </c>
      <c r="G4" s="56">
        <v>7</v>
      </c>
      <c r="H4" s="56">
        <v>8</v>
      </c>
      <c r="I4" s="56">
        <v>9</v>
      </c>
      <c r="J4" s="56">
        <v>10</v>
      </c>
      <c r="K4" s="56">
        <v>11</v>
      </c>
      <c r="L4" s="56">
        <v>12</v>
      </c>
      <c r="M4" s="56">
        <v>13</v>
      </c>
      <c r="N4" s="56">
        <v>14</v>
      </c>
      <c r="O4" s="56">
        <v>15</v>
      </c>
      <c r="P4" s="56">
        <v>16</v>
      </c>
      <c r="Q4" s="56">
        <v>17</v>
      </c>
      <c r="R4" s="56">
        <v>18</v>
      </c>
      <c r="S4" s="56">
        <v>19</v>
      </c>
      <c r="T4" s="56">
        <v>20</v>
      </c>
      <c r="U4" s="56">
        <v>21</v>
      </c>
      <c r="V4" s="56">
        <v>22</v>
      </c>
      <c r="W4" s="56">
        <v>23</v>
      </c>
      <c r="X4" s="56">
        <v>24</v>
      </c>
      <c r="Y4" s="56">
        <v>25</v>
      </c>
      <c r="Z4" s="56">
        <v>26</v>
      </c>
      <c r="AA4" s="56">
        <v>27</v>
      </c>
      <c r="AB4" s="56">
        <v>28</v>
      </c>
      <c r="AC4" s="56">
        <v>29</v>
      </c>
    </row>
    <row r="5" spans="1:29" s="34" customFormat="1" ht="21.75" customHeight="1" x14ac:dyDescent="0.35">
      <c r="A5" s="25">
        <v>1</v>
      </c>
      <c r="B5" s="96" t="s">
        <v>56</v>
      </c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>
        <v>18</v>
      </c>
      <c r="S5" s="97">
        <v>112</v>
      </c>
      <c r="T5" s="97">
        <v>130</v>
      </c>
      <c r="U5" s="97"/>
      <c r="V5" s="97"/>
      <c r="W5" s="97"/>
      <c r="X5" s="97"/>
      <c r="Y5" s="97"/>
      <c r="Z5" s="97"/>
      <c r="AA5" s="97">
        <v>18</v>
      </c>
      <c r="AB5" s="97">
        <v>112</v>
      </c>
      <c r="AC5" s="97">
        <v>130</v>
      </c>
    </row>
    <row r="6" spans="1:29" s="34" customFormat="1" ht="21.75" customHeight="1" x14ac:dyDescent="0.35">
      <c r="A6" s="25">
        <v>2</v>
      </c>
      <c r="B6" s="98" t="s">
        <v>13</v>
      </c>
      <c r="C6" s="97"/>
      <c r="D6" s="97"/>
      <c r="E6" s="97"/>
      <c r="F6" s="97"/>
      <c r="G6" s="97"/>
      <c r="H6" s="97"/>
      <c r="I6" s="97">
        <v>89</v>
      </c>
      <c r="J6" s="97">
        <v>57</v>
      </c>
      <c r="K6" s="97">
        <v>146</v>
      </c>
      <c r="L6" s="97">
        <v>70</v>
      </c>
      <c r="M6" s="97">
        <v>254</v>
      </c>
      <c r="N6" s="97">
        <v>324</v>
      </c>
      <c r="O6" s="97">
        <v>81</v>
      </c>
      <c r="P6" s="97">
        <v>38</v>
      </c>
      <c r="Q6" s="97">
        <v>119</v>
      </c>
      <c r="R6" s="97">
        <v>48938</v>
      </c>
      <c r="S6" s="97">
        <v>45703</v>
      </c>
      <c r="T6" s="97">
        <v>94641</v>
      </c>
      <c r="U6" s="97">
        <v>181</v>
      </c>
      <c r="V6" s="97">
        <v>14</v>
      </c>
      <c r="W6" s="97">
        <v>195</v>
      </c>
      <c r="X6" s="97"/>
      <c r="Y6" s="97"/>
      <c r="Z6" s="97"/>
      <c r="AA6" s="97">
        <v>49359</v>
      </c>
      <c r="AB6" s="97">
        <v>46066</v>
      </c>
      <c r="AC6" s="97">
        <v>95425</v>
      </c>
    </row>
    <row r="7" spans="1:29" s="34" customFormat="1" ht="21.75" customHeight="1" x14ac:dyDescent="0.35">
      <c r="A7" s="25">
        <v>3</v>
      </c>
      <c r="B7" s="98" t="s">
        <v>14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>
        <v>526</v>
      </c>
      <c r="S7" s="97">
        <v>586</v>
      </c>
      <c r="T7" s="97">
        <v>1112</v>
      </c>
      <c r="U7" s="97"/>
      <c r="V7" s="97"/>
      <c r="W7" s="97"/>
      <c r="X7" s="97"/>
      <c r="Y7" s="97"/>
      <c r="Z7" s="97"/>
      <c r="AA7" s="97">
        <v>526</v>
      </c>
      <c r="AB7" s="97">
        <v>586</v>
      </c>
      <c r="AC7" s="97">
        <v>1112</v>
      </c>
    </row>
    <row r="8" spans="1:29" s="34" customFormat="1" ht="21.75" customHeight="1" x14ac:dyDescent="0.35">
      <c r="A8" s="25">
        <v>4</v>
      </c>
      <c r="B8" s="98" t="s">
        <v>15</v>
      </c>
      <c r="C8" s="97"/>
      <c r="D8" s="97"/>
      <c r="E8" s="97"/>
      <c r="F8" s="97"/>
      <c r="G8" s="97"/>
      <c r="H8" s="97"/>
      <c r="I8" s="97">
        <v>60</v>
      </c>
      <c r="J8" s="97">
        <v>21</v>
      </c>
      <c r="K8" s="97">
        <v>81</v>
      </c>
      <c r="L8" s="97">
        <v>1079</v>
      </c>
      <c r="M8" s="97">
        <v>1004</v>
      </c>
      <c r="N8" s="97">
        <v>2083</v>
      </c>
      <c r="O8" s="97">
        <v>9</v>
      </c>
      <c r="P8" s="97">
        <v>3</v>
      </c>
      <c r="Q8" s="97">
        <v>12</v>
      </c>
      <c r="R8" s="97">
        <v>11252</v>
      </c>
      <c r="S8" s="97">
        <v>13315</v>
      </c>
      <c r="T8" s="97">
        <v>24567</v>
      </c>
      <c r="U8" s="97">
        <v>10</v>
      </c>
      <c r="V8" s="97">
        <v>44</v>
      </c>
      <c r="W8" s="97">
        <v>54</v>
      </c>
      <c r="X8" s="97"/>
      <c r="Y8" s="97"/>
      <c r="Z8" s="97"/>
      <c r="AA8" s="97">
        <v>12410</v>
      </c>
      <c r="AB8" s="97">
        <v>14387</v>
      </c>
      <c r="AC8" s="97">
        <v>26797</v>
      </c>
    </row>
    <row r="9" spans="1:29" s="34" customFormat="1" ht="21.75" customHeight="1" x14ac:dyDescent="0.35">
      <c r="A9" s="25">
        <v>5</v>
      </c>
      <c r="B9" s="98" t="s">
        <v>16</v>
      </c>
      <c r="C9" s="97">
        <v>4</v>
      </c>
      <c r="D9" s="97">
        <v>4</v>
      </c>
      <c r="E9" s="97">
        <v>8</v>
      </c>
      <c r="F9" s="97"/>
      <c r="G9" s="97"/>
      <c r="H9" s="97"/>
      <c r="I9" s="97">
        <v>80</v>
      </c>
      <c r="J9" s="97">
        <v>80</v>
      </c>
      <c r="K9" s="97">
        <v>160</v>
      </c>
      <c r="L9" s="97">
        <v>5105</v>
      </c>
      <c r="M9" s="97">
        <v>3018</v>
      </c>
      <c r="N9" s="97">
        <v>8123</v>
      </c>
      <c r="O9" s="97">
        <v>455</v>
      </c>
      <c r="P9" s="97">
        <v>335</v>
      </c>
      <c r="Q9" s="97">
        <v>790</v>
      </c>
      <c r="R9" s="97">
        <v>48476</v>
      </c>
      <c r="S9" s="97">
        <v>34216</v>
      </c>
      <c r="T9" s="97">
        <v>82692</v>
      </c>
      <c r="U9" s="97">
        <v>195</v>
      </c>
      <c r="V9" s="97">
        <v>592</v>
      </c>
      <c r="W9" s="97">
        <v>787</v>
      </c>
      <c r="X9" s="97"/>
      <c r="Y9" s="97"/>
      <c r="Z9" s="97"/>
      <c r="AA9" s="97">
        <v>54315</v>
      </c>
      <c r="AB9" s="97">
        <v>38245</v>
      </c>
      <c r="AC9" s="97">
        <v>92560</v>
      </c>
    </row>
    <row r="10" spans="1:29" s="34" customFormat="1" ht="21.75" customHeight="1" x14ac:dyDescent="0.35">
      <c r="A10" s="25">
        <v>6</v>
      </c>
      <c r="B10" s="98" t="s">
        <v>17</v>
      </c>
      <c r="C10" s="97"/>
      <c r="D10" s="97"/>
      <c r="E10" s="97"/>
      <c r="F10" s="97"/>
      <c r="G10" s="97"/>
      <c r="H10" s="97"/>
      <c r="I10" s="97">
        <v>3</v>
      </c>
      <c r="J10" s="97">
        <v>3</v>
      </c>
      <c r="K10" s="97">
        <v>6</v>
      </c>
      <c r="L10" s="97">
        <v>548</v>
      </c>
      <c r="M10" s="97">
        <v>187</v>
      </c>
      <c r="N10" s="97">
        <v>735</v>
      </c>
      <c r="O10" s="97">
        <v>38</v>
      </c>
      <c r="P10" s="97">
        <v>30</v>
      </c>
      <c r="Q10" s="97">
        <v>68</v>
      </c>
      <c r="R10" s="97">
        <v>1531</v>
      </c>
      <c r="S10" s="97">
        <v>1060</v>
      </c>
      <c r="T10" s="97">
        <v>2591</v>
      </c>
      <c r="U10" s="97"/>
      <c r="V10" s="97"/>
      <c r="W10" s="97"/>
      <c r="X10" s="97"/>
      <c r="Y10" s="97"/>
      <c r="Z10" s="97"/>
      <c r="AA10" s="97">
        <v>2120</v>
      </c>
      <c r="AB10" s="97">
        <v>1280</v>
      </c>
      <c r="AC10" s="97">
        <v>3400</v>
      </c>
    </row>
    <row r="11" spans="1:29" s="34" customFormat="1" ht="21.75" customHeight="1" x14ac:dyDescent="0.35">
      <c r="A11" s="25">
        <v>7</v>
      </c>
      <c r="B11" s="98" t="s">
        <v>18</v>
      </c>
      <c r="C11" s="27"/>
      <c r="D11" s="97"/>
      <c r="E11" s="97"/>
      <c r="F11" s="97"/>
      <c r="G11" s="97"/>
      <c r="H11" s="97"/>
      <c r="I11" s="97">
        <v>40</v>
      </c>
      <c r="J11" s="97">
        <v>109</v>
      </c>
      <c r="K11" s="97">
        <v>149</v>
      </c>
      <c r="L11" s="97">
        <v>124</v>
      </c>
      <c r="M11" s="97">
        <v>965</v>
      </c>
      <c r="N11" s="97">
        <v>1089</v>
      </c>
      <c r="O11" s="97">
        <v>459</v>
      </c>
      <c r="P11" s="97">
        <v>184</v>
      </c>
      <c r="Q11" s="97">
        <v>643</v>
      </c>
      <c r="R11" s="97">
        <v>2632</v>
      </c>
      <c r="S11" s="97">
        <v>4960</v>
      </c>
      <c r="T11" s="97">
        <v>7592</v>
      </c>
      <c r="U11" s="97">
        <v>1</v>
      </c>
      <c r="V11" s="97">
        <v>1</v>
      </c>
      <c r="W11" s="97">
        <v>2</v>
      </c>
      <c r="X11" s="97"/>
      <c r="Y11" s="97"/>
      <c r="Z11" s="97"/>
      <c r="AA11" s="97">
        <v>3256</v>
      </c>
      <c r="AB11" s="97">
        <v>6219</v>
      </c>
      <c r="AC11" s="97">
        <v>9475</v>
      </c>
    </row>
    <row r="12" spans="1:29" s="34" customFormat="1" ht="21.75" customHeight="1" x14ac:dyDescent="0.35">
      <c r="A12" s="25">
        <v>8</v>
      </c>
      <c r="B12" s="98" t="s">
        <v>19</v>
      </c>
      <c r="C12" s="97">
        <v>63</v>
      </c>
      <c r="D12" s="97">
        <v>26</v>
      </c>
      <c r="E12" s="97">
        <v>89</v>
      </c>
      <c r="F12" s="97"/>
      <c r="G12" s="97"/>
      <c r="H12" s="97"/>
      <c r="I12" s="97">
        <v>396</v>
      </c>
      <c r="J12" s="97">
        <v>430</v>
      </c>
      <c r="K12" s="97">
        <v>826</v>
      </c>
      <c r="L12" s="97">
        <v>1005</v>
      </c>
      <c r="M12" s="97">
        <v>818</v>
      </c>
      <c r="N12" s="97">
        <v>1823</v>
      </c>
      <c r="O12" s="97">
        <v>3130</v>
      </c>
      <c r="P12" s="97">
        <v>2438</v>
      </c>
      <c r="Q12" s="97">
        <v>5568</v>
      </c>
      <c r="R12" s="97">
        <v>5195</v>
      </c>
      <c r="S12" s="97">
        <v>7699</v>
      </c>
      <c r="T12" s="97">
        <v>12894</v>
      </c>
      <c r="U12" s="97">
        <v>29</v>
      </c>
      <c r="V12" s="97">
        <v>75</v>
      </c>
      <c r="W12" s="97">
        <v>104</v>
      </c>
      <c r="X12" s="97"/>
      <c r="Y12" s="97"/>
      <c r="Z12" s="97"/>
      <c r="AA12" s="97">
        <v>9818</v>
      </c>
      <c r="AB12" s="97">
        <v>11486</v>
      </c>
      <c r="AC12" s="97">
        <v>21304</v>
      </c>
    </row>
    <row r="13" spans="1:29" s="34" customFormat="1" ht="21.75" customHeight="1" x14ac:dyDescent="0.35">
      <c r="A13" s="25">
        <v>9</v>
      </c>
      <c r="B13" s="98" t="s">
        <v>20</v>
      </c>
      <c r="C13" s="97">
        <v>11</v>
      </c>
      <c r="D13" s="97">
        <v>14</v>
      </c>
      <c r="E13" s="97">
        <v>25</v>
      </c>
      <c r="F13" s="97"/>
      <c r="G13" s="97"/>
      <c r="H13" s="97"/>
      <c r="I13" s="97">
        <v>789</v>
      </c>
      <c r="J13" s="97">
        <v>346</v>
      </c>
      <c r="K13" s="97">
        <v>1135</v>
      </c>
      <c r="L13" s="97">
        <v>814</v>
      </c>
      <c r="M13" s="97">
        <v>282</v>
      </c>
      <c r="N13" s="97">
        <v>1096</v>
      </c>
      <c r="O13" s="97">
        <v>25</v>
      </c>
      <c r="P13" s="97">
        <v>6</v>
      </c>
      <c r="Q13" s="97">
        <v>31</v>
      </c>
      <c r="R13" s="97">
        <v>3250</v>
      </c>
      <c r="S13" s="97">
        <v>920</v>
      </c>
      <c r="T13" s="97">
        <v>4170</v>
      </c>
      <c r="U13" s="97">
        <v>397</v>
      </c>
      <c r="V13" s="97">
        <v>168</v>
      </c>
      <c r="W13" s="97">
        <v>565</v>
      </c>
      <c r="X13" s="97"/>
      <c r="Y13" s="97"/>
      <c r="Z13" s="97"/>
      <c r="AA13" s="97">
        <v>5286</v>
      </c>
      <c r="AB13" s="97">
        <v>1736</v>
      </c>
      <c r="AC13" s="97">
        <v>7022</v>
      </c>
    </row>
    <row r="14" spans="1:29" s="34" customFormat="1" ht="21.75" customHeight="1" x14ac:dyDescent="0.35">
      <c r="A14" s="25">
        <v>10</v>
      </c>
      <c r="B14" s="98" t="s">
        <v>21</v>
      </c>
      <c r="C14" s="97">
        <v>99</v>
      </c>
      <c r="D14" s="97">
        <v>87</v>
      </c>
      <c r="E14" s="97">
        <v>186</v>
      </c>
      <c r="F14" s="97"/>
      <c r="G14" s="97"/>
      <c r="H14" s="97"/>
      <c r="I14" s="97">
        <v>640</v>
      </c>
      <c r="J14" s="97">
        <v>628</v>
      </c>
      <c r="K14" s="97">
        <v>1268</v>
      </c>
      <c r="L14" s="97">
        <v>1860</v>
      </c>
      <c r="M14" s="97">
        <v>3506</v>
      </c>
      <c r="N14" s="97">
        <v>5366</v>
      </c>
      <c r="O14" s="97">
        <v>804</v>
      </c>
      <c r="P14" s="97">
        <v>444</v>
      </c>
      <c r="Q14" s="97">
        <v>1248</v>
      </c>
      <c r="R14" s="97">
        <v>6938</v>
      </c>
      <c r="S14" s="97">
        <v>27514</v>
      </c>
      <c r="T14" s="97">
        <v>34452</v>
      </c>
      <c r="U14" s="97">
        <v>397</v>
      </c>
      <c r="V14" s="97">
        <v>651</v>
      </c>
      <c r="W14" s="97">
        <v>1048</v>
      </c>
      <c r="X14" s="97"/>
      <c r="Y14" s="97"/>
      <c r="Z14" s="97"/>
      <c r="AA14" s="97">
        <v>10738</v>
      </c>
      <c r="AB14" s="97">
        <v>32830</v>
      </c>
      <c r="AC14" s="97">
        <v>43568</v>
      </c>
    </row>
    <row r="15" spans="1:29" s="34" customFormat="1" ht="21.75" customHeight="1" x14ac:dyDescent="0.35">
      <c r="A15" s="25">
        <v>11</v>
      </c>
      <c r="B15" s="98" t="s">
        <v>22</v>
      </c>
      <c r="C15" s="97">
        <v>81</v>
      </c>
      <c r="D15" s="97">
        <v>87</v>
      </c>
      <c r="E15" s="97">
        <v>168</v>
      </c>
      <c r="F15" s="97"/>
      <c r="G15" s="97"/>
      <c r="H15" s="97"/>
      <c r="I15" s="97">
        <v>1445</v>
      </c>
      <c r="J15" s="97">
        <v>820</v>
      </c>
      <c r="K15" s="97">
        <v>2265</v>
      </c>
      <c r="L15" s="97">
        <v>1577</v>
      </c>
      <c r="M15" s="97">
        <v>1204</v>
      </c>
      <c r="N15" s="97">
        <v>2781</v>
      </c>
      <c r="O15" s="97">
        <v>660</v>
      </c>
      <c r="P15" s="97">
        <v>322</v>
      </c>
      <c r="Q15" s="97">
        <v>982</v>
      </c>
      <c r="R15" s="97">
        <v>46646</v>
      </c>
      <c r="S15" s="97">
        <v>17782</v>
      </c>
      <c r="T15" s="97">
        <v>64428</v>
      </c>
      <c r="U15" s="97">
        <v>182</v>
      </c>
      <c r="V15" s="97">
        <v>24</v>
      </c>
      <c r="W15" s="97">
        <v>206</v>
      </c>
      <c r="X15" s="97"/>
      <c r="Y15" s="97"/>
      <c r="Z15" s="97"/>
      <c r="AA15" s="97">
        <v>50591</v>
      </c>
      <c r="AB15" s="97">
        <v>20239</v>
      </c>
      <c r="AC15" s="97">
        <v>70830</v>
      </c>
    </row>
    <row r="16" spans="1:29" s="34" customFormat="1" ht="21.75" customHeight="1" x14ac:dyDescent="0.35">
      <c r="A16" s="25">
        <v>12</v>
      </c>
      <c r="B16" s="98" t="s">
        <v>23</v>
      </c>
      <c r="C16" s="97"/>
      <c r="D16" s="97"/>
      <c r="E16" s="97"/>
      <c r="F16" s="97"/>
      <c r="G16" s="97"/>
      <c r="H16" s="97"/>
      <c r="I16" s="97">
        <v>7</v>
      </c>
      <c r="J16" s="97">
        <v>3</v>
      </c>
      <c r="K16" s="97">
        <v>10</v>
      </c>
      <c r="L16" s="97">
        <v>1070</v>
      </c>
      <c r="M16" s="97">
        <v>1455</v>
      </c>
      <c r="N16" s="97">
        <v>2525</v>
      </c>
      <c r="O16" s="97">
        <v>32</v>
      </c>
      <c r="P16" s="97">
        <v>65</v>
      </c>
      <c r="Q16" s="97">
        <v>97</v>
      </c>
      <c r="R16" s="97">
        <v>6603</v>
      </c>
      <c r="S16" s="97">
        <v>4696</v>
      </c>
      <c r="T16" s="97">
        <v>11299</v>
      </c>
      <c r="U16" s="97">
        <v>55</v>
      </c>
      <c r="V16" s="97">
        <v>1</v>
      </c>
      <c r="W16" s="97">
        <v>56</v>
      </c>
      <c r="X16" s="97"/>
      <c r="Y16" s="97"/>
      <c r="Z16" s="97"/>
      <c r="AA16" s="97">
        <v>7767</v>
      </c>
      <c r="AB16" s="97">
        <v>6220</v>
      </c>
      <c r="AC16" s="97">
        <v>13987</v>
      </c>
    </row>
    <row r="17" spans="1:29" s="34" customFormat="1" ht="21.75" customHeight="1" x14ac:dyDescent="0.35">
      <c r="A17" s="25">
        <v>13</v>
      </c>
      <c r="B17" s="98" t="s">
        <v>24</v>
      </c>
      <c r="C17" s="97"/>
      <c r="D17" s="97"/>
      <c r="E17" s="97"/>
      <c r="F17" s="97"/>
      <c r="G17" s="97"/>
      <c r="H17" s="97"/>
      <c r="I17" s="97">
        <v>9</v>
      </c>
      <c r="J17" s="97">
        <v>40</v>
      </c>
      <c r="K17" s="97">
        <v>49</v>
      </c>
      <c r="L17" s="97">
        <v>626</v>
      </c>
      <c r="M17" s="97">
        <v>1201</v>
      </c>
      <c r="N17" s="97">
        <v>1827</v>
      </c>
      <c r="O17" s="97">
        <v>22</v>
      </c>
      <c r="P17" s="97">
        <v>43</v>
      </c>
      <c r="Q17" s="97">
        <v>65</v>
      </c>
      <c r="R17" s="97">
        <v>9611</v>
      </c>
      <c r="S17" s="97">
        <v>9705</v>
      </c>
      <c r="T17" s="97">
        <v>19316</v>
      </c>
      <c r="U17" s="97">
        <v>119</v>
      </c>
      <c r="V17" s="97">
        <v>172</v>
      </c>
      <c r="W17" s="97">
        <v>291</v>
      </c>
      <c r="X17" s="97"/>
      <c r="Y17" s="97"/>
      <c r="Z17" s="97"/>
      <c r="AA17" s="97">
        <v>10387</v>
      </c>
      <c r="AB17" s="97">
        <v>11161</v>
      </c>
      <c r="AC17" s="97">
        <v>21548</v>
      </c>
    </row>
    <row r="18" spans="1:29" s="34" customFormat="1" ht="21.75" customHeight="1" x14ac:dyDescent="0.35">
      <c r="A18" s="25">
        <v>14</v>
      </c>
      <c r="B18" s="98" t="s">
        <v>25</v>
      </c>
      <c r="C18" s="97">
        <v>117</v>
      </c>
      <c r="D18" s="97">
        <v>48</v>
      </c>
      <c r="E18" s="97">
        <v>165</v>
      </c>
      <c r="F18" s="97"/>
      <c r="G18" s="97"/>
      <c r="H18" s="97"/>
      <c r="I18" s="97">
        <v>319</v>
      </c>
      <c r="J18" s="97">
        <v>336</v>
      </c>
      <c r="K18" s="97">
        <v>655</v>
      </c>
      <c r="L18" s="97">
        <v>911</v>
      </c>
      <c r="M18" s="97">
        <v>1926</v>
      </c>
      <c r="N18" s="97">
        <v>2837</v>
      </c>
      <c r="O18" s="97">
        <v>957</v>
      </c>
      <c r="P18" s="97">
        <v>523</v>
      </c>
      <c r="Q18" s="97">
        <v>1480</v>
      </c>
      <c r="R18" s="97">
        <v>10846</v>
      </c>
      <c r="S18" s="97">
        <v>16452</v>
      </c>
      <c r="T18" s="97">
        <v>27298</v>
      </c>
      <c r="U18" s="97">
        <v>546</v>
      </c>
      <c r="V18" s="97">
        <v>356</v>
      </c>
      <c r="W18" s="97">
        <v>902</v>
      </c>
      <c r="X18" s="97"/>
      <c r="Y18" s="97"/>
      <c r="Z18" s="97"/>
      <c r="AA18" s="97">
        <v>13696</v>
      </c>
      <c r="AB18" s="97">
        <v>19641</v>
      </c>
      <c r="AC18" s="97">
        <v>33337</v>
      </c>
    </row>
    <row r="19" spans="1:29" s="34" customFormat="1" ht="21.75" customHeight="1" x14ac:dyDescent="0.35">
      <c r="A19" s="25">
        <v>15</v>
      </c>
      <c r="B19" s="98" t="s">
        <v>26</v>
      </c>
      <c r="C19" s="97"/>
      <c r="D19" s="97"/>
      <c r="E19" s="97"/>
      <c r="F19" s="97"/>
      <c r="G19" s="97"/>
      <c r="H19" s="97"/>
      <c r="I19" s="97">
        <v>1343</v>
      </c>
      <c r="J19" s="97">
        <v>1005</v>
      </c>
      <c r="K19" s="97">
        <v>2348</v>
      </c>
      <c r="L19" s="97">
        <v>384</v>
      </c>
      <c r="M19" s="97">
        <v>1085</v>
      </c>
      <c r="N19" s="97">
        <v>1469</v>
      </c>
      <c r="O19" s="97">
        <v>1757</v>
      </c>
      <c r="P19" s="97">
        <v>1206</v>
      </c>
      <c r="Q19" s="97">
        <v>2963</v>
      </c>
      <c r="R19" s="97">
        <v>149155</v>
      </c>
      <c r="S19" s="97">
        <v>92582</v>
      </c>
      <c r="T19" s="97">
        <v>241737</v>
      </c>
      <c r="U19" s="97">
        <v>42</v>
      </c>
      <c r="V19" s="97">
        <v>43</v>
      </c>
      <c r="W19" s="97">
        <v>85</v>
      </c>
      <c r="X19" s="97"/>
      <c r="Y19" s="97"/>
      <c r="Z19" s="97"/>
      <c r="AA19" s="97">
        <v>152681</v>
      </c>
      <c r="AB19" s="97">
        <v>95921</v>
      </c>
      <c r="AC19" s="97">
        <v>248602</v>
      </c>
    </row>
    <row r="20" spans="1:29" s="34" customFormat="1" ht="21.75" customHeight="1" x14ac:dyDescent="0.35">
      <c r="A20" s="25">
        <v>16</v>
      </c>
      <c r="B20" s="98" t="s">
        <v>27</v>
      </c>
      <c r="C20" s="97">
        <v>4</v>
      </c>
      <c r="D20" s="97">
        <v>5</v>
      </c>
      <c r="E20" s="97">
        <v>9</v>
      </c>
      <c r="F20" s="97"/>
      <c r="G20" s="97"/>
      <c r="H20" s="97"/>
      <c r="I20" s="97">
        <v>310</v>
      </c>
      <c r="J20" s="97">
        <v>281</v>
      </c>
      <c r="K20" s="97">
        <v>591</v>
      </c>
      <c r="L20" s="97">
        <v>399</v>
      </c>
      <c r="M20" s="97">
        <v>606</v>
      </c>
      <c r="N20" s="97">
        <v>1005</v>
      </c>
      <c r="O20" s="97">
        <v>431</v>
      </c>
      <c r="P20" s="97">
        <v>842</v>
      </c>
      <c r="Q20" s="97">
        <v>1273</v>
      </c>
      <c r="R20" s="97">
        <v>48303</v>
      </c>
      <c r="S20" s="97">
        <v>33193</v>
      </c>
      <c r="T20" s="97">
        <v>81496</v>
      </c>
      <c r="U20" s="97">
        <v>1128</v>
      </c>
      <c r="V20" s="97">
        <v>714</v>
      </c>
      <c r="W20" s="97">
        <v>1842</v>
      </c>
      <c r="X20" s="97"/>
      <c r="Y20" s="97"/>
      <c r="Z20" s="97"/>
      <c r="AA20" s="97">
        <v>50575</v>
      </c>
      <c r="AB20" s="97">
        <v>35641</v>
      </c>
      <c r="AC20" s="97">
        <v>86216</v>
      </c>
    </row>
    <row r="21" spans="1:29" s="34" customFormat="1" ht="21.75" customHeight="1" x14ac:dyDescent="0.35">
      <c r="A21" s="25">
        <v>17</v>
      </c>
      <c r="B21" s="65" t="s">
        <v>28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>
        <v>274</v>
      </c>
      <c r="S21" s="97">
        <v>521</v>
      </c>
      <c r="T21" s="97">
        <v>795</v>
      </c>
      <c r="U21" s="97">
        <v>111</v>
      </c>
      <c r="V21" s="97">
        <v>82</v>
      </c>
      <c r="W21" s="97">
        <v>193</v>
      </c>
      <c r="X21" s="97"/>
      <c r="Y21" s="97"/>
      <c r="Z21" s="97"/>
      <c r="AA21" s="97">
        <v>385</v>
      </c>
      <c r="AB21" s="97">
        <v>603</v>
      </c>
      <c r="AC21" s="97">
        <v>988</v>
      </c>
    </row>
    <row r="22" spans="1:29" s="34" customFormat="1" ht="21.75" customHeight="1" x14ac:dyDescent="0.35">
      <c r="A22" s="25">
        <v>18</v>
      </c>
      <c r="B22" s="98" t="s">
        <v>82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</row>
    <row r="23" spans="1:29" s="34" customFormat="1" ht="21.75" customHeight="1" x14ac:dyDescent="0.35">
      <c r="A23" s="25">
        <v>19</v>
      </c>
      <c r="B23" s="98" t="s">
        <v>29</v>
      </c>
      <c r="C23" s="97">
        <v>17</v>
      </c>
      <c r="D23" s="97">
        <v>16</v>
      </c>
      <c r="E23" s="97">
        <v>33</v>
      </c>
      <c r="F23" s="97">
        <v>1</v>
      </c>
      <c r="G23" s="97">
        <v>9</v>
      </c>
      <c r="H23" s="97">
        <v>10</v>
      </c>
      <c r="I23" s="97">
        <v>2054</v>
      </c>
      <c r="J23" s="97">
        <v>1634</v>
      </c>
      <c r="K23" s="97">
        <v>3688</v>
      </c>
      <c r="L23" s="97">
        <v>3194</v>
      </c>
      <c r="M23" s="97">
        <v>4246</v>
      </c>
      <c r="N23" s="97">
        <v>7440</v>
      </c>
      <c r="O23" s="97">
        <v>2096</v>
      </c>
      <c r="P23" s="97">
        <v>1173</v>
      </c>
      <c r="Q23" s="97">
        <v>3269</v>
      </c>
      <c r="R23" s="97">
        <v>28038</v>
      </c>
      <c r="S23" s="97">
        <v>20170</v>
      </c>
      <c r="T23" s="97">
        <v>48208</v>
      </c>
      <c r="U23" s="97">
        <v>144</v>
      </c>
      <c r="V23" s="97">
        <v>199</v>
      </c>
      <c r="W23" s="97">
        <v>343</v>
      </c>
      <c r="X23" s="97">
        <v>96</v>
      </c>
      <c r="Y23" s="97">
        <v>138</v>
      </c>
      <c r="Z23" s="97">
        <v>234</v>
      </c>
      <c r="AA23" s="97">
        <v>35640</v>
      </c>
      <c r="AB23" s="97">
        <v>27585</v>
      </c>
      <c r="AC23" s="97">
        <v>63225</v>
      </c>
    </row>
    <row r="24" spans="1:29" s="34" customFormat="1" ht="21.75" customHeight="1" x14ac:dyDescent="0.35">
      <c r="A24" s="25">
        <v>20</v>
      </c>
      <c r="B24" s="98" t="s">
        <v>30</v>
      </c>
      <c r="C24" s="97">
        <v>3</v>
      </c>
      <c r="D24" s="97"/>
      <c r="E24" s="97">
        <v>3</v>
      </c>
      <c r="F24" s="97"/>
      <c r="G24" s="97"/>
      <c r="H24" s="97"/>
      <c r="I24" s="97">
        <v>2290</v>
      </c>
      <c r="J24" s="97">
        <v>1526</v>
      </c>
      <c r="K24" s="97">
        <v>3816</v>
      </c>
      <c r="L24" s="97">
        <v>12256</v>
      </c>
      <c r="M24" s="97">
        <v>11078</v>
      </c>
      <c r="N24" s="97">
        <v>23334</v>
      </c>
      <c r="O24" s="97">
        <v>6511</v>
      </c>
      <c r="P24" s="97">
        <v>4313</v>
      </c>
      <c r="Q24" s="97">
        <v>10824</v>
      </c>
      <c r="R24" s="97">
        <v>188183</v>
      </c>
      <c r="S24" s="97">
        <v>164849</v>
      </c>
      <c r="T24" s="97">
        <v>353032</v>
      </c>
      <c r="U24" s="97">
        <v>1367</v>
      </c>
      <c r="V24" s="97">
        <v>1177</v>
      </c>
      <c r="W24" s="97">
        <v>2544</v>
      </c>
      <c r="X24" s="97"/>
      <c r="Y24" s="97"/>
      <c r="Z24" s="97"/>
      <c r="AA24" s="97">
        <v>210610</v>
      </c>
      <c r="AB24" s="97">
        <v>182943</v>
      </c>
      <c r="AC24" s="97">
        <v>393553</v>
      </c>
    </row>
    <row r="25" spans="1:29" s="34" customFormat="1" ht="21.75" customHeight="1" x14ac:dyDescent="0.35">
      <c r="A25" s="25">
        <v>21</v>
      </c>
      <c r="B25" s="98" t="s">
        <v>31</v>
      </c>
      <c r="C25" s="97"/>
      <c r="D25" s="97"/>
      <c r="E25" s="97"/>
      <c r="F25" s="97"/>
      <c r="G25" s="97"/>
      <c r="H25" s="97"/>
      <c r="I25" s="97"/>
      <c r="J25" s="97"/>
      <c r="K25" s="97"/>
      <c r="L25" s="97">
        <v>79</v>
      </c>
      <c r="M25" s="97">
        <v>337</v>
      </c>
      <c r="N25" s="97">
        <v>416</v>
      </c>
      <c r="O25" s="97">
        <v>197</v>
      </c>
      <c r="P25" s="97">
        <v>100</v>
      </c>
      <c r="Q25" s="97">
        <v>297</v>
      </c>
      <c r="R25" s="97">
        <v>780</v>
      </c>
      <c r="S25" s="97">
        <v>2053</v>
      </c>
      <c r="T25" s="97">
        <v>2833</v>
      </c>
      <c r="U25" s="97">
        <v>23</v>
      </c>
      <c r="V25" s="97">
        <v>34</v>
      </c>
      <c r="W25" s="97">
        <v>57</v>
      </c>
      <c r="X25" s="97"/>
      <c r="Y25" s="97"/>
      <c r="Z25" s="97"/>
      <c r="AA25" s="97">
        <v>1079</v>
      </c>
      <c r="AB25" s="97">
        <v>2524</v>
      </c>
      <c r="AC25" s="97">
        <v>3603</v>
      </c>
    </row>
    <row r="26" spans="1:29" s="34" customFormat="1" ht="21.75" customHeight="1" x14ac:dyDescent="0.35">
      <c r="A26" s="25">
        <v>22</v>
      </c>
      <c r="B26" s="98" t="s">
        <v>32</v>
      </c>
      <c r="C26" s="97"/>
      <c r="D26" s="97"/>
      <c r="E26" s="97"/>
      <c r="F26" s="97"/>
      <c r="G26" s="97"/>
      <c r="H26" s="97"/>
      <c r="I26" s="97"/>
      <c r="J26" s="97"/>
      <c r="K26" s="97"/>
      <c r="L26" s="97">
        <v>402</v>
      </c>
      <c r="M26" s="97">
        <v>680</v>
      </c>
      <c r="N26" s="97">
        <v>1082</v>
      </c>
      <c r="O26" s="97"/>
      <c r="P26" s="97"/>
      <c r="Q26" s="97"/>
      <c r="R26" s="97">
        <v>944</v>
      </c>
      <c r="S26" s="97">
        <v>1814</v>
      </c>
      <c r="T26" s="97">
        <v>2758</v>
      </c>
      <c r="U26" s="97"/>
      <c r="V26" s="97"/>
      <c r="W26" s="97"/>
      <c r="X26" s="97"/>
      <c r="Y26" s="97"/>
      <c r="Z26" s="97"/>
      <c r="AA26" s="97">
        <v>1346</v>
      </c>
      <c r="AB26" s="97">
        <v>2494</v>
      </c>
      <c r="AC26" s="97">
        <v>3840</v>
      </c>
    </row>
    <row r="27" spans="1:29" s="34" customFormat="1" ht="21.75" customHeight="1" x14ac:dyDescent="0.35">
      <c r="A27" s="25">
        <v>23</v>
      </c>
      <c r="B27" s="98" t="s">
        <v>33</v>
      </c>
      <c r="C27" s="97"/>
      <c r="D27" s="97"/>
      <c r="E27" s="97"/>
      <c r="F27" s="97"/>
      <c r="G27" s="97"/>
      <c r="H27" s="97"/>
      <c r="I27" s="97"/>
      <c r="J27" s="97"/>
      <c r="K27" s="97"/>
      <c r="L27" s="97">
        <v>103</v>
      </c>
      <c r="M27" s="97">
        <v>116</v>
      </c>
      <c r="N27" s="97">
        <v>219</v>
      </c>
      <c r="O27" s="97"/>
      <c r="P27" s="97"/>
      <c r="Q27" s="97"/>
      <c r="R27" s="97">
        <v>4115</v>
      </c>
      <c r="S27" s="97">
        <v>5298</v>
      </c>
      <c r="T27" s="97">
        <v>9413</v>
      </c>
      <c r="U27" s="97">
        <v>271</v>
      </c>
      <c r="V27" s="97">
        <v>251</v>
      </c>
      <c r="W27" s="97">
        <v>522</v>
      </c>
      <c r="X27" s="97"/>
      <c r="Y27" s="97"/>
      <c r="Z27" s="97"/>
      <c r="AA27" s="97">
        <v>4489</v>
      </c>
      <c r="AB27" s="97">
        <v>5665</v>
      </c>
      <c r="AC27" s="97">
        <v>10154</v>
      </c>
    </row>
    <row r="28" spans="1:29" s="34" customFormat="1" ht="21.75" customHeight="1" x14ac:dyDescent="0.35">
      <c r="A28" s="25">
        <v>24</v>
      </c>
      <c r="B28" s="98" t="s">
        <v>34</v>
      </c>
      <c r="C28" s="97"/>
      <c r="D28" s="97"/>
      <c r="E28" s="97"/>
      <c r="F28" s="97"/>
      <c r="G28" s="97"/>
      <c r="H28" s="97"/>
      <c r="I28" s="97"/>
      <c r="J28" s="97"/>
      <c r="K28" s="97"/>
      <c r="L28" s="97">
        <v>16</v>
      </c>
      <c r="M28" s="97">
        <v>17</v>
      </c>
      <c r="N28" s="97">
        <v>33</v>
      </c>
      <c r="O28" s="97"/>
      <c r="P28" s="97"/>
      <c r="Q28" s="97"/>
      <c r="R28" s="97">
        <v>806</v>
      </c>
      <c r="S28" s="97">
        <v>1369</v>
      </c>
      <c r="T28" s="97">
        <v>2175</v>
      </c>
      <c r="U28" s="97">
        <v>0</v>
      </c>
      <c r="V28" s="97">
        <v>57</v>
      </c>
      <c r="W28" s="97">
        <v>57</v>
      </c>
      <c r="X28" s="97"/>
      <c r="Y28" s="97"/>
      <c r="Z28" s="97"/>
      <c r="AA28" s="97">
        <v>822</v>
      </c>
      <c r="AB28" s="97">
        <v>1443</v>
      </c>
      <c r="AC28" s="97">
        <v>2265</v>
      </c>
    </row>
    <row r="29" spans="1:29" s="34" customFormat="1" ht="21.75" customHeight="1" x14ac:dyDescent="0.35">
      <c r="A29" s="25">
        <v>25</v>
      </c>
      <c r="B29" s="98" t="s">
        <v>35</v>
      </c>
      <c r="C29" s="97">
        <v>7</v>
      </c>
      <c r="D29" s="97">
        <v>4</v>
      </c>
      <c r="E29" s="97">
        <v>11</v>
      </c>
      <c r="F29" s="97"/>
      <c r="G29" s="97"/>
      <c r="H29" s="97"/>
      <c r="I29" s="97">
        <v>1348</v>
      </c>
      <c r="J29" s="97">
        <v>1136</v>
      </c>
      <c r="K29" s="97">
        <v>2484</v>
      </c>
      <c r="L29" s="97">
        <v>2670</v>
      </c>
      <c r="M29" s="97">
        <v>3109</v>
      </c>
      <c r="N29" s="97">
        <v>5779</v>
      </c>
      <c r="O29" s="97">
        <v>860</v>
      </c>
      <c r="P29" s="97">
        <v>549</v>
      </c>
      <c r="Q29" s="97">
        <v>1409</v>
      </c>
      <c r="R29" s="97">
        <v>103485</v>
      </c>
      <c r="S29" s="97">
        <v>48818</v>
      </c>
      <c r="T29" s="97">
        <v>152303</v>
      </c>
      <c r="U29" s="97">
        <v>180</v>
      </c>
      <c r="V29" s="97">
        <v>438</v>
      </c>
      <c r="W29" s="97">
        <v>618</v>
      </c>
      <c r="X29" s="97"/>
      <c r="Y29" s="97"/>
      <c r="Z29" s="97"/>
      <c r="AA29" s="97">
        <v>108550</v>
      </c>
      <c r="AB29" s="97">
        <v>54054</v>
      </c>
      <c r="AC29" s="97">
        <v>162604</v>
      </c>
    </row>
    <row r="30" spans="1:29" s="34" customFormat="1" ht="21.75" customHeight="1" x14ac:dyDescent="0.35">
      <c r="A30" s="25">
        <v>26</v>
      </c>
      <c r="B30" s="98" t="s">
        <v>36</v>
      </c>
      <c r="C30" s="97"/>
      <c r="D30" s="97"/>
      <c r="E30" s="97"/>
      <c r="F30" s="97"/>
      <c r="G30" s="97"/>
      <c r="H30" s="97"/>
      <c r="I30" s="97"/>
      <c r="J30" s="97"/>
      <c r="K30" s="97"/>
      <c r="L30" s="97">
        <v>91</v>
      </c>
      <c r="M30" s="97">
        <v>61</v>
      </c>
      <c r="N30" s="97">
        <v>152</v>
      </c>
      <c r="O30" s="97"/>
      <c r="P30" s="97"/>
      <c r="Q30" s="97"/>
      <c r="R30" s="97">
        <v>2261</v>
      </c>
      <c r="S30" s="97">
        <v>735</v>
      </c>
      <c r="T30" s="97">
        <v>2996</v>
      </c>
      <c r="U30" s="97"/>
      <c r="V30" s="97"/>
      <c r="W30" s="97"/>
      <c r="X30" s="97"/>
      <c r="Y30" s="97"/>
      <c r="Z30" s="97"/>
      <c r="AA30" s="97">
        <v>2352</v>
      </c>
      <c r="AB30" s="97">
        <v>796</v>
      </c>
      <c r="AC30" s="97">
        <v>3148</v>
      </c>
    </row>
    <row r="31" spans="1:29" s="34" customFormat="1" ht="21.75" customHeight="1" x14ac:dyDescent="0.35">
      <c r="A31" s="25">
        <v>27</v>
      </c>
      <c r="B31" s="98" t="s">
        <v>37</v>
      </c>
      <c r="C31" s="97"/>
      <c r="D31" s="97"/>
      <c r="E31" s="97"/>
      <c r="F31" s="97"/>
      <c r="G31" s="97"/>
      <c r="H31" s="97"/>
      <c r="I31" s="97">
        <v>1</v>
      </c>
      <c r="J31" s="97">
        <v>11</v>
      </c>
      <c r="K31" s="97">
        <v>12</v>
      </c>
      <c r="L31" s="97">
        <v>729</v>
      </c>
      <c r="M31" s="97">
        <v>702</v>
      </c>
      <c r="N31" s="97">
        <v>1431</v>
      </c>
      <c r="O31" s="97">
        <v>20</v>
      </c>
      <c r="P31" s="97"/>
      <c r="Q31" s="97">
        <v>20</v>
      </c>
      <c r="R31" s="97">
        <v>24448</v>
      </c>
      <c r="S31" s="97">
        <v>24255</v>
      </c>
      <c r="T31" s="97">
        <v>48703</v>
      </c>
      <c r="U31" s="97">
        <v>16</v>
      </c>
      <c r="V31" s="97">
        <v>18</v>
      </c>
      <c r="W31" s="97">
        <v>34</v>
      </c>
      <c r="X31" s="97"/>
      <c r="Y31" s="97"/>
      <c r="Z31" s="97"/>
      <c r="AA31" s="97">
        <v>25214</v>
      </c>
      <c r="AB31" s="97">
        <v>24986</v>
      </c>
      <c r="AC31" s="97">
        <v>50200</v>
      </c>
    </row>
    <row r="32" spans="1:29" s="34" customFormat="1" ht="21.75" customHeight="1" x14ac:dyDescent="0.35">
      <c r="A32" s="25">
        <v>28</v>
      </c>
      <c r="B32" s="98" t="s">
        <v>38</v>
      </c>
      <c r="C32" s="97"/>
      <c r="D32" s="97"/>
      <c r="E32" s="97"/>
      <c r="F32" s="97"/>
      <c r="G32" s="97"/>
      <c r="H32" s="97"/>
      <c r="I32" s="97">
        <v>40</v>
      </c>
      <c r="J32" s="97">
        <v>24</v>
      </c>
      <c r="K32" s="97">
        <v>64</v>
      </c>
      <c r="L32" s="97">
        <v>2051</v>
      </c>
      <c r="M32" s="97">
        <v>1950</v>
      </c>
      <c r="N32" s="97">
        <v>4001</v>
      </c>
      <c r="O32" s="97">
        <v>648</v>
      </c>
      <c r="P32" s="97">
        <v>483</v>
      </c>
      <c r="Q32" s="97">
        <v>1131</v>
      </c>
      <c r="R32" s="97">
        <v>49574</v>
      </c>
      <c r="S32" s="97">
        <v>27009</v>
      </c>
      <c r="T32" s="97">
        <v>76583</v>
      </c>
      <c r="U32" s="97">
        <v>424</v>
      </c>
      <c r="V32" s="97">
        <v>570</v>
      </c>
      <c r="W32" s="97">
        <v>994</v>
      </c>
      <c r="X32" s="97">
        <v>373</v>
      </c>
      <c r="Y32" s="97">
        <v>620</v>
      </c>
      <c r="Z32" s="97">
        <v>993</v>
      </c>
      <c r="AA32" s="97">
        <v>53110</v>
      </c>
      <c r="AB32" s="97">
        <v>30656</v>
      </c>
      <c r="AC32" s="97">
        <v>83766</v>
      </c>
    </row>
    <row r="33" spans="1:29" s="34" customFormat="1" ht="21.75" customHeight="1" x14ac:dyDescent="0.35">
      <c r="A33" s="25">
        <v>29</v>
      </c>
      <c r="B33" s="98" t="s">
        <v>39</v>
      </c>
      <c r="C33" s="97"/>
      <c r="D33" s="97"/>
      <c r="E33" s="97"/>
      <c r="F33" s="97"/>
      <c r="G33" s="97"/>
      <c r="H33" s="97"/>
      <c r="I33" s="97"/>
      <c r="J33" s="97"/>
      <c r="K33" s="97"/>
      <c r="L33" s="97">
        <v>44</v>
      </c>
      <c r="M33" s="97">
        <v>35</v>
      </c>
      <c r="N33" s="97">
        <v>79</v>
      </c>
      <c r="O33" s="97"/>
      <c r="P33" s="97"/>
      <c r="Q33" s="97"/>
      <c r="R33" s="97">
        <v>1207</v>
      </c>
      <c r="S33" s="97">
        <v>773</v>
      </c>
      <c r="T33" s="97">
        <v>1980</v>
      </c>
      <c r="U33" s="97"/>
      <c r="V33" s="97"/>
      <c r="W33" s="97"/>
      <c r="X33" s="97"/>
      <c r="Y33" s="97"/>
      <c r="Z33" s="97"/>
      <c r="AA33" s="97">
        <v>1251</v>
      </c>
      <c r="AB33" s="97">
        <v>808</v>
      </c>
      <c r="AC33" s="97">
        <v>2059</v>
      </c>
    </row>
    <row r="34" spans="1:29" s="34" customFormat="1" ht="21.75" customHeight="1" x14ac:dyDescent="0.35">
      <c r="A34" s="25">
        <v>30</v>
      </c>
      <c r="B34" s="98" t="s">
        <v>40</v>
      </c>
      <c r="C34" s="97"/>
      <c r="D34" s="97"/>
      <c r="E34" s="97"/>
      <c r="F34" s="97"/>
      <c r="G34" s="97"/>
      <c r="H34" s="97"/>
      <c r="I34" s="97">
        <v>614</v>
      </c>
      <c r="J34" s="97">
        <v>523</v>
      </c>
      <c r="K34" s="97">
        <v>1137</v>
      </c>
      <c r="L34" s="97">
        <v>935</v>
      </c>
      <c r="M34" s="97">
        <v>196</v>
      </c>
      <c r="N34" s="97">
        <v>1131</v>
      </c>
      <c r="O34" s="97">
        <v>695</v>
      </c>
      <c r="P34" s="97">
        <v>459</v>
      </c>
      <c r="Q34" s="97">
        <v>1154</v>
      </c>
      <c r="R34" s="97">
        <v>171668</v>
      </c>
      <c r="S34" s="97">
        <v>29832</v>
      </c>
      <c r="T34" s="97">
        <v>201500</v>
      </c>
      <c r="U34" s="97">
        <v>284</v>
      </c>
      <c r="V34" s="97">
        <v>515</v>
      </c>
      <c r="W34" s="97">
        <v>799</v>
      </c>
      <c r="X34" s="97"/>
      <c r="Y34" s="97"/>
      <c r="Z34" s="97"/>
      <c r="AA34" s="97">
        <v>174196</v>
      </c>
      <c r="AB34" s="97">
        <v>31525</v>
      </c>
      <c r="AC34" s="97">
        <v>205721</v>
      </c>
    </row>
    <row r="35" spans="1:29" s="34" customFormat="1" ht="21.75" customHeight="1" x14ac:dyDescent="0.35">
      <c r="A35" s="25">
        <v>31</v>
      </c>
      <c r="B35" s="98" t="s">
        <v>41</v>
      </c>
      <c r="C35" s="97">
        <v>1</v>
      </c>
      <c r="D35" s="97">
        <v>2</v>
      </c>
      <c r="E35" s="97">
        <v>3</v>
      </c>
      <c r="F35" s="97"/>
      <c r="G35" s="97"/>
      <c r="H35" s="97"/>
      <c r="I35" s="97">
        <v>31</v>
      </c>
      <c r="J35" s="97">
        <v>39</v>
      </c>
      <c r="K35" s="97">
        <v>70</v>
      </c>
      <c r="L35" s="97">
        <v>895</v>
      </c>
      <c r="M35" s="97">
        <v>545</v>
      </c>
      <c r="N35" s="97">
        <v>1440</v>
      </c>
      <c r="O35" s="97">
        <v>2016</v>
      </c>
      <c r="P35" s="97">
        <v>1647</v>
      </c>
      <c r="Q35" s="97">
        <v>3663</v>
      </c>
      <c r="R35" s="97">
        <v>33883</v>
      </c>
      <c r="S35" s="97">
        <v>30178</v>
      </c>
      <c r="T35" s="97">
        <v>64061</v>
      </c>
      <c r="U35" s="97">
        <v>66</v>
      </c>
      <c r="V35" s="97">
        <v>7</v>
      </c>
      <c r="W35" s="97">
        <v>73</v>
      </c>
      <c r="X35" s="97"/>
      <c r="Y35" s="97"/>
      <c r="Z35" s="97"/>
      <c r="AA35" s="97">
        <v>36892</v>
      </c>
      <c r="AB35" s="97">
        <v>32418</v>
      </c>
      <c r="AC35" s="97">
        <v>69310</v>
      </c>
    </row>
    <row r="36" spans="1:29" s="34" customFormat="1" ht="32.25" customHeight="1" x14ac:dyDescent="0.35">
      <c r="A36" s="25">
        <v>32</v>
      </c>
      <c r="B36" s="96" t="s">
        <v>58</v>
      </c>
      <c r="C36" s="97"/>
      <c r="D36" s="97"/>
      <c r="E36" s="97"/>
      <c r="F36" s="97"/>
      <c r="G36" s="97"/>
      <c r="H36" s="97"/>
      <c r="I36" s="97"/>
      <c r="J36" s="97"/>
      <c r="K36" s="97"/>
      <c r="L36" s="97">
        <v>21</v>
      </c>
      <c r="M36" s="97">
        <v>6</v>
      </c>
      <c r="N36" s="97">
        <v>27</v>
      </c>
      <c r="O36" s="97">
        <v>39</v>
      </c>
      <c r="P36" s="97">
        <v>17</v>
      </c>
      <c r="Q36" s="97">
        <v>56</v>
      </c>
      <c r="R36" s="97">
        <v>32</v>
      </c>
      <c r="S36" s="97">
        <v>8</v>
      </c>
      <c r="T36" s="97">
        <v>40</v>
      </c>
      <c r="U36" s="97"/>
      <c r="V36" s="97"/>
      <c r="W36" s="97"/>
      <c r="X36" s="97"/>
      <c r="Y36" s="97"/>
      <c r="Z36" s="97"/>
      <c r="AA36" s="97">
        <v>92</v>
      </c>
      <c r="AB36" s="97">
        <v>31</v>
      </c>
      <c r="AC36" s="97">
        <v>123</v>
      </c>
    </row>
    <row r="37" spans="1:29" s="34" customFormat="1" ht="21.75" customHeight="1" x14ac:dyDescent="0.35">
      <c r="A37" s="25">
        <v>33</v>
      </c>
      <c r="B37" s="98" t="s">
        <v>42</v>
      </c>
      <c r="C37" s="97"/>
      <c r="D37" s="97"/>
      <c r="E37" s="97"/>
      <c r="F37" s="97"/>
      <c r="G37" s="97"/>
      <c r="H37" s="97"/>
      <c r="I37" s="97"/>
      <c r="J37" s="97"/>
      <c r="K37" s="97"/>
      <c r="L37" s="97">
        <v>27</v>
      </c>
      <c r="M37" s="97">
        <v>108</v>
      </c>
      <c r="N37" s="97">
        <v>135</v>
      </c>
      <c r="O37" s="97"/>
      <c r="P37" s="97"/>
      <c r="Q37" s="97"/>
      <c r="R37" s="97">
        <v>687</v>
      </c>
      <c r="S37" s="97">
        <v>1025</v>
      </c>
      <c r="T37" s="97">
        <v>1712</v>
      </c>
      <c r="U37" s="97">
        <v>12</v>
      </c>
      <c r="V37" s="97">
        <v>50</v>
      </c>
      <c r="W37" s="97">
        <v>62</v>
      </c>
      <c r="X37" s="97"/>
      <c r="Y37" s="97"/>
      <c r="Z37" s="97"/>
      <c r="AA37" s="97">
        <v>726</v>
      </c>
      <c r="AB37" s="97">
        <v>1183</v>
      </c>
      <c r="AC37" s="97">
        <v>1909</v>
      </c>
    </row>
    <row r="38" spans="1:29" s="34" customFormat="1" ht="21.75" customHeight="1" x14ac:dyDescent="0.35">
      <c r="A38" s="25">
        <v>34</v>
      </c>
      <c r="B38" s="98" t="s">
        <v>43</v>
      </c>
      <c r="C38" s="97">
        <v>20</v>
      </c>
      <c r="D38" s="97">
        <v>13</v>
      </c>
      <c r="E38" s="97">
        <v>33</v>
      </c>
      <c r="F38" s="97"/>
      <c r="G38" s="97"/>
      <c r="H38" s="97"/>
      <c r="I38" s="97">
        <v>3038</v>
      </c>
      <c r="J38" s="97">
        <v>1726</v>
      </c>
      <c r="K38" s="97">
        <v>4764</v>
      </c>
      <c r="L38" s="97">
        <v>6803</v>
      </c>
      <c r="M38" s="97">
        <v>6105</v>
      </c>
      <c r="N38" s="97">
        <v>12908</v>
      </c>
      <c r="O38" s="97">
        <v>6311</v>
      </c>
      <c r="P38" s="97">
        <v>3541</v>
      </c>
      <c r="Q38" s="97">
        <v>9852</v>
      </c>
      <c r="R38" s="97">
        <v>162326</v>
      </c>
      <c r="S38" s="97">
        <v>93009</v>
      </c>
      <c r="T38" s="97">
        <v>255335</v>
      </c>
      <c r="U38" s="97">
        <v>921</v>
      </c>
      <c r="V38" s="97">
        <v>885</v>
      </c>
      <c r="W38" s="97">
        <v>1806</v>
      </c>
      <c r="X38" s="97"/>
      <c r="Y38" s="97"/>
      <c r="Z38" s="97"/>
      <c r="AA38" s="97">
        <v>179419</v>
      </c>
      <c r="AB38" s="97">
        <v>105279</v>
      </c>
      <c r="AC38" s="97">
        <v>284698</v>
      </c>
    </row>
    <row r="39" spans="1:29" s="34" customFormat="1" ht="21.75" customHeight="1" x14ac:dyDescent="0.35">
      <c r="A39" s="25">
        <v>35</v>
      </c>
      <c r="B39" s="98" t="s">
        <v>44</v>
      </c>
      <c r="C39" s="97"/>
      <c r="D39" s="97"/>
      <c r="E39" s="97"/>
      <c r="F39" s="97"/>
      <c r="G39" s="97"/>
      <c r="H39" s="97"/>
      <c r="I39" s="97">
        <v>154</v>
      </c>
      <c r="J39" s="97">
        <v>96</v>
      </c>
      <c r="K39" s="97">
        <v>250</v>
      </c>
      <c r="L39" s="97">
        <v>1305</v>
      </c>
      <c r="M39" s="97">
        <v>947</v>
      </c>
      <c r="N39" s="97">
        <v>2252</v>
      </c>
      <c r="O39" s="97"/>
      <c r="P39" s="97">
        <v>8</v>
      </c>
      <c r="Q39" s="97">
        <v>8</v>
      </c>
      <c r="R39" s="97">
        <v>16247</v>
      </c>
      <c r="S39" s="97">
        <v>5427</v>
      </c>
      <c r="T39" s="97">
        <v>21674</v>
      </c>
      <c r="U39" s="97">
        <v>141</v>
      </c>
      <c r="V39" s="97">
        <v>37</v>
      </c>
      <c r="W39" s="97">
        <v>178</v>
      </c>
      <c r="X39" s="97"/>
      <c r="Y39" s="97"/>
      <c r="Z39" s="97"/>
      <c r="AA39" s="97">
        <v>17847</v>
      </c>
      <c r="AB39" s="97">
        <v>6515</v>
      </c>
      <c r="AC39" s="97">
        <v>24362</v>
      </c>
    </row>
    <row r="40" spans="1:29" s="34" customFormat="1" ht="21.75" customHeight="1" x14ac:dyDescent="0.35">
      <c r="A40" s="25">
        <v>36</v>
      </c>
      <c r="B40" s="98" t="s">
        <v>45</v>
      </c>
      <c r="C40" s="97">
        <v>54</v>
      </c>
      <c r="D40" s="97">
        <v>32</v>
      </c>
      <c r="E40" s="97">
        <v>86</v>
      </c>
      <c r="F40" s="97"/>
      <c r="G40" s="97"/>
      <c r="H40" s="97"/>
      <c r="I40" s="97">
        <v>719</v>
      </c>
      <c r="J40" s="97">
        <v>576</v>
      </c>
      <c r="K40" s="97">
        <v>1295</v>
      </c>
      <c r="L40" s="97">
        <v>7994</v>
      </c>
      <c r="M40" s="97">
        <v>8848</v>
      </c>
      <c r="N40" s="97">
        <v>16842</v>
      </c>
      <c r="O40" s="97">
        <v>906</v>
      </c>
      <c r="P40" s="97">
        <v>433</v>
      </c>
      <c r="Q40" s="97">
        <v>1339</v>
      </c>
      <c r="R40" s="97">
        <v>89709</v>
      </c>
      <c r="S40" s="97">
        <v>48275</v>
      </c>
      <c r="T40" s="97">
        <v>137984</v>
      </c>
      <c r="U40" s="97">
        <v>43</v>
      </c>
      <c r="V40" s="97">
        <v>380</v>
      </c>
      <c r="W40" s="97">
        <v>423</v>
      </c>
      <c r="X40" s="97">
        <v>7</v>
      </c>
      <c r="Y40" s="97">
        <v>9</v>
      </c>
      <c r="Z40" s="97">
        <v>16</v>
      </c>
      <c r="AA40" s="97">
        <v>99432</v>
      </c>
      <c r="AB40" s="97">
        <v>58553</v>
      </c>
      <c r="AC40" s="97">
        <v>157985</v>
      </c>
    </row>
    <row r="41" spans="1:29" s="38" customFormat="1" ht="22.5" customHeight="1" x14ac:dyDescent="0.35">
      <c r="A41" s="695" t="s">
        <v>46</v>
      </c>
      <c r="B41" s="695"/>
      <c r="C41" s="99">
        <v>481</v>
      </c>
      <c r="D41" s="99">
        <v>338</v>
      </c>
      <c r="E41" s="99">
        <v>819</v>
      </c>
      <c r="F41" s="99">
        <v>1</v>
      </c>
      <c r="G41" s="99">
        <v>9</v>
      </c>
      <c r="H41" s="99">
        <v>10</v>
      </c>
      <c r="I41" s="99">
        <v>15819</v>
      </c>
      <c r="J41" s="99">
        <v>11450</v>
      </c>
      <c r="K41" s="99">
        <v>27269</v>
      </c>
      <c r="L41" s="99">
        <v>55187</v>
      </c>
      <c r="M41" s="99">
        <v>56597</v>
      </c>
      <c r="N41" s="99">
        <v>111784</v>
      </c>
      <c r="O41" s="99">
        <v>29159</v>
      </c>
      <c r="P41" s="99">
        <v>19202</v>
      </c>
      <c r="Q41" s="99">
        <v>48361</v>
      </c>
      <c r="R41" s="99">
        <v>1278587</v>
      </c>
      <c r="S41" s="99">
        <v>815913</v>
      </c>
      <c r="T41" s="99">
        <v>2094500</v>
      </c>
      <c r="U41" s="99">
        <v>7285</v>
      </c>
      <c r="V41" s="99">
        <v>7555</v>
      </c>
      <c r="W41" s="99">
        <v>14840</v>
      </c>
      <c r="X41" s="99">
        <v>476</v>
      </c>
      <c r="Y41" s="99">
        <v>767</v>
      </c>
      <c r="Z41" s="99">
        <v>1243</v>
      </c>
      <c r="AA41" s="99">
        <v>1386995</v>
      </c>
      <c r="AB41" s="99">
        <v>911831</v>
      </c>
      <c r="AC41" s="99">
        <v>2298826</v>
      </c>
    </row>
  </sheetData>
  <mergeCells count="15">
    <mergeCell ref="A41:B41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51181102362204722" right="0.15748031496062992" top="0.39370078740157483" bottom="0.39370078740157483" header="0.31496062992125984" footer="0.19685039370078741"/>
  <pageSetup paperSize="9" scale="85" firstPageNumber="14" orientation="portrait" r:id="rId1"/>
  <headerFooter>
    <oddFooter>&amp;L&amp;"Arial,Italic"&amp;9AISHE 2023-24&amp;RT-9a</oddFooter>
  </headerFooter>
  <colBreaks count="2" manualBreakCount="2">
    <brk id="11" max="40" man="1"/>
    <brk id="20" max="40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705C-19DF-4E34-8B6B-0291635B7C1B}">
  <dimension ref="A1:N41"/>
  <sheetViews>
    <sheetView view="pageBreakPreview" zoomScaleNormal="80" zoomScaleSheetLayoutView="100" workbookViewId="0">
      <selection activeCell="B16" sqref="B16:M16"/>
    </sheetView>
  </sheetViews>
  <sheetFormatPr defaultColWidth="9.453125" defaultRowHeight="15.5" x14ac:dyDescent="0.35"/>
  <cols>
    <col min="1" max="1" width="9.7265625" style="5" bestFit="1" customWidth="1"/>
    <col min="2" max="2" width="19" style="5" customWidth="1"/>
    <col min="3" max="14" width="13.54296875" style="5" customWidth="1"/>
    <col min="15" max="16384" width="9.453125" style="5"/>
  </cols>
  <sheetData>
    <row r="1" spans="1:14" s="100" customFormat="1" ht="24.75" customHeight="1" x14ac:dyDescent="0.3">
      <c r="A1" s="733" t="s">
        <v>994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</row>
    <row r="2" spans="1:14" s="102" customFormat="1" ht="15" x14ac:dyDescent="0.35">
      <c r="A2" s="734" t="s">
        <v>94</v>
      </c>
      <c r="B2" s="736" t="s">
        <v>885</v>
      </c>
      <c r="C2" s="736" t="s">
        <v>122</v>
      </c>
      <c r="D2" s="736"/>
      <c r="E2" s="736"/>
      <c r="F2" s="736" t="s">
        <v>50</v>
      </c>
      <c r="G2" s="736"/>
      <c r="H2" s="736"/>
      <c r="I2" s="736" t="s">
        <v>123</v>
      </c>
      <c r="J2" s="736"/>
      <c r="K2" s="736"/>
      <c r="L2" s="737" t="s">
        <v>12</v>
      </c>
      <c r="M2" s="738"/>
      <c r="N2" s="739"/>
    </row>
    <row r="3" spans="1:14" s="1" customFormat="1" x14ac:dyDescent="0.35">
      <c r="A3" s="735"/>
      <c r="B3" s="736"/>
      <c r="C3" s="2" t="s">
        <v>103</v>
      </c>
      <c r="D3" s="2" t="s">
        <v>104</v>
      </c>
      <c r="E3" s="2" t="s">
        <v>89</v>
      </c>
      <c r="F3" s="2" t="s">
        <v>103</v>
      </c>
      <c r="G3" s="2" t="s">
        <v>104</v>
      </c>
      <c r="H3" s="2" t="s">
        <v>89</v>
      </c>
      <c r="I3" s="2" t="s">
        <v>103</v>
      </c>
      <c r="J3" s="2" t="s">
        <v>104</v>
      </c>
      <c r="K3" s="2" t="s">
        <v>89</v>
      </c>
      <c r="L3" s="2" t="s">
        <v>103</v>
      </c>
      <c r="M3" s="2" t="s">
        <v>104</v>
      </c>
      <c r="N3" s="2" t="s">
        <v>89</v>
      </c>
    </row>
    <row r="4" spans="1:14" s="340" customFormat="1" ht="11.5" x14ac:dyDescent="0.35">
      <c r="A4" s="338">
        <v>1</v>
      </c>
      <c r="B4" s="338">
        <v>2</v>
      </c>
      <c r="C4" s="339">
        <v>3</v>
      </c>
      <c r="D4" s="339">
        <v>4</v>
      </c>
      <c r="E4" s="339">
        <v>5</v>
      </c>
      <c r="F4" s="339">
        <v>6</v>
      </c>
      <c r="G4" s="339">
        <v>7</v>
      </c>
      <c r="H4" s="339">
        <v>8</v>
      </c>
      <c r="I4" s="339">
        <v>9</v>
      </c>
      <c r="J4" s="339">
        <v>10</v>
      </c>
      <c r="K4" s="339">
        <v>11</v>
      </c>
      <c r="L4" s="339">
        <v>12</v>
      </c>
      <c r="M4" s="339">
        <v>13</v>
      </c>
      <c r="N4" s="339">
        <v>14</v>
      </c>
    </row>
    <row r="5" spans="1:14" s="1" customFormat="1" ht="41.25" customHeight="1" x14ac:dyDescent="0.35">
      <c r="A5" s="7">
        <v>1</v>
      </c>
      <c r="B5" s="103" t="s">
        <v>56</v>
      </c>
      <c r="C5" s="25">
        <v>2145</v>
      </c>
      <c r="D5" s="25">
        <v>2235</v>
      </c>
      <c r="E5" s="25">
        <v>4380</v>
      </c>
      <c r="F5" s="25">
        <v>1344</v>
      </c>
      <c r="G5" s="25">
        <v>1274</v>
      </c>
      <c r="H5" s="25">
        <v>2618</v>
      </c>
      <c r="I5" s="25">
        <v>18</v>
      </c>
      <c r="J5" s="25">
        <v>112</v>
      </c>
      <c r="K5" s="25">
        <v>130</v>
      </c>
      <c r="L5" s="25">
        <v>3507</v>
      </c>
      <c r="M5" s="25">
        <v>3621</v>
      </c>
      <c r="N5" s="25">
        <v>7128</v>
      </c>
    </row>
    <row r="6" spans="1:14" s="1" customFormat="1" ht="41.25" customHeight="1" x14ac:dyDescent="0.35">
      <c r="A6" s="7">
        <v>2</v>
      </c>
      <c r="B6" s="104" t="s">
        <v>13</v>
      </c>
      <c r="C6" s="25">
        <v>210125</v>
      </c>
      <c r="D6" s="25">
        <v>168352</v>
      </c>
      <c r="E6" s="25">
        <v>378477</v>
      </c>
      <c r="F6" s="25">
        <v>669620.58309914579</v>
      </c>
      <c r="G6" s="25">
        <v>660845.2041453881</v>
      </c>
      <c r="H6" s="25">
        <v>1330465.7872445339</v>
      </c>
      <c r="I6" s="25">
        <v>49359</v>
      </c>
      <c r="J6" s="25">
        <v>46066</v>
      </c>
      <c r="K6" s="25">
        <v>95425</v>
      </c>
      <c r="L6" s="25">
        <v>929104.58309914579</v>
      </c>
      <c r="M6" s="25">
        <v>875263.2041453881</v>
      </c>
      <c r="N6" s="25">
        <v>1804367.7872445339</v>
      </c>
    </row>
    <row r="7" spans="1:14" s="1" customFormat="1" ht="41.25" customHeight="1" x14ac:dyDescent="0.35">
      <c r="A7" s="7">
        <v>3</v>
      </c>
      <c r="B7" s="104" t="s">
        <v>14</v>
      </c>
      <c r="C7" s="25">
        <v>17381</v>
      </c>
      <c r="D7" s="25">
        <v>14329</v>
      </c>
      <c r="E7" s="25">
        <v>31710</v>
      </c>
      <c r="F7" s="25">
        <v>13480</v>
      </c>
      <c r="G7" s="25">
        <v>14146</v>
      </c>
      <c r="H7" s="25">
        <v>27626</v>
      </c>
      <c r="I7" s="25">
        <v>526</v>
      </c>
      <c r="J7" s="25">
        <v>586</v>
      </c>
      <c r="K7" s="25">
        <v>1112</v>
      </c>
      <c r="L7" s="25">
        <v>31387</v>
      </c>
      <c r="M7" s="25">
        <v>29061</v>
      </c>
      <c r="N7" s="25">
        <v>60448</v>
      </c>
    </row>
    <row r="8" spans="1:14" s="1" customFormat="1" ht="41.25" customHeight="1" x14ac:dyDescent="0.35">
      <c r="A8" s="7">
        <v>4</v>
      </c>
      <c r="B8" s="104" t="s">
        <v>15</v>
      </c>
      <c r="C8" s="25">
        <v>92625</v>
      </c>
      <c r="D8" s="25">
        <v>96194</v>
      </c>
      <c r="E8" s="25">
        <v>188819</v>
      </c>
      <c r="F8" s="25">
        <v>263263.05263157893</v>
      </c>
      <c r="G8" s="25">
        <v>314580.63157894736</v>
      </c>
      <c r="H8" s="25">
        <v>577843.68421052629</v>
      </c>
      <c r="I8" s="25">
        <v>12410</v>
      </c>
      <c r="J8" s="25">
        <v>14387</v>
      </c>
      <c r="K8" s="25">
        <v>26797</v>
      </c>
      <c r="L8" s="25">
        <v>368298.05263157893</v>
      </c>
      <c r="M8" s="25">
        <v>425161.63157894736</v>
      </c>
      <c r="N8" s="25">
        <v>793459.68421052629</v>
      </c>
    </row>
    <row r="9" spans="1:14" s="1" customFormat="1" ht="41.25" customHeight="1" x14ac:dyDescent="0.35">
      <c r="A9" s="7">
        <v>5</v>
      </c>
      <c r="B9" s="104" t="s">
        <v>16</v>
      </c>
      <c r="C9" s="25">
        <v>165406</v>
      </c>
      <c r="D9" s="25">
        <v>128330</v>
      </c>
      <c r="E9" s="25">
        <v>293736</v>
      </c>
      <c r="F9" s="25">
        <v>1145083.3055555555</v>
      </c>
      <c r="G9" s="25">
        <v>1228490.9444444445</v>
      </c>
      <c r="H9" s="25">
        <v>2373574.25</v>
      </c>
      <c r="I9" s="25">
        <v>54315</v>
      </c>
      <c r="J9" s="25">
        <v>38245</v>
      </c>
      <c r="K9" s="25">
        <v>92560</v>
      </c>
      <c r="L9" s="25">
        <v>1364804.3055555555</v>
      </c>
      <c r="M9" s="25">
        <v>1395065.9444444445</v>
      </c>
      <c r="N9" s="25">
        <v>2759870.25</v>
      </c>
    </row>
    <row r="10" spans="1:14" s="1" customFormat="1" ht="40.5" customHeight="1" x14ac:dyDescent="0.35">
      <c r="A10" s="7">
        <v>6</v>
      </c>
      <c r="B10" s="104" t="s">
        <v>17</v>
      </c>
      <c r="C10" s="25">
        <v>28154</v>
      </c>
      <c r="D10" s="25">
        <v>24614</v>
      </c>
      <c r="E10" s="25">
        <v>52768</v>
      </c>
      <c r="F10" s="25">
        <v>20246</v>
      </c>
      <c r="G10" s="25">
        <v>28300</v>
      </c>
      <c r="H10" s="25">
        <v>48546</v>
      </c>
      <c r="I10" s="25">
        <v>2120</v>
      </c>
      <c r="J10" s="25">
        <v>1280</v>
      </c>
      <c r="K10" s="25">
        <v>3400</v>
      </c>
      <c r="L10" s="25">
        <v>50520</v>
      </c>
      <c r="M10" s="25">
        <v>54194</v>
      </c>
      <c r="N10" s="25">
        <v>104714</v>
      </c>
    </row>
    <row r="11" spans="1:14" s="1" customFormat="1" ht="41.25" customHeight="1" x14ac:dyDescent="0.35">
      <c r="A11" s="7">
        <v>7</v>
      </c>
      <c r="B11" s="104" t="s">
        <v>18</v>
      </c>
      <c r="C11" s="27">
        <v>157506</v>
      </c>
      <c r="D11" s="25">
        <v>154984</v>
      </c>
      <c r="E11" s="25">
        <v>312490</v>
      </c>
      <c r="F11" s="25">
        <v>199543.49418604653</v>
      </c>
      <c r="G11" s="25">
        <v>300599.89534883719</v>
      </c>
      <c r="H11" s="25">
        <v>500143.38953488372</v>
      </c>
      <c r="I11" s="25">
        <v>3256</v>
      </c>
      <c r="J11" s="25">
        <v>6219</v>
      </c>
      <c r="K11" s="25">
        <v>9475</v>
      </c>
      <c r="L11" s="25">
        <v>360305.49418604648</v>
      </c>
      <c r="M11" s="25">
        <v>461802.89534883719</v>
      </c>
      <c r="N11" s="25">
        <v>822108.38953488367</v>
      </c>
    </row>
    <row r="12" spans="1:14" s="1" customFormat="1" ht="41.25" customHeight="1" x14ac:dyDescent="0.35">
      <c r="A12" s="7">
        <v>8</v>
      </c>
      <c r="B12" s="104" t="s">
        <v>19</v>
      </c>
      <c r="C12" s="25">
        <v>461032</v>
      </c>
      <c r="D12" s="25">
        <v>447813</v>
      </c>
      <c r="E12" s="25">
        <v>908845</v>
      </c>
      <c r="F12" s="25">
        <v>149406.68368421053</v>
      </c>
      <c r="G12" s="25">
        <v>155402.28473684209</v>
      </c>
      <c r="H12" s="25">
        <v>304808.96842105262</v>
      </c>
      <c r="I12" s="25">
        <v>9818</v>
      </c>
      <c r="J12" s="25">
        <v>11486</v>
      </c>
      <c r="K12" s="25">
        <v>21304</v>
      </c>
      <c r="L12" s="25">
        <v>620256.68368421053</v>
      </c>
      <c r="M12" s="25">
        <v>614701.28473684215</v>
      </c>
      <c r="N12" s="25">
        <v>1234957.9684210527</v>
      </c>
    </row>
    <row r="13" spans="1:14" s="1" customFormat="1" ht="41.25" customHeight="1" x14ac:dyDescent="0.35">
      <c r="A13" s="7">
        <v>9</v>
      </c>
      <c r="B13" s="104" t="s">
        <v>20</v>
      </c>
      <c r="C13" s="25">
        <v>9179</v>
      </c>
      <c r="D13" s="25">
        <v>5786</v>
      </c>
      <c r="E13" s="25">
        <v>14965</v>
      </c>
      <c r="F13" s="25">
        <v>18165</v>
      </c>
      <c r="G13" s="25">
        <v>24479</v>
      </c>
      <c r="H13" s="25">
        <v>42644</v>
      </c>
      <c r="I13" s="25">
        <v>5286</v>
      </c>
      <c r="J13" s="25">
        <v>1736</v>
      </c>
      <c r="K13" s="25">
        <v>7022</v>
      </c>
      <c r="L13" s="25">
        <v>32630</v>
      </c>
      <c r="M13" s="25">
        <v>32001</v>
      </c>
      <c r="N13" s="25">
        <v>64631</v>
      </c>
    </row>
    <row r="14" spans="1:14" s="1" customFormat="1" ht="41.25" customHeight="1" x14ac:dyDescent="0.35">
      <c r="A14" s="7">
        <v>10</v>
      </c>
      <c r="B14" s="104" t="s">
        <v>21</v>
      </c>
      <c r="C14" s="25">
        <v>347266</v>
      </c>
      <c r="D14" s="25">
        <v>253069</v>
      </c>
      <c r="E14" s="25">
        <v>600335</v>
      </c>
      <c r="F14" s="25">
        <v>695494</v>
      </c>
      <c r="G14" s="25">
        <v>602861</v>
      </c>
      <c r="H14" s="25">
        <v>1298355</v>
      </c>
      <c r="I14" s="25">
        <v>10738</v>
      </c>
      <c r="J14" s="25">
        <v>32830</v>
      </c>
      <c r="K14" s="25">
        <v>43568</v>
      </c>
      <c r="L14" s="25">
        <v>1053498</v>
      </c>
      <c r="M14" s="25">
        <v>888760</v>
      </c>
      <c r="N14" s="25">
        <v>1942258</v>
      </c>
    </row>
    <row r="15" spans="1:14" s="1" customFormat="1" ht="41.25" customHeight="1" x14ac:dyDescent="0.35">
      <c r="A15" s="7">
        <v>11</v>
      </c>
      <c r="B15" s="104" t="s">
        <v>22</v>
      </c>
      <c r="C15" s="25">
        <v>195242</v>
      </c>
      <c r="D15" s="25">
        <v>190236</v>
      </c>
      <c r="E15" s="25">
        <v>385478</v>
      </c>
      <c r="F15" s="25">
        <v>301608</v>
      </c>
      <c r="G15" s="25">
        <v>389473</v>
      </c>
      <c r="H15" s="25">
        <v>691081</v>
      </c>
      <c r="I15" s="25">
        <v>50591</v>
      </c>
      <c r="J15" s="25">
        <v>20239</v>
      </c>
      <c r="K15" s="25">
        <v>70830</v>
      </c>
      <c r="L15" s="25">
        <v>547441</v>
      </c>
      <c r="M15" s="25">
        <v>599948</v>
      </c>
      <c r="N15" s="25">
        <v>1147389</v>
      </c>
    </row>
    <row r="16" spans="1:14" s="1" customFormat="1" ht="41.25" customHeight="1" x14ac:dyDescent="0.35">
      <c r="A16" s="7">
        <v>12</v>
      </c>
      <c r="B16" s="104" t="s">
        <v>23</v>
      </c>
      <c r="C16" s="25">
        <v>67199</v>
      </c>
      <c r="D16" s="25">
        <v>54599</v>
      </c>
      <c r="E16" s="25">
        <v>121798</v>
      </c>
      <c r="F16" s="25">
        <v>79464.058576179901</v>
      </c>
      <c r="G16" s="25">
        <v>120922.87159057913</v>
      </c>
      <c r="H16" s="25">
        <v>200386.93016675903</v>
      </c>
      <c r="I16" s="25">
        <v>7767</v>
      </c>
      <c r="J16" s="25">
        <v>6220</v>
      </c>
      <c r="K16" s="25">
        <v>13987</v>
      </c>
      <c r="L16" s="25">
        <v>154430.05857617993</v>
      </c>
      <c r="M16" s="25">
        <v>181741.87159057913</v>
      </c>
      <c r="N16" s="25">
        <v>336171.93016675906</v>
      </c>
    </row>
    <row r="17" spans="1:14" s="1" customFormat="1" ht="41.25" customHeight="1" x14ac:dyDescent="0.35">
      <c r="A17" s="7">
        <v>13</v>
      </c>
      <c r="B17" s="104" t="s">
        <v>24</v>
      </c>
      <c r="C17" s="25">
        <v>68633</v>
      </c>
      <c r="D17" s="25">
        <v>80028</v>
      </c>
      <c r="E17" s="25">
        <v>148661</v>
      </c>
      <c r="F17" s="25">
        <v>82187</v>
      </c>
      <c r="G17" s="25">
        <v>100091</v>
      </c>
      <c r="H17" s="25">
        <v>182278</v>
      </c>
      <c r="I17" s="25">
        <v>10387</v>
      </c>
      <c r="J17" s="25">
        <v>11161</v>
      </c>
      <c r="K17" s="25">
        <v>21548</v>
      </c>
      <c r="L17" s="25">
        <v>161207</v>
      </c>
      <c r="M17" s="25">
        <v>191280</v>
      </c>
      <c r="N17" s="25">
        <v>352487</v>
      </c>
    </row>
    <row r="18" spans="1:14" s="1" customFormat="1" ht="41.25" customHeight="1" x14ac:dyDescent="0.35">
      <c r="A18" s="7">
        <v>14</v>
      </c>
      <c r="B18" s="104" t="s">
        <v>25</v>
      </c>
      <c r="C18" s="25">
        <v>103910</v>
      </c>
      <c r="D18" s="25">
        <v>85516</v>
      </c>
      <c r="E18" s="25">
        <v>189426</v>
      </c>
      <c r="F18" s="25">
        <v>334120</v>
      </c>
      <c r="G18" s="25">
        <v>364972</v>
      </c>
      <c r="H18" s="25">
        <v>699092</v>
      </c>
      <c r="I18" s="25">
        <v>13696</v>
      </c>
      <c r="J18" s="25">
        <v>19641</v>
      </c>
      <c r="K18" s="25">
        <v>33337</v>
      </c>
      <c r="L18" s="25">
        <v>451726</v>
      </c>
      <c r="M18" s="25">
        <v>470129</v>
      </c>
      <c r="N18" s="25">
        <v>921855</v>
      </c>
    </row>
    <row r="19" spans="1:14" s="1" customFormat="1" ht="41.25" customHeight="1" x14ac:dyDescent="0.35">
      <c r="A19" s="7">
        <v>15</v>
      </c>
      <c r="B19" s="104" t="s">
        <v>26</v>
      </c>
      <c r="C19" s="25">
        <v>300793</v>
      </c>
      <c r="D19" s="25">
        <v>272227</v>
      </c>
      <c r="E19" s="25">
        <v>573020</v>
      </c>
      <c r="F19" s="25">
        <v>941946.38887431729</v>
      </c>
      <c r="G19" s="25">
        <v>996364.6919459356</v>
      </c>
      <c r="H19" s="25">
        <v>1938311.0808202529</v>
      </c>
      <c r="I19" s="25">
        <v>152681</v>
      </c>
      <c r="J19" s="25">
        <v>95921</v>
      </c>
      <c r="K19" s="25">
        <v>248602</v>
      </c>
      <c r="L19" s="25">
        <v>1395420.3888743175</v>
      </c>
      <c r="M19" s="25">
        <v>1364512.6919459356</v>
      </c>
      <c r="N19" s="25">
        <v>2759933.0808202531</v>
      </c>
    </row>
    <row r="20" spans="1:14" s="1" customFormat="1" ht="41.25" customHeight="1" x14ac:dyDescent="0.35">
      <c r="A20" s="7">
        <v>16</v>
      </c>
      <c r="B20" s="104" t="s">
        <v>27</v>
      </c>
      <c r="C20" s="25">
        <v>139224</v>
      </c>
      <c r="D20" s="25">
        <v>187552</v>
      </c>
      <c r="E20" s="25">
        <v>326776</v>
      </c>
      <c r="F20" s="25">
        <v>348343.37868302781</v>
      </c>
      <c r="G20" s="25">
        <v>515512.55205311871</v>
      </c>
      <c r="H20" s="25">
        <v>863855.93073614652</v>
      </c>
      <c r="I20" s="25">
        <v>50575</v>
      </c>
      <c r="J20" s="25">
        <v>35641</v>
      </c>
      <c r="K20" s="25">
        <v>86216</v>
      </c>
      <c r="L20" s="25">
        <v>538142.37868302769</v>
      </c>
      <c r="M20" s="25">
        <v>738705.55205311871</v>
      </c>
      <c r="N20" s="25">
        <v>1276847.9307361464</v>
      </c>
    </row>
    <row r="21" spans="1:14" s="1" customFormat="1" ht="41.25" customHeight="1" x14ac:dyDescent="0.35">
      <c r="A21" s="7">
        <v>17</v>
      </c>
      <c r="B21" s="104" t="s">
        <v>28</v>
      </c>
      <c r="C21" s="25">
        <v>312</v>
      </c>
      <c r="D21" s="25">
        <v>458</v>
      </c>
      <c r="E21" s="25">
        <v>770</v>
      </c>
      <c r="F21" s="25">
        <v>1031</v>
      </c>
      <c r="G21" s="25">
        <v>1975.9999999999991</v>
      </c>
      <c r="H21" s="25">
        <v>3006.9999999999991</v>
      </c>
      <c r="I21" s="25">
        <v>385</v>
      </c>
      <c r="J21" s="25">
        <v>603</v>
      </c>
      <c r="K21" s="25">
        <v>988</v>
      </c>
      <c r="L21" s="25">
        <v>1728</v>
      </c>
      <c r="M21" s="25">
        <v>3036.9999999999991</v>
      </c>
      <c r="N21" s="25">
        <v>4764.9999999999991</v>
      </c>
    </row>
    <row r="22" spans="1:14" s="1" customFormat="1" ht="41.25" customHeight="1" x14ac:dyDescent="0.35">
      <c r="A22" s="7">
        <v>18</v>
      </c>
      <c r="B22" s="104" t="s">
        <v>82</v>
      </c>
      <c r="C22" s="25">
        <v>0</v>
      </c>
      <c r="D22" s="25"/>
      <c r="E22" s="25"/>
      <c r="F22" s="25">
        <v>199</v>
      </c>
      <c r="G22" s="25">
        <v>393</v>
      </c>
      <c r="H22" s="25">
        <v>592</v>
      </c>
      <c r="I22" s="25">
        <v>0</v>
      </c>
      <c r="J22" s="25"/>
      <c r="K22" s="25"/>
      <c r="L22" s="25">
        <v>199</v>
      </c>
      <c r="M22" s="25">
        <v>393</v>
      </c>
      <c r="N22" s="25">
        <v>592</v>
      </c>
    </row>
    <row r="23" spans="1:14" s="1" customFormat="1" ht="41.25" customHeight="1" x14ac:dyDescent="0.35">
      <c r="A23" s="7">
        <v>19</v>
      </c>
      <c r="B23" s="104" t="s">
        <v>29</v>
      </c>
      <c r="C23" s="25">
        <v>496814</v>
      </c>
      <c r="D23" s="25">
        <v>312739</v>
      </c>
      <c r="E23" s="25">
        <v>809553</v>
      </c>
      <c r="F23" s="25">
        <v>912071.2222448414</v>
      </c>
      <c r="G23" s="25">
        <v>989578.32413696533</v>
      </c>
      <c r="H23" s="25">
        <v>1901649.5463818067</v>
      </c>
      <c r="I23" s="25">
        <v>35640</v>
      </c>
      <c r="J23" s="25">
        <v>27585</v>
      </c>
      <c r="K23" s="25">
        <v>63225</v>
      </c>
      <c r="L23" s="25">
        <v>1444525.2222448415</v>
      </c>
      <c r="M23" s="25">
        <v>1329902.3241369654</v>
      </c>
      <c r="N23" s="25">
        <v>2774427.546381807</v>
      </c>
    </row>
    <row r="24" spans="1:14" s="1" customFormat="1" ht="41.25" customHeight="1" x14ac:dyDescent="0.35">
      <c r="A24" s="7">
        <v>20</v>
      </c>
      <c r="B24" s="104" t="s">
        <v>30</v>
      </c>
      <c r="C24" s="25">
        <v>579330</v>
      </c>
      <c r="D24" s="25">
        <v>428823</v>
      </c>
      <c r="E24" s="25">
        <v>1008153</v>
      </c>
      <c r="F24" s="25">
        <v>1683117.5083789257</v>
      </c>
      <c r="G24" s="25">
        <v>1568745.4741946277</v>
      </c>
      <c r="H24" s="25">
        <v>3251862.9825735535</v>
      </c>
      <c r="I24" s="25">
        <v>210610</v>
      </c>
      <c r="J24" s="25">
        <v>182943</v>
      </c>
      <c r="K24" s="25">
        <v>393553</v>
      </c>
      <c r="L24" s="25">
        <v>2473057.5083789262</v>
      </c>
      <c r="M24" s="25">
        <v>2180511.4741946277</v>
      </c>
      <c r="N24" s="25">
        <v>4653568.9825735539</v>
      </c>
    </row>
    <row r="25" spans="1:14" s="1" customFormat="1" ht="41.25" customHeight="1" x14ac:dyDescent="0.35">
      <c r="A25" s="7">
        <v>21</v>
      </c>
      <c r="B25" s="104" t="s">
        <v>31</v>
      </c>
      <c r="C25" s="25">
        <v>12258</v>
      </c>
      <c r="D25" s="25">
        <v>10487</v>
      </c>
      <c r="E25" s="25">
        <v>22745</v>
      </c>
      <c r="F25" s="25">
        <v>42471</v>
      </c>
      <c r="G25" s="25">
        <v>43562</v>
      </c>
      <c r="H25" s="25">
        <v>86033</v>
      </c>
      <c r="I25" s="25">
        <v>1079</v>
      </c>
      <c r="J25" s="25">
        <v>2524</v>
      </c>
      <c r="K25" s="25">
        <v>3603</v>
      </c>
      <c r="L25" s="25">
        <v>55808</v>
      </c>
      <c r="M25" s="25">
        <v>56573</v>
      </c>
      <c r="N25" s="25">
        <v>112381</v>
      </c>
    </row>
    <row r="26" spans="1:14" s="1" customFormat="1" ht="41.25" customHeight="1" x14ac:dyDescent="0.35">
      <c r="A26" s="7">
        <v>22</v>
      </c>
      <c r="B26" s="104" t="s">
        <v>32</v>
      </c>
      <c r="C26" s="25">
        <v>12580</v>
      </c>
      <c r="D26" s="25">
        <v>15863</v>
      </c>
      <c r="E26" s="25">
        <v>28443</v>
      </c>
      <c r="F26" s="25">
        <v>34399.400568181823</v>
      </c>
      <c r="G26" s="25">
        <v>43133.309659090897</v>
      </c>
      <c r="H26" s="25">
        <v>77532.710227272721</v>
      </c>
      <c r="I26" s="25">
        <v>1346</v>
      </c>
      <c r="J26" s="25">
        <v>2494</v>
      </c>
      <c r="K26" s="25">
        <v>3840</v>
      </c>
      <c r="L26" s="25">
        <v>48325.400568181823</v>
      </c>
      <c r="M26" s="25">
        <v>61490.309659090897</v>
      </c>
      <c r="N26" s="25">
        <v>109815.71022727272</v>
      </c>
    </row>
    <row r="27" spans="1:14" s="1" customFormat="1" ht="41.25" customHeight="1" x14ac:dyDescent="0.35">
      <c r="A27" s="7">
        <v>23</v>
      </c>
      <c r="B27" s="104" t="s">
        <v>33</v>
      </c>
      <c r="C27" s="25">
        <v>5489</v>
      </c>
      <c r="D27" s="25">
        <v>5678</v>
      </c>
      <c r="E27" s="25">
        <v>11167</v>
      </c>
      <c r="F27" s="25">
        <v>12517</v>
      </c>
      <c r="G27" s="25">
        <v>11539</v>
      </c>
      <c r="H27" s="25">
        <v>24056</v>
      </c>
      <c r="I27" s="25">
        <v>4489</v>
      </c>
      <c r="J27" s="25">
        <v>5665</v>
      </c>
      <c r="K27" s="25">
        <v>10154</v>
      </c>
      <c r="L27" s="25">
        <v>22495</v>
      </c>
      <c r="M27" s="25">
        <v>22882</v>
      </c>
      <c r="N27" s="25">
        <v>45377</v>
      </c>
    </row>
    <row r="28" spans="1:14" s="1" customFormat="1" ht="41.25" customHeight="1" x14ac:dyDescent="0.35">
      <c r="A28" s="7">
        <v>24</v>
      </c>
      <c r="B28" s="104" t="s">
        <v>34</v>
      </c>
      <c r="C28" s="25">
        <v>5967</v>
      </c>
      <c r="D28" s="25">
        <v>6767</v>
      </c>
      <c r="E28" s="25">
        <v>12734</v>
      </c>
      <c r="F28" s="25">
        <v>15694</v>
      </c>
      <c r="G28" s="25">
        <v>19231</v>
      </c>
      <c r="H28" s="25">
        <v>34925</v>
      </c>
      <c r="I28" s="25">
        <v>822</v>
      </c>
      <c r="J28" s="25">
        <v>1443</v>
      </c>
      <c r="K28" s="25">
        <v>2265</v>
      </c>
      <c r="L28" s="25">
        <v>22483</v>
      </c>
      <c r="M28" s="25">
        <v>27441</v>
      </c>
      <c r="N28" s="25">
        <v>49924</v>
      </c>
    </row>
    <row r="29" spans="1:14" s="1" customFormat="1" ht="41.25" customHeight="1" x14ac:dyDescent="0.35">
      <c r="A29" s="7">
        <v>25</v>
      </c>
      <c r="B29" s="104" t="s">
        <v>35</v>
      </c>
      <c r="C29" s="25">
        <v>117226</v>
      </c>
      <c r="D29" s="25">
        <v>106061</v>
      </c>
      <c r="E29" s="25">
        <v>223287</v>
      </c>
      <c r="F29" s="25">
        <v>389760</v>
      </c>
      <c r="G29" s="25">
        <v>410280</v>
      </c>
      <c r="H29" s="25">
        <v>800040</v>
      </c>
      <c r="I29" s="25">
        <v>108550</v>
      </c>
      <c r="J29" s="25">
        <v>54054</v>
      </c>
      <c r="K29" s="25">
        <v>162604</v>
      </c>
      <c r="L29" s="25">
        <v>615536</v>
      </c>
      <c r="M29" s="25">
        <v>570395</v>
      </c>
      <c r="N29" s="25">
        <v>1185931</v>
      </c>
    </row>
    <row r="30" spans="1:14" s="1" customFormat="1" ht="41.25" customHeight="1" x14ac:dyDescent="0.35">
      <c r="A30" s="7">
        <v>26</v>
      </c>
      <c r="B30" s="104" t="s">
        <v>36</v>
      </c>
      <c r="C30" s="25">
        <v>27288</v>
      </c>
      <c r="D30" s="25">
        <v>25725</v>
      </c>
      <c r="E30" s="25">
        <v>53013</v>
      </c>
      <c r="F30" s="25">
        <v>26140.193548387091</v>
      </c>
      <c r="G30" s="25">
        <v>33732.76209677419</v>
      </c>
      <c r="H30" s="25">
        <v>59872.955645161281</v>
      </c>
      <c r="I30" s="25">
        <v>2352</v>
      </c>
      <c r="J30" s="25">
        <v>796</v>
      </c>
      <c r="K30" s="25">
        <v>3148</v>
      </c>
      <c r="L30" s="25">
        <v>55780.193548387084</v>
      </c>
      <c r="M30" s="25">
        <v>60253.76209677419</v>
      </c>
      <c r="N30" s="25">
        <v>116033.95564516127</v>
      </c>
    </row>
    <row r="31" spans="1:14" s="1" customFormat="1" ht="41.25" customHeight="1" x14ac:dyDescent="0.35">
      <c r="A31" s="7">
        <v>27</v>
      </c>
      <c r="B31" s="104" t="s">
        <v>37</v>
      </c>
      <c r="C31" s="25">
        <v>199030</v>
      </c>
      <c r="D31" s="25">
        <v>153099</v>
      </c>
      <c r="E31" s="25">
        <v>352129</v>
      </c>
      <c r="F31" s="25">
        <v>239130</v>
      </c>
      <c r="G31" s="25">
        <v>292205</v>
      </c>
      <c r="H31" s="25">
        <v>531335</v>
      </c>
      <c r="I31" s="25">
        <v>25214</v>
      </c>
      <c r="J31" s="25">
        <v>24986</v>
      </c>
      <c r="K31" s="25">
        <v>50200</v>
      </c>
      <c r="L31" s="25">
        <v>463374</v>
      </c>
      <c r="M31" s="25">
        <v>470290</v>
      </c>
      <c r="N31" s="25">
        <v>933664</v>
      </c>
    </row>
    <row r="32" spans="1:14" s="1" customFormat="1" ht="41.25" customHeight="1" x14ac:dyDescent="0.35">
      <c r="A32" s="7">
        <v>28</v>
      </c>
      <c r="B32" s="104" t="s">
        <v>38</v>
      </c>
      <c r="C32" s="25">
        <v>439085</v>
      </c>
      <c r="D32" s="25">
        <v>295962</v>
      </c>
      <c r="E32" s="25">
        <v>735047</v>
      </c>
      <c r="F32" s="25">
        <v>903416.53380910808</v>
      </c>
      <c r="G32" s="25">
        <v>1015495.8082075693</v>
      </c>
      <c r="H32" s="25">
        <v>1918912.3420166774</v>
      </c>
      <c r="I32" s="25">
        <v>53110</v>
      </c>
      <c r="J32" s="25">
        <v>30656</v>
      </c>
      <c r="K32" s="25">
        <v>83766</v>
      </c>
      <c r="L32" s="25">
        <v>1395611.5338091082</v>
      </c>
      <c r="M32" s="25">
        <v>1342113.8082075692</v>
      </c>
      <c r="N32" s="25">
        <v>2737725.3420166774</v>
      </c>
    </row>
    <row r="33" spans="1:14" s="1" customFormat="1" ht="41.25" customHeight="1" x14ac:dyDescent="0.35">
      <c r="A33" s="7">
        <v>29</v>
      </c>
      <c r="B33" s="104" t="s">
        <v>39</v>
      </c>
      <c r="C33" s="25">
        <v>10427</v>
      </c>
      <c r="D33" s="25">
        <v>10429</v>
      </c>
      <c r="E33" s="25">
        <v>20856</v>
      </c>
      <c r="F33" s="25">
        <v>6445</v>
      </c>
      <c r="G33" s="25">
        <v>7561</v>
      </c>
      <c r="H33" s="25">
        <v>14006</v>
      </c>
      <c r="I33" s="25">
        <v>1251</v>
      </c>
      <c r="J33" s="25">
        <v>808</v>
      </c>
      <c r="K33" s="25">
        <v>2059</v>
      </c>
      <c r="L33" s="25">
        <v>18123</v>
      </c>
      <c r="M33" s="25">
        <v>18798</v>
      </c>
      <c r="N33" s="25">
        <v>36921</v>
      </c>
    </row>
    <row r="34" spans="1:14" s="1" customFormat="1" ht="41.25" customHeight="1" x14ac:dyDescent="0.35">
      <c r="A34" s="7">
        <v>30</v>
      </c>
      <c r="B34" s="104" t="s">
        <v>40</v>
      </c>
      <c r="C34" s="25">
        <v>481120</v>
      </c>
      <c r="D34" s="25">
        <v>388203</v>
      </c>
      <c r="E34" s="25">
        <v>869323</v>
      </c>
      <c r="F34" s="25">
        <v>1161258.1643342152</v>
      </c>
      <c r="G34" s="25">
        <v>1340744.6985454662</v>
      </c>
      <c r="H34" s="25">
        <v>2502002.8628796814</v>
      </c>
      <c r="I34" s="25">
        <v>174196</v>
      </c>
      <c r="J34" s="25">
        <v>31525</v>
      </c>
      <c r="K34" s="25">
        <v>205721</v>
      </c>
      <c r="L34" s="25">
        <v>1816574.1643342152</v>
      </c>
      <c r="M34" s="25">
        <v>1760472.6985454662</v>
      </c>
      <c r="N34" s="25">
        <v>3577046.8628796814</v>
      </c>
    </row>
    <row r="35" spans="1:14" s="1" customFormat="1" ht="41.25" customHeight="1" x14ac:dyDescent="0.35">
      <c r="A35" s="7">
        <v>31</v>
      </c>
      <c r="B35" s="104" t="s">
        <v>41</v>
      </c>
      <c r="C35" s="25">
        <v>221449</v>
      </c>
      <c r="D35" s="25">
        <v>202913</v>
      </c>
      <c r="E35" s="25">
        <v>424362</v>
      </c>
      <c r="F35" s="25">
        <v>615903.41411017068</v>
      </c>
      <c r="G35" s="25">
        <v>677884.87659292482</v>
      </c>
      <c r="H35" s="25">
        <v>1293788.2907030955</v>
      </c>
      <c r="I35" s="25">
        <v>36892</v>
      </c>
      <c r="J35" s="25">
        <v>32418</v>
      </c>
      <c r="K35" s="25">
        <v>69310</v>
      </c>
      <c r="L35" s="25">
        <v>874244.41411017068</v>
      </c>
      <c r="M35" s="25">
        <v>913215.87659292482</v>
      </c>
      <c r="N35" s="25">
        <v>1787460.2907030955</v>
      </c>
    </row>
    <row r="36" spans="1:14" s="1" customFormat="1" ht="41.25" customHeight="1" x14ac:dyDescent="0.35">
      <c r="A36" s="7">
        <v>32</v>
      </c>
      <c r="B36" s="77" t="s">
        <v>58</v>
      </c>
      <c r="C36" s="25">
        <v>369</v>
      </c>
      <c r="D36" s="25">
        <v>111</v>
      </c>
      <c r="E36" s="25">
        <v>480</v>
      </c>
      <c r="F36" s="25">
        <v>5949</v>
      </c>
      <c r="G36" s="25">
        <v>6068</v>
      </c>
      <c r="H36" s="25">
        <v>12017</v>
      </c>
      <c r="I36" s="25">
        <v>92</v>
      </c>
      <c r="J36" s="25">
        <v>31</v>
      </c>
      <c r="K36" s="25">
        <v>123</v>
      </c>
      <c r="L36" s="25">
        <v>6410</v>
      </c>
      <c r="M36" s="25">
        <v>6210</v>
      </c>
      <c r="N36" s="25">
        <v>12620</v>
      </c>
    </row>
    <row r="37" spans="1:14" s="1" customFormat="1" ht="41.25" customHeight="1" x14ac:dyDescent="0.35">
      <c r="A37" s="7">
        <v>33</v>
      </c>
      <c r="B37" s="104" t="s">
        <v>42</v>
      </c>
      <c r="C37" s="25">
        <v>13251</v>
      </c>
      <c r="D37" s="25">
        <v>10286</v>
      </c>
      <c r="E37" s="25">
        <v>23537</v>
      </c>
      <c r="F37" s="25">
        <v>41066</v>
      </c>
      <c r="G37" s="25">
        <v>43857</v>
      </c>
      <c r="H37" s="25">
        <v>84923</v>
      </c>
      <c r="I37" s="25">
        <v>726</v>
      </c>
      <c r="J37" s="25">
        <v>1183</v>
      </c>
      <c r="K37" s="25">
        <v>1909</v>
      </c>
      <c r="L37" s="25">
        <v>55043</v>
      </c>
      <c r="M37" s="25">
        <v>55326</v>
      </c>
      <c r="N37" s="25">
        <v>110369</v>
      </c>
    </row>
    <row r="38" spans="1:14" s="1" customFormat="1" ht="41.25" customHeight="1" x14ac:dyDescent="0.35">
      <c r="A38" s="7">
        <v>34</v>
      </c>
      <c r="B38" s="104" t="s">
        <v>43</v>
      </c>
      <c r="C38" s="25">
        <v>526412</v>
      </c>
      <c r="D38" s="25">
        <v>318081</v>
      </c>
      <c r="E38" s="25">
        <v>844493</v>
      </c>
      <c r="F38" s="25">
        <v>2993520.4957744842</v>
      </c>
      <c r="G38" s="25">
        <v>3146386.6983138612</v>
      </c>
      <c r="H38" s="25">
        <v>6139907.1940883454</v>
      </c>
      <c r="I38" s="25">
        <v>179419</v>
      </c>
      <c r="J38" s="25">
        <v>105279</v>
      </c>
      <c r="K38" s="25">
        <v>284698</v>
      </c>
      <c r="L38" s="25">
        <v>3699351.4957744842</v>
      </c>
      <c r="M38" s="25">
        <v>3569746.6983138612</v>
      </c>
      <c r="N38" s="25">
        <v>7269098.1940883454</v>
      </c>
    </row>
    <row r="39" spans="1:14" s="1" customFormat="1" ht="41.25" customHeight="1" x14ac:dyDescent="0.35">
      <c r="A39" s="7">
        <v>35</v>
      </c>
      <c r="B39" s="104" t="s">
        <v>44</v>
      </c>
      <c r="C39" s="25">
        <v>165741</v>
      </c>
      <c r="D39" s="25">
        <v>136993</v>
      </c>
      <c r="E39" s="25">
        <v>302734</v>
      </c>
      <c r="F39" s="25">
        <v>133753.76897050443</v>
      </c>
      <c r="G39" s="25">
        <v>180445.1704259082</v>
      </c>
      <c r="H39" s="25">
        <v>314198.93939641264</v>
      </c>
      <c r="I39" s="25">
        <v>17847</v>
      </c>
      <c r="J39" s="25">
        <v>6515</v>
      </c>
      <c r="K39" s="25">
        <v>24362</v>
      </c>
      <c r="L39" s="25">
        <v>317341.7689705044</v>
      </c>
      <c r="M39" s="25">
        <v>323953.17042590817</v>
      </c>
      <c r="N39" s="25">
        <v>641294.93939641258</v>
      </c>
    </row>
    <row r="40" spans="1:14" s="1" customFormat="1" ht="41.25" customHeight="1" x14ac:dyDescent="0.35">
      <c r="A40" s="7">
        <v>36</v>
      </c>
      <c r="B40" s="104" t="s">
        <v>45</v>
      </c>
      <c r="C40" s="25">
        <v>314360</v>
      </c>
      <c r="D40" s="25">
        <v>270028</v>
      </c>
      <c r="E40" s="25">
        <v>584388</v>
      </c>
      <c r="F40" s="25">
        <v>785693.97121925699</v>
      </c>
      <c r="G40" s="25">
        <v>925412.73864032794</v>
      </c>
      <c r="H40" s="25">
        <v>1711106.7098595849</v>
      </c>
      <c r="I40" s="25">
        <v>99432</v>
      </c>
      <c r="J40" s="25">
        <v>58553</v>
      </c>
      <c r="K40" s="25">
        <v>157985</v>
      </c>
      <c r="L40" s="25">
        <v>1199485.971219257</v>
      </c>
      <c r="M40" s="25">
        <v>1253993.7386403279</v>
      </c>
      <c r="N40" s="25">
        <v>2453479.7098595849</v>
      </c>
    </row>
    <row r="41" spans="1:14" s="105" customFormat="1" ht="40.5" customHeight="1" x14ac:dyDescent="0.35">
      <c r="A41" s="663" t="s">
        <v>46</v>
      </c>
      <c r="B41" s="663"/>
      <c r="C41" s="41">
        <v>5994328</v>
      </c>
      <c r="D41" s="41">
        <v>4864570</v>
      </c>
      <c r="E41" s="41">
        <v>10858898</v>
      </c>
      <c r="F41" s="41">
        <v>15266851.618248139</v>
      </c>
      <c r="G41" s="41">
        <v>16576546.936657608</v>
      </c>
      <c r="H41" s="41">
        <v>31843398.554905746</v>
      </c>
      <c r="I41" s="41">
        <v>1386995</v>
      </c>
      <c r="J41" s="41">
        <v>911831</v>
      </c>
      <c r="K41" s="41">
        <v>2298826</v>
      </c>
      <c r="L41" s="41">
        <v>22648174.618248135</v>
      </c>
      <c r="M41" s="41">
        <v>22352947.936657608</v>
      </c>
      <c r="N41" s="41">
        <v>45001122.554905742</v>
      </c>
    </row>
  </sheetData>
  <mergeCells count="8">
    <mergeCell ref="A1:N1"/>
    <mergeCell ref="A41:B41"/>
    <mergeCell ref="A2:A3"/>
    <mergeCell ref="B2:B3"/>
    <mergeCell ref="C2:E2"/>
    <mergeCell ref="F2:H2"/>
    <mergeCell ref="I2:K2"/>
    <mergeCell ref="L2:N2"/>
  </mergeCells>
  <pageMargins left="0.35433070866141736" right="0.15748031496062992" top="0.39370078740157483" bottom="0.39370078740157483" header="0.31496062992125984" footer="0.19685039370078741"/>
  <pageSetup paperSize="9" scale="50" firstPageNumber="20" fitToHeight="0" orientation="portrait" r:id="rId1"/>
  <headerFooter>
    <oddFooter>&amp;L&amp;"Arial,Italic"&amp;9AISHE 2023-24&amp;RT-10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9AA8-F27C-403B-A4BE-0838016F8ADF}">
  <dimension ref="A1:N273"/>
  <sheetViews>
    <sheetView view="pageBreakPreview" zoomScaleNormal="100" zoomScaleSheetLayoutView="100" workbookViewId="0">
      <pane ySplit="4" topLeftCell="A5" activePane="bottomLeft" state="frozen"/>
      <selection activeCell="B16" sqref="B16:M16"/>
      <selection pane="bottomLeft" activeCell="B16" sqref="B16:M16"/>
    </sheetView>
  </sheetViews>
  <sheetFormatPr defaultColWidth="9.453125" defaultRowHeight="14" x14ac:dyDescent="0.35"/>
  <cols>
    <col min="1" max="1" width="7.54296875" style="130" bestFit="1" customWidth="1"/>
    <col min="2" max="2" width="30.54296875" style="108" customWidth="1"/>
    <col min="3" max="5" width="13.1796875" style="106" bestFit="1" customWidth="1"/>
    <col min="6" max="11" width="12.453125" style="106" customWidth="1"/>
    <col min="12" max="13" width="11.54296875" style="106" customWidth="1"/>
    <col min="14" max="14" width="13.1796875" style="106" bestFit="1" customWidth="1"/>
    <col min="15" max="16384" width="9.453125" style="106"/>
  </cols>
  <sheetData>
    <row r="1" spans="1:14" ht="40.5" customHeight="1" x14ac:dyDescent="0.35">
      <c r="A1" s="740" t="s">
        <v>995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0"/>
    </row>
    <row r="2" spans="1:14" ht="31.5" customHeight="1" x14ac:dyDescent="0.35">
      <c r="A2" s="742" t="s">
        <v>48</v>
      </c>
      <c r="B2" s="744" t="s">
        <v>124</v>
      </c>
      <c r="C2" s="745" t="s">
        <v>125</v>
      </c>
      <c r="D2" s="745"/>
      <c r="E2" s="745"/>
      <c r="F2" s="745" t="s">
        <v>126</v>
      </c>
      <c r="G2" s="745"/>
      <c r="H2" s="745"/>
      <c r="I2" s="745" t="s">
        <v>127</v>
      </c>
      <c r="J2" s="745"/>
      <c r="K2" s="745"/>
      <c r="L2" s="745" t="s">
        <v>128</v>
      </c>
      <c r="M2" s="745"/>
      <c r="N2" s="745"/>
    </row>
    <row r="3" spans="1:14" s="108" customFormat="1" ht="23.25" customHeight="1" x14ac:dyDescent="0.35">
      <c r="A3" s="743"/>
      <c r="B3" s="744"/>
      <c r="C3" s="107" t="s">
        <v>103</v>
      </c>
      <c r="D3" s="107" t="s">
        <v>104</v>
      </c>
      <c r="E3" s="107" t="s">
        <v>89</v>
      </c>
      <c r="F3" s="107" t="s">
        <v>103</v>
      </c>
      <c r="G3" s="107" t="s">
        <v>104</v>
      </c>
      <c r="H3" s="107" t="s">
        <v>89</v>
      </c>
      <c r="I3" s="107" t="s">
        <v>103</v>
      </c>
      <c r="J3" s="107" t="s">
        <v>104</v>
      </c>
      <c r="K3" s="107" t="s">
        <v>89</v>
      </c>
      <c r="L3" s="107" t="s">
        <v>103</v>
      </c>
      <c r="M3" s="107" t="s">
        <v>104</v>
      </c>
      <c r="N3" s="107" t="s">
        <v>89</v>
      </c>
    </row>
    <row r="4" spans="1:14" s="354" customFormat="1" ht="12" x14ac:dyDescent="0.35">
      <c r="A4" s="353">
        <v>1</v>
      </c>
      <c r="B4" s="353">
        <v>2</v>
      </c>
      <c r="C4" s="353">
        <v>3</v>
      </c>
      <c r="D4" s="353">
        <v>4</v>
      </c>
      <c r="E4" s="353">
        <v>5</v>
      </c>
      <c r="F4" s="353">
        <v>6</v>
      </c>
      <c r="G4" s="353">
        <v>7</v>
      </c>
      <c r="H4" s="353">
        <v>8</v>
      </c>
      <c r="I4" s="353">
        <v>9</v>
      </c>
      <c r="J4" s="353">
        <v>10</v>
      </c>
      <c r="K4" s="353">
        <v>11</v>
      </c>
      <c r="L4" s="353">
        <v>12</v>
      </c>
      <c r="M4" s="353">
        <v>13</v>
      </c>
      <c r="N4" s="353">
        <v>14</v>
      </c>
    </row>
    <row r="5" spans="1:14" ht="28" x14ac:dyDescent="0.3">
      <c r="A5" s="357">
        <v>1</v>
      </c>
      <c r="B5" s="110" t="s">
        <v>129</v>
      </c>
      <c r="C5" s="111">
        <v>1856</v>
      </c>
      <c r="D5" s="111">
        <v>109356</v>
      </c>
      <c r="E5" s="111">
        <v>111212</v>
      </c>
      <c r="F5" s="111">
        <v>643</v>
      </c>
      <c r="G5" s="111">
        <v>31378</v>
      </c>
      <c r="H5" s="111">
        <v>32021</v>
      </c>
      <c r="I5" s="111">
        <v>136</v>
      </c>
      <c r="J5" s="111">
        <v>17951</v>
      </c>
      <c r="K5" s="111">
        <v>18087</v>
      </c>
      <c r="L5" s="111">
        <v>555</v>
      </c>
      <c r="M5" s="111">
        <v>34304</v>
      </c>
      <c r="N5" s="111">
        <v>34859</v>
      </c>
    </row>
    <row r="6" spans="1:14" x14ac:dyDescent="0.3">
      <c r="A6" s="357">
        <v>2</v>
      </c>
      <c r="B6" s="110" t="s">
        <v>130</v>
      </c>
      <c r="C6" s="111">
        <v>12485</v>
      </c>
      <c r="D6" s="111">
        <v>6194</v>
      </c>
      <c r="E6" s="111">
        <v>18679</v>
      </c>
      <c r="F6" s="111">
        <v>558</v>
      </c>
      <c r="G6" s="111">
        <v>811</v>
      </c>
      <c r="H6" s="111">
        <v>1369</v>
      </c>
      <c r="I6" s="111">
        <v>212</v>
      </c>
      <c r="J6" s="111">
        <v>326</v>
      </c>
      <c r="K6" s="111">
        <v>538</v>
      </c>
      <c r="L6" s="111">
        <v>1754</v>
      </c>
      <c r="M6" s="111">
        <v>1977</v>
      </c>
      <c r="N6" s="111">
        <v>3731</v>
      </c>
    </row>
    <row r="7" spans="1:14" x14ac:dyDescent="0.3">
      <c r="A7" s="357">
        <v>3</v>
      </c>
      <c r="B7" s="110" t="s">
        <v>131</v>
      </c>
      <c r="C7" s="111">
        <v>46</v>
      </c>
      <c r="D7" s="111"/>
      <c r="E7" s="111">
        <v>46</v>
      </c>
      <c r="F7" s="111">
        <v>2</v>
      </c>
      <c r="G7" s="111"/>
      <c r="H7" s="111">
        <v>2</v>
      </c>
      <c r="I7" s="111"/>
      <c r="J7" s="111"/>
      <c r="K7" s="111"/>
      <c r="L7" s="111">
        <v>6</v>
      </c>
      <c r="M7" s="111"/>
      <c r="N7" s="111">
        <v>6</v>
      </c>
    </row>
    <row r="8" spans="1:14" x14ac:dyDescent="0.3">
      <c r="A8" s="357">
        <v>4</v>
      </c>
      <c r="B8" s="110" t="s">
        <v>132</v>
      </c>
      <c r="C8" s="111">
        <v>361</v>
      </c>
      <c r="D8" s="111">
        <v>233</v>
      </c>
      <c r="E8" s="111">
        <v>594</v>
      </c>
      <c r="F8" s="111">
        <v>95</v>
      </c>
      <c r="G8" s="111">
        <v>70</v>
      </c>
      <c r="H8" s="111">
        <v>165</v>
      </c>
      <c r="I8" s="111">
        <v>57</v>
      </c>
      <c r="J8" s="111">
        <v>34</v>
      </c>
      <c r="K8" s="111">
        <v>91</v>
      </c>
      <c r="L8" s="111">
        <v>81</v>
      </c>
      <c r="M8" s="111">
        <v>53</v>
      </c>
      <c r="N8" s="111">
        <v>134</v>
      </c>
    </row>
    <row r="9" spans="1:14" ht="28" x14ac:dyDescent="0.3">
      <c r="A9" s="357">
        <v>5</v>
      </c>
      <c r="B9" s="110" t="s">
        <v>133</v>
      </c>
      <c r="C9" s="111">
        <v>544</v>
      </c>
      <c r="D9" s="111">
        <v>679</v>
      </c>
      <c r="E9" s="111">
        <v>1223</v>
      </c>
      <c r="F9" s="111">
        <v>50</v>
      </c>
      <c r="G9" s="111">
        <v>65</v>
      </c>
      <c r="H9" s="111">
        <v>115</v>
      </c>
      <c r="I9" s="111">
        <v>22</v>
      </c>
      <c r="J9" s="111">
        <v>24</v>
      </c>
      <c r="K9" s="111">
        <v>46</v>
      </c>
      <c r="L9" s="111">
        <v>130</v>
      </c>
      <c r="M9" s="111">
        <v>129</v>
      </c>
      <c r="N9" s="111">
        <v>259</v>
      </c>
    </row>
    <row r="10" spans="1:14" x14ac:dyDescent="0.35">
      <c r="A10" s="357">
        <v>6</v>
      </c>
      <c r="B10" s="370" t="s">
        <v>134</v>
      </c>
      <c r="C10" s="111">
        <v>7630</v>
      </c>
      <c r="D10" s="111">
        <v>10963</v>
      </c>
      <c r="E10" s="111">
        <v>18593</v>
      </c>
      <c r="F10" s="111">
        <v>828</v>
      </c>
      <c r="G10" s="111">
        <v>1270</v>
      </c>
      <c r="H10" s="111">
        <v>2098</v>
      </c>
      <c r="I10" s="111">
        <v>453</v>
      </c>
      <c r="J10" s="111">
        <v>627</v>
      </c>
      <c r="K10" s="111">
        <v>1080</v>
      </c>
      <c r="L10" s="111">
        <v>3210</v>
      </c>
      <c r="M10" s="111">
        <v>4685</v>
      </c>
      <c r="N10" s="111">
        <v>7895</v>
      </c>
    </row>
    <row r="11" spans="1:14" ht="28" x14ac:dyDescent="0.3">
      <c r="A11" s="357">
        <v>7</v>
      </c>
      <c r="B11" s="110" t="s">
        <v>135</v>
      </c>
      <c r="C11" s="111">
        <v>39248</v>
      </c>
      <c r="D11" s="111">
        <v>57563</v>
      </c>
      <c r="E11" s="111">
        <v>96811</v>
      </c>
      <c r="F11" s="111">
        <v>8617</v>
      </c>
      <c r="G11" s="111">
        <v>10699</v>
      </c>
      <c r="H11" s="111">
        <v>19316</v>
      </c>
      <c r="I11" s="111">
        <v>6042</v>
      </c>
      <c r="J11" s="111">
        <v>6702</v>
      </c>
      <c r="K11" s="111">
        <v>12744</v>
      </c>
      <c r="L11" s="111">
        <v>15360</v>
      </c>
      <c r="M11" s="111">
        <v>23600</v>
      </c>
      <c r="N11" s="111">
        <v>38960</v>
      </c>
    </row>
    <row r="12" spans="1:14" ht="28" x14ac:dyDescent="0.3">
      <c r="A12" s="357">
        <v>8</v>
      </c>
      <c r="B12" s="110" t="s">
        <v>136</v>
      </c>
      <c r="C12" s="111">
        <v>110709</v>
      </c>
      <c r="D12" s="111">
        <v>89146</v>
      </c>
      <c r="E12" s="111">
        <v>199855</v>
      </c>
      <c r="F12" s="111">
        <v>15517</v>
      </c>
      <c r="G12" s="111">
        <v>12997</v>
      </c>
      <c r="H12" s="111">
        <v>28514</v>
      </c>
      <c r="I12" s="111">
        <v>4375</v>
      </c>
      <c r="J12" s="111">
        <v>3587</v>
      </c>
      <c r="K12" s="111">
        <v>7962</v>
      </c>
      <c r="L12" s="111">
        <v>32709</v>
      </c>
      <c r="M12" s="111">
        <v>22424</v>
      </c>
      <c r="N12" s="111">
        <v>55133</v>
      </c>
    </row>
    <row r="13" spans="1:14" ht="28" x14ac:dyDescent="0.3">
      <c r="A13" s="357">
        <v>9</v>
      </c>
      <c r="B13" s="110" t="s">
        <v>137</v>
      </c>
      <c r="C13" s="111">
        <v>1100</v>
      </c>
      <c r="D13" s="111">
        <v>1028</v>
      </c>
      <c r="E13" s="111">
        <v>2128</v>
      </c>
      <c r="F13" s="111">
        <v>319</v>
      </c>
      <c r="G13" s="111">
        <v>220</v>
      </c>
      <c r="H13" s="111">
        <v>539</v>
      </c>
      <c r="I13" s="111">
        <v>18</v>
      </c>
      <c r="J13" s="111">
        <v>22</v>
      </c>
      <c r="K13" s="111">
        <v>40</v>
      </c>
      <c r="L13" s="111">
        <v>282</v>
      </c>
      <c r="M13" s="111">
        <v>239</v>
      </c>
      <c r="N13" s="111">
        <v>521</v>
      </c>
    </row>
    <row r="14" spans="1:14" ht="28" x14ac:dyDescent="0.3">
      <c r="A14" s="357">
        <v>10</v>
      </c>
      <c r="B14" s="110" t="s">
        <v>138</v>
      </c>
      <c r="C14" s="111">
        <v>904187</v>
      </c>
      <c r="D14" s="111">
        <v>1254235</v>
      </c>
      <c r="E14" s="111">
        <v>2158422</v>
      </c>
      <c r="F14" s="111">
        <v>144233</v>
      </c>
      <c r="G14" s="111">
        <v>177260</v>
      </c>
      <c r="H14" s="111">
        <v>321493</v>
      </c>
      <c r="I14" s="111">
        <v>99252</v>
      </c>
      <c r="J14" s="111">
        <v>124336</v>
      </c>
      <c r="K14" s="111">
        <v>223588</v>
      </c>
      <c r="L14" s="111">
        <v>374804</v>
      </c>
      <c r="M14" s="111">
        <v>486172</v>
      </c>
      <c r="N14" s="111">
        <v>860976</v>
      </c>
    </row>
    <row r="15" spans="1:14" x14ac:dyDescent="0.3">
      <c r="A15" s="357">
        <v>11</v>
      </c>
      <c r="B15" s="110" t="s">
        <v>139</v>
      </c>
      <c r="C15" s="111">
        <v>5042329</v>
      </c>
      <c r="D15" s="111">
        <v>5893877</v>
      </c>
      <c r="E15" s="111">
        <v>10936206</v>
      </c>
      <c r="F15" s="111">
        <v>1027047</v>
      </c>
      <c r="G15" s="111">
        <v>1152095</v>
      </c>
      <c r="H15" s="111">
        <v>2179142</v>
      </c>
      <c r="I15" s="111">
        <v>455219</v>
      </c>
      <c r="J15" s="111">
        <v>497532</v>
      </c>
      <c r="K15" s="111">
        <v>952751</v>
      </c>
      <c r="L15" s="111">
        <v>2038023</v>
      </c>
      <c r="M15" s="111">
        <v>2405928</v>
      </c>
      <c r="N15" s="111">
        <v>4443951</v>
      </c>
    </row>
    <row r="16" spans="1:14" ht="28" x14ac:dyDescent="0.3">
      <c r="A16" s="357">
        <v>12</v>
      </c>
      <c r="B16" s="110" t="s">
        <v>140</v>
      </c>
      <c r="C16" s="111">
        <v>3124</v>
      </c>
      <c r="D16" s="111">
        <v>4228</v>
      </c>
      <c r="E16" s="111">
        <v>7352</v>
      </c>
      <c r="F16" s="111">
        <v>262</v>
      </c>
      <c r="G16" s="111">
        <v>391</v>
      </c>
      <c r="H16" s="111">
        <v>653</v>
      </c>
      <c r="I16" s="111">
        <v>101</v>
      </c>
      <c r="J16" s="111">
        <v>159</v>
      </c>
      <c r="K16" s="111">
        <v>260</v>
      </c>
      <c r="L16" s="111">
        <v>1296</v>
      </c>
      <c r="M16" s="111">
        <v>1670</v>
      </c>
      <c r="N16" s="111">
        <v>2966</v>
      </c>
    </row>
    <row r="17" spans="1:14" ht="28" x14ac:dyDescent="0.3">
      <c r="A17" s="357">
        <v>13</v>
      </c>
      <c r="B17" s="110" t="s">
        <v>141</v>
      </c>
      <c r="C17" s="111">
        <v>38525</v>
      </c>
      <c r="D17" s="111">
        <v>50583</v>
      </c>
      <c r="E17" s="111">
        <v>89108</v>
      </c>
      <c r="F17" s="111">
        <v>3779</v>
      </c>
      <c r="G17" s="111">
        <v>5018</v>
      </c>
      <c r="H17" s="111">
        <v>8797</v>
      </c>
      <c r="I17" s="111">
        <v>1659</v>
      </c>
      <c r="J17" s="111">
        <v>2273</v>
      </c>
      <c r="K17" s="111">
        <v>3932</v>
      </c>
      <c r="L17" s="111">
        <v>16703</v>
      </c>
      <c r="M17" s="111">
        <v>20251</v>
      </c>
      <c r="N17" s="111">
        <v>36954</v>
      </c>
    </row>
    <row r="18" spans="1:14" ht="28" x14ac:dyDescent="0.3">
      <c r="A18" s="357">
        <v>14</v>
      </c>
      <c r="B18" s="110" t="s">
        <v>142</v>
      </c>
      <c r="C18" s="111">
        <v>1114</v>
      </c>
      <c r="D18" s="111">
        <v>2990</v>
      </c>
      <c r="E18" s="111">
        <v>4104</v>
      </c>
      <c r="F18" s="111">
        <v>106</v>
      </c>
      <c r="G18" s="111">
        <v>156</v>
      </c>
      <c r="H18" s="111">
        <v>262</v>
      </c>
      <c r="I18" s="111">
        <v>34</v>
      </c>
      <c r="J18" s="111">
        <v>64</v>
      </c>
      <c r="K18" s="111">
        <v>98</v>
      </c>
      <c r="L18" s="111">
        <v>473</v>
      </c>
      <c r="M18" s="111">
        <v>1668</v>
      </c>
      <c r="N18" s="111">
        <v>2141</v>
      </c>
    </row>
    <row r="19" spans="1:14" x14ac:dyDescent="0.3">
      <c r="A19" s="357">
        <v>15</v>
      </c>
      <c r="B19" s="110" t="s">
        <v>143</v>
      </c>
      <c r="C19" s="111">
        <v>129343</v>
      </c>
      <c r="D19" s="111">
        <v>47515</v>
      </c>
      <c r="E19" s="111">
        <v>176858</v>
      </c>
      <c r="F19" s="111">
        <v>17936</v>
      </c>
      <c r="G19" s="111">
        <v>6929</v>
      </c>
      <c r="H19" s="111">
        <v>24865</v>
      </c>
      <c r="I19" s="111">
        <v>5895</v>
      </c>
      <c r="J19" s="111">
        <v>3503</v>
      </c>
      <c r="K19" s="111">
        <v>9398</v>
      </c>
      <c r="L19" s="111">
        <v>63111</v>
      </c>
      <c r="M19" s="111">
        <v>20931</v>
      </c>
      <c r="N19" s="111">
        <v>84042</v>
      </c>
    </row>
    <row r="20" spans="1:14" x14ac:dyDescent="0.3">
      <c r="A20" s="357">
        <v>16</v>
      </c>
      <c r="B20" s="110" t="s">
        <v>144</v>
      </c>
      <c r="C20" s="111">
        <v>29754</v>
      </c>
      <c r="D20" s="111">
        <v>34842</v>
      </c>
      <c r="E20" s="111">
        <v>64596</v>
      </c>
      <c r="F20" s="111">
        <v>1957</v>
      </c>
      <c r="G20" s="111">
        <v>1961</v>
      </c>
      <c r="H20" s="111">
        <v>3918</v>
      </c>
      <c r="I20" s="111">
        <v>587</v>
      </c>
      <c r="J20" s="111">
        <v>543</v>
      </c>
      <c r="K20" s="111">
        <v>1130</v>
      </c>
      <c r="L20" s="111">
        <v>11116</v>
      </c>
      <c r="M20" s="111">
        <v>11580</v>
      </c>
      <c r="N20" s="111">
        <v>22696</v>
      </c>
    </row>
    <row r="21" spans="1:14" ht="28" x14ac:dyDescent="0.3">
      <c r="A21" s="357">
        <v>17</v>
      </c>
      <c r="B21" s="110" t="s">
        <v>145</v>
      </c>
      <c r="C21" s="111">
        <v>11033</v>
      </c>
      <c r="D21" s="111">
        <v>7265</v>
      </c>
      <c r="E21" s="111">
        <v>18298</v>
      </c>
      <c r="F21" s="111">
        <v>709</v>
      </c>
      <c r="G21" s="111">
        <v>546</v>
      </c>
      <c r="H21" s="111">
        <v>1255</v>
      </c>
      <c r="I21" s="111">
        <v>278</v>
      </c>
      <c r="J21" s="111">
        <v>217</v>
      </c>
      <c r="K21" s="111">
        <v>495</v>
      </c>
      <c r="L21" s="111">
        <v>1928</v>
      </c>
      <c r="M21" s="111">
        <v>1413</v>
      </c>
      <c r="N21" s="111">
        <v>3341</v>
      </c>
    </row>
    <row r="22" spans="1:14" ht="28" x14ac:dyDescent="0.3">
      <c r="A22" s="357">
        <v>18</v>
      </c>
      <c r="B22" s="110" t="s">
        <v>146</v>
      </c>
      <c r="C22" s="111">
        <v>539716</v>
      </c>
      <c r="D22" s="111">
        <v>341520</v>
      </c>
      <c r="E22" s="111">
        <v>881236</v>
      </c>
      <c r="F22" s="111">
        <v>48110</v>
      </c>
      <c r="G22" s="111">
        <v>34164</v>
      </c>
      <c r="H22" s="111">
        <v>82274</v>
      </c>
      <c r="I22" s="111">
        <v>11789</v>
      </c>
      <c r="J22" s="111">
        <v>7827</v>
      </c>
      <c r="K22" s="111">
        <v>19616</v>
      </c>
      <c r="L22" s="111">
        <v>186201</v>
      </c>
      <c r="M22" s="111">
        <v>122154</v>
      </c>
      <c r="N22" s="111">
        <v>308355</v>
      </c>
    </row>
    <row r="23" spans="1:14" ht="42" x14ac:dyDescent="0.3">
      <c r="A23" s="357">
        <v>19</v>
      </c>
      <c r="B23" s="110" t="s">
        <v>147</v>
      </c>
      <c r="C23" s="111">
        <v>92</v>
      </c>
      <c r="D23" s="111">
        <v>64</v>
      </c>
      <c r="E23" s="111">
        <v>156</v>
      </c>
      <c r="F23" s="111">
        <v>27</v>
      </c>
      <c r="G23" s="111">
        <v>13</v>
      </c>
      <c r="H23" s="111">
        <v>40</v>
      </c>
      <c r="I23" s="111"/>
      <c r="J23" s="111"/>
      <c r="K23" s="111"/>
      <c r="L23" s="111">
        <v>34</v>
      </c>
      <c r="M23" s="111">
        <v>18</v>
      </c>
      <c r="N23" s="111">
        <v>52</v>
      </c>
    </row>
    <row r="24" spans="1:14" x14ac:dyDescent="0.3">
      <c r="A24" s="357">
        <v>20</v>
      </c>
      <c r="B24" s="110" t="s">
        <v>148</v>
      </c>
      <c r="C24" s="111">
        <v>1898</v>
      </c>
      <c r="D24" s="111">
        <v>1742</v>
      </c>
      <c r="E24" s="111">
        <v>3640</v>
      </c>
      <c r="F24" s="111">
        <v>114</v>
      </c>
      <c r="G24" s="111">
        <v>100</v>
      </c>
      <c r="H24" s="111">
        <v>214</v>
      </c>
      <c r="I24" s="111">
        <v>22</v>
      </c>
      <c r="J24" s="111">
        <v>20</v>
      </c>
      <c r="K24" s="111">
        <v>42</v>
      </c>
      <c r="L24" s="111">
        <v>379</v>
      </c>
      <c r="M24" s="111">
        <v>376</v>
      </c>
      <c r="N24" s="111">
        <v>755</v>
      </c>
    </row>
    <row r="25" spans="1:14" ht="42" x14ac:dyDescent="0.3">
      <c r="A25" s="357">
        <v>21</v>
      </c>
      <c r="B25" s="110" t="s">
        <v>149</v>
      </c>
      <c r="C25" s="111">
        <v>18003</v>
      </c>
      <c r="D25" s="111">
        <v>16034</v>
      </c>
      <c r="E25" s="111">
        <v>34037</v>
      </c>
      <c r="F25" s="111">
        <v>1171</v>
      </c>
      <c r="G25" s="111">
        <v>986</v>
      </c>
      <c r="H25" s="111">
        <v>2157</v>
      </c>
      <c r="I25" s="111">
        <v>390</v>
      </c>
      <c r="J25" s="111">
        <v>326</v>
      </c>
      <c r="K25" s="111">
        <v>716</v>
      </c>
      <c r="L25" s="111">
        <v>3696</v>
      </c>
      <c r="M25" s="111">
        <v>3298</v>
      </c>
      <c r="N25" s="111">
        <v>6994</v>
      </c>
    </row>
    <row r="26" spans="1:14" ht="28" x14ac:dyDescent="0.3">
      <c r="A26" s="357">
        <v>22</v>
      </c>
      <c r="B26" s="110" t="s">
        <v>150</v>
      </c>
      <c r="C26" s="111">
        <v>12687</v>
      </c>
      <c r="D26" s="111">
        <v>8212</v>
      </c>
      <c r="E26" s="111">
        <v>20899</v>
      </c>
      <c r="F26" s="111">
        <v>857</v>
      </c>
      <c r="G26" s="111">
        <v>715</v>
      </c>
      <c r="H26" s="111">
        <v>1572</v>
      </c>
      <c r="I26" s="111">
        <v>251</v>
      </c>
      <c r="J26" s="111">
        <v>176</v>
      </c>
      <c r="K26" s="111">
        <v>427</v>
      </c>
      <c r="L26" s="111">
        <v>3403</v>
      </c>
      <c r="M26" s="111">
        <v>2597</v>
      </c>
      <c r="N26" s="111">
        <v>6000</v>
      </c>
    </row>
    <row r="27" spans="1:14" ht="28" x14ac:dyDescent="0.3">
      <c r="A27" s="357">
        <v>23</v>
      </c>
      <c r="B27" s="110" t="s">
        <v>151</v>
      </c>
      <c r="C27" s="111">
        <v>386</v>
      </c>
      <c r="D27" s="111">
        <v>161</v>
      </c>
      <c r="E27" s="111">
        <v>547</v>
      </c>
      <c r="F27" s="111">
        <v>46</v>
      </c>
      <c r="G27" s="111">
        <v>7</v>
      </c>
      <c r="H27" s="111">
        <v>53</v>
      </c>
      <c r="I27" s="111">
        <v>2</v>
      </c>
      <c r="J27" s="111"/>
      <c r="K27" s="111">
        <v>2</v>
      </c>
      <c r="L27" s="111">
        <v>69</v>
      </c>
      <c r="M27" s="111">
        <v>16</v>
      </c>
      <c r="N27" s="111">
        <v>85</v>
      </c>
    </row>
    <row r="28" spans="1:14" ht="28" x14ac:dyDescent="0.3">
      <c r="A28" s="357">
        <v>24</v>
      </c>
      <c r="B28" s="110" t="s">
        <v>152</v>
      </c>
      <c r="C28" s="111">
        <v>10203</v>
      </c>
      <c r="D28" s="111">
        <v>7719</v>
      </c>
      <c r="E28" s="111">
        <v>17922</v>
      </c>
      <c r="F28" s="111">
        <v>1107</v>
      </c>
      <c r="G28" s="111">
        <v>981</v>
      </c>
      <c r="H28" s="111">
        <v>2088</v>
      </c>
      <c r="I28" s="111">
        <v>369</v>
      </c>
      <c r="J28" s="111">
        <v>334</v>
      </c>
      <c r="K28" s="111">
        <v>703</v>
      </c>
      <c r="L28" s="111">
        <v>3559</v>
      </c>
      <c r="M28" s="111">
        <v>3214</v>
      </c>
      <c r="N28" s="111">
        <v>6773</v>
      </c>
    </row>
    <row r="29" spans="1:14" ht="28" x14ac:dyDescent="0.3">
      <c r="A29" s="357">
        <v>25</v>
      </c>
      <c r="B29" s="110" t="s">
        <v>153</v>
      </c>
      <c r="C29" s="111">
        <v>606664</v>
      </c>
      <c r="D29" s="111">
        <v>353152</v>
      </c>
      <c r="E29" s="111">
        <v>959816</v>
      </c>
      <c r="F29" s="111">
        <v>63553</v>
      </c>
      <c r="G29" s="111">
        <v>41920</v>
      </c>
      <c r="H29" s="111">
        <v>105473</v>
      </c>
      <c r="I29" s="111">
        <v>15334</v>
      </c>
      <c r="J29" s="111">
        <v>8892</v>
      </c>
      <c r="K29" s="111">
        <v>24226</v>
      </c>
      <c r="L29" s="111">
        <v>236298</v>
      </c>
      <c r="M29" s="111">
        <v>148748</v>
      </c>
      <c r="N29" s="111">
        <v>385046</v>
      </c>
    </row>
    <row r="30" spans="1:14" ht="28" x14ac:dyDescent="0.3">
      <c r="A30" s="357">
        <v>26</v>
      </c>
      <c r="B30" s="110" t="s">
        <v>154</v>
      </c>
      <c r="C30" s="111">
        <v>817</v>
      </c>
      <c r="D30" s="111">
        <v>123</v>
      </c>
      <c r="E30" s="111">
        <v>940</v>
      </c>
      <c r="F30" s="111">
        <v>199</v>
      </c>
      <c r="G30" s="111">
        <v>24</v>
      </c>
      <c r="H30" s="111">
        <v>223</v>
      </c>
      <c r="I30" s="111">
        <v>32</v>
      </c>
      <c r="J30" s="111">
        <v>9</v>
      </c>
      <c r="K30" s="111">
        <v>41</v>
      </c>
      <c r="L30" s="111">
        <v>135</v>
      </c>
      <c r="M30" s="111">
        <v>11</v>
      </c>
      <c r="N30" s="111">
        <v>146</v>
      </c>
    </row>
    <row r="31" spans="1:14" ht="28" x14ac:dyDescent="0.3">
      <c r="A31" s="357">
        <v>27</v>
      </c>
      <c r="B31" s="110" t="s">
        <v>155</v>
      </c>
      <c r="C31" s="111">
        <v>449</v>
      </c>
      <c r="D31" s="111">
        <v>154</v>
      </c>
      <c r="E31" s="111">
        <v>603</v>
      </c>
      <c r="F31" s="111">
        <v>62</v>
      </c>
      <c r="G31" s="111">
        <v>29</v>
      </c>
      <c r="H31" s="111">
        <v>91</v>
      </c>
      <c r="I31" s="111">
        <v>26</v>
      </c>
      <c r="J31" s="111">
        <v>12</v>
      </c>
      <c r="K31" s="111">
        <v>38</v>
      </c>
      <c r="L31" s="111">
        <v>127</v>
      </c>
      <c r="M31" s="111">
        <v>49</v>
      </c>
      <c r="N31" s="111">
        <v>176</v>
      </c>
    </row>
    <row r="32" spans="1:14" ht="28" x14ac:dyDescent="0.3">
      <c r="A32" s="357">
        <v>28</v>
      </c>
      <c r="B32" s="110" t="s">
        <v>156</v>
      </c>
      <c r="C32" s="111">
        <v>615</v>
      </c>
      <c r="D32" s="111">
        <v>169</v>
      </c>
      <c r="E32" s="111">
        <v>784</v>
      </c>
      <c r="F32" s="111">
        <v>103</v>
      </c>
      <c r="G32" s="111">
        <v>31</v>
      </c>
      <c r="H32" s="111">
        <v>134</v>
      </c>
      <c r="I32" s="111">
        <v>28</v>
      </c>
      <c r="J32" s="111">
        <v>11</v>
      </c>
      <c r="K32" s="111">
        <v>39</v>
      </c>
      <c r="L32" s="111">
        <v>192</v>
      </c>
      <c r="M32" s="111">
        <v>53</v>
      </c>
      <c r="N32" s="111">
        <v>245</v>
      </c>
    </row>
    <row r="33" spans="1:14" ht="28" x14ac:dyDescent="0.3">
      <c r="A33" s="357">
        <v>29</v>
      </c>
      <c r="B33" s="110" t="s">
        <v>157</v>
      </c>
      <c r="C33" s="111">
        <v>39</v>
      </c>
      <c r="D33" s="111">
        <v>122</v>
      </c>
      <c r="E33" s="111">
        <v>161</v>
      </c>
      <c r="F33" s="111">
        <v>13</v>
      </c>
      <c r="G33" s="111">
        <v>12</v>
      </c>
      <c r="H33" s="111">
        <v>25</v>
      </c>
      <c r="I33" s="111">
        <v>2</v>
      </c>
      <c r="J33" s="111">
        <v>2</v>
      </c>
      <c r="K33" s="111">
        <v>4</v>
      </c>
      <c r="L33" s="111">
        <v>5</v>
      </c>
      <c r="M33" s="111">
        <v>14</v>
      </c>
      <c r="N33" s="111">
        <v>19</v>
      </c>
    </row>
    <row r="34" spans="1:14" ht="28" x14ac:dyDescent="0.3">
      <c r="A34" s="357">
        <v>30</v>
      </c>
      <c r="B34" s="110" t="s">
        <v>158</v>
      </c>
      <c r="C34" s="111">
        <v>301</v>
      </c>
      <c r="D34" s="111">
        <v>350</v>
      </c>
      <c r="E34" s="111">
        <v>651</v>
      </c>
      <c r="F34" s="111">
        <v>100</v>
      </c>
      <c r="G34" s="111">
        <v>113</v>
      </c>
      <c r="H34" s="111">
        <v>213</v>
      </c>
      <c r="I34" s="111"/>
      <c r="J34" s="111">
        <v>1</v>
      </c>
      <c r="K34" s="111">
        <v>1</v>
      </c>
      <c r="L34" s="111">
        <v>71</v>
      </c>
      <c r="M34" s="111">
        <v>99</v>
      </c>
      <c r="N34" s="111">
        <v>170</v>
      </c>
    </row>
    <row r="35" spans="1:14" ht="28" x14ac:dyDescent="0.3">
      <c r="A35" s="357">
        <v>31</v>
      </c>
      <c r="B35" s="110" t="s">
        <v>159</v>
      </c>
      <c r="C35" s="111">
        <v>112572</v>
      </c>
      <c r="D35" s="111">
        <v>90885</v>
      </c>
      <c r="E35" s="111">
        <v>203457</v>
      </c>
      <c r="F35" s="111">
        <v>13627</v>
      </c>
      <c r="G35" s="111">
        <v>11031</v>
      </c>
      <c r="H35" s="111">
        <v>24658</v>
      </c>
      <c r="I35" s="111">
        <v>4125</v>
      </c>
      <c r="J35" s="111">
        <v>3571</v>
      </c>
      <c r="K35" s="111">
        <v>7696</v>
      </c>
      <c r="L35" s="111">
        <v>31121</v>
      </c>
      <c r="M35" s="111">
        <v>25842</v>
      </c>
      <c r="N35" s="111">
        <v>56963</v>
      </c>
    </row>
    <row r="36" spans="1:14" x14ac:dyDescent="0.3">
      <c r="A36" s="357">
        <v>32</v>
      </c>
      <c r="B36" s="110" t="s">
        <v>160</v>
      </c>
      <c r="C36" s="111">
        <v>2010776</v>
      </c>
      <c r="D36" s="111">
        <v>1866219</v>
      </c>
      <c r="E36" s="111">
        <v>3876995</v>
      </c>
      <c r="F36" s="111">
        <v>256989</v>
      </c>
      <c r="G36" s="111">
        <v>241001</v>
      </c>
      <c r="H36" s="111">
        <v>497990</v>
      </c>
      <c r="I36" s="111">
        <v>81489</v>
      </c>
      <c r="J36" s="111">
        <v>71202</v>
      </c>
      <c r="K36" s="111">
        <v>152691</v>
      </c>
      <c r="L36" s="111">
        <v>820413</v>
      </c>
      <c r="M36" s="111">
        <v>795446</v>
      </c>
      <c r="N36" s="111">
        <v>1615859</v>
      </c>
    </row>
    <row r="37" spans="1:14" ht="28" x14ac:dyDescent="0.3">
      <c r="A37" s="357">
        <v>33</v>
      </c>
      <c r="B37" s="110" t="s">
        <v>161</v>
      </c>
      <c r="C37" s="111">
        <v>7987</v>
      </c>
      <c r="D37" s="111">
        <v>7623</v>
      </c>
      <c r="E37" s="111">
        <v>15610</v>
      </c>
      <c r="F37" s="111">
        <v>934</v>
      </c>
      <c r="G37" s="111">
        <v>829</v>
      </c>
      <c r="H37" s="111">
        <v>1763</v>
      </c>
      <c r="I37" s="111">
        <v>143</v>
      </c>
      <c r="J37" s="111">
        <v>168</v>
      </c>
      <c r="K37" s="111">
        <v>311</v>
      </c>
      <c r="L37" s="111">
        <v>2250</v>
      </c>
      <c r="M37" s="111">
        <v>2066</v>
      </c>
      <c r="N37" s="111">
        <v>4316</v>
      </c>
    </row>
    <row r="38" spans="1:14" x14ac:dyDescent="0.3">
      <c r="A38" s="357">
        <v>34</v>
      </c>
      <c r="B38" s="110" t="s">
        <v>162</v>
      </c>
      <c r="C38" s="111">
        <v>26188</v>
      </c>
      <c r="D38" s="111">
        <v>74058</v>
      </c>
      <c r="E38" s="111">
        <v>100246</v>
      </c>
      <c r="F38" s="111">
        <v>3321</v>
      </c>
      <c r="G38" s="111">
        <v>8707</v>
      </c>
      <c r="H38" s="111">
        <v>12028</v>
      </c>
      <c r="I38" s="111">
        <v>978</v>
      </c>
      <c r="J38" s="111">
        <v>2363</v>
      </c>
      <c r="K38" s="111">
        <v>3341</v>
      </c>
      <c r="L38" s="111">
        <v>9520</v>
      </c>
      <c r="M38" s="111">
        <v>28619</v>
      </c>
      <c r="N38" s="111">
        <v>38139</v>
      </c>
    </row>
    <row r="39" spans="1:14" x14ac:dyDescent="0.3">
      <c r="A39" s="357">
        <v>35</v>
      </c>
      <c r="B39" s="110" t="s">
        <v>163</v>
      </c>
      <c r="C39" s="111">
        <v>3</v>
      </c>
      <c r="D39" s="111">
        <v>60</v>
      </c>
      <c r="E39" s="111">
        <v>63</v>
      </c>
      <c r="F39" s="111"/>
      <c r="G39" s="111">
        <v>6</v>
      </c>
      <c r="H39" s="111">
        <v>6</v>
      </c>
      <c r="I39" s="111"/>
      <c r="J39" s="111">
        <v>1</v>
      </c>
      <c r="K39" s="111">
        <v>1</v>
      </c>
      <c r="L39" s="111">
        <v>2</v>
      </c>
      <c r="M39" s="111">
        <v>41</v>
      </c>
      <c r="N39" s="111">
        <v>43</v>
      </c>
    </row>
    <row r="40" spans="1:14" x14ac:dyDescent="0.3">
      <c r="A40" s="357">
        <v>36</v>
      </c>
      <c r="B40" s="110" t="s">
        <v>164</v>
      </c>
      <c r="C40" s="111">
        <v>51</v>
      </c>
      <c r="D40" s="111">
        <v>143</v>
      </c>
      <c r="E40" s="111">
        <v>194</v>
      </c>
      <c r="F40" s="111">
        <v>5</v>
      </c>
      <c r="G40" s="111">
        <v>3</v>
      </c>
      <c r="H40" s="111">
        <v>8</v>
      </c>
      <c r="I40" s="111">
        <v>1</v>
      </c>
      <c r="J40" s="111">
        <v>6</v>
      </c>
      <c r="K40" s="111">
        <v>7</v>
      </c>
      <c r="L40" s="111">
        <v>22</v>
      </c>
      <c r="M40" s="111">
        <v>30</v>
      </c>
      <c r="N40" s="111">
        <v>52</v>
      </c>
    </row>
    <row r="41" spans="1:14" x14ac:dyDescent="0.3">
      <c r="A41" s="357">
        <v>37</v>
      </c>
      <c r="B41" s="110" t="s">
        <v>165</v>
      </c>
      <c r="C41" s="111">
        <v>15998</v>
      </c>
      <c r="D41" s="111">
        <v>40722</v>
      </c>
      <c r="E41" s="111">
        <v>56720</v>
      </c>
      <c r="F41" s="111">
        <v>1595</v>
      </c>
      <c r="G41" s="111">
        <v>6134</v>
      </c>
      <c r="H41" s="111">
        <v>7729</v>
      </c>
      <c r="I41" s="111">
        <v>543</v>
      </c>
      <c r="J41" s="111">
        <v>2212</v>
      </c>
      <c r="K41" s="111">
        <v>2755</v>
      </c>
      <c r="L41" s="111">
        <v>3044</v>
      </c>
      <c r="M41" s="111">
        <v>5727</v>
      </c>
      <c r="N41" s="111">
        <v>8771</v>
      </c>
    </row>
    <row r="42" spans="1:14" x14ac:dyDescent="0.3">
      <c r="A42" s="357">
        <v>38</v>
      </c>
      <c r="B42" s="110" t="s">
        <v>166</v>
      </c>
      <c r="C42" s="111">
        <v>142</v>
      </c>
      <c r="D42" s="111">
        <v>412</v>
      </c>
      <c r="E42" s="111">
        <v>554</v>
      </c>
      <c r="F42" s="111">
        <v>4</v>
      </c>
      <c r="G42" s="111">
        <v>55</v>
      </c>
      <c r="H42" s="111">
        <v>59</v>
      </c>
      <c r="I42" s="111">
        <v>5</v>
      </c>
      <c r="J42" s="111">
        <v>35</v>
      </c>
      <c r="K42" s="111">
        <v>40</v>
      </c>
      <c r="L42" s="111">
        <v>28</v>
      </c>
      <c r="M42" s="111">
        <v>42</v>
      </c>
      <c r="N42" s="111">
        <v>70</v>
      </c>
    </row>
    <row r="43" spans="1:14" x14ac:dyDescent="0.3">
      <c r="A43" s="357">
        <v>39</v>
      </c>
      <c r="B43" s="110" t="s">
        <v>167</v>
      </c>
      <c r="C43" s="111">
        <v>931202</v>
      </c>
      <c r="D43" s="111">
        <v>429896</v>
      </c>
      <c r="E43" s="111">
        <v>1361098</v>
      </c>
      <c r="F43" s="111">
        <v>104250</v>
      </c>
      <c r="G43" s="111">
        <v>53002</v>
      </c>
      <c r="H43" s="111">
        <v>157252</v>
      </c>
      <c r="I43" s="111">
        <v>21093</v>
      </c>
      <c r="J43" s="111">
        <v>10586</v>
      </c>
      <c r="K43" s="111">
        <v>31679</v>
      </c>
      <c r="L43" s="111">
        <v>471357</v>
      </c>
      <c r="M43" s="111">
        <v>233012</v>
      </c>
      <c r="N43" s="111">
        <v>704369</v>
      </c>
    </row>
    <row r="44" spans="1:14" ht="28" x14ac:dyDescent="0.3">
      <c r="A44" s="357">
        <v>40</v>
      </c>
      <c r="B44" s="110" t="s">
        <v>168</v>
      </c>
      <c r="C44" s="111">
        <v>1385</v>
      </c>
      <c r="D44" s="111">
        <v>1821</v>
      </c>
      <c r="E44" s="111">
        <v>3206</v>
      </c>
      <c r="F44" s="111">
        <v>207</v>
      </c>
      <c r="G44" s="111">
        <v>217</v>
      </c>
      <c r="H44" s="111">
        <v>424</v>
      </c>
      <c r="I44" s="111">
        <v>129</v>
      </c>
      <c r="J44" s="111">
        <v>133</v>
      </c>
      <c r="K44" s="111">
        <v>262</v>
      </c>
      <c r="L44" s="111">
        <v>456</v>
      </c>
      <c r="M44" s="111">
        <v>529</v>
      </c>
      <c r="N44" s="111">
        <v>985</v>
      </c>
    </row>
    <row r="45" spans="1:14" x14ac:dyDescent="0.3">
      <c r="A45" s="357">
        <v>41</v>
      </c>
      <c r="B45" s="110" t="s">
        <v>169</v>
      </c>
      <c r="C45" s="111">
        <v>554738</v>
      </c>
      <c r="D45" s="111">
        <v>1029205</v>
      </c>
      <c r="E45" s="111">
        <v>1583943</v>
      </c>
      <c r="F45" s="111">
        <v>107906</v>
      </c>
      <c r="G45" s="111">
        <v>170332</v>
      </c>
      <c r="H45" s="111">
        <v>278238</v>
      </c>
      <c r="I45" s="111">
        <v>50369</v>
      </c>
      <c r="J45" s="111">
        <v>75240</v>
      </c>
      <c r="K45" s="111">
        <v>125609</v>
      </c>
      <c r="L45" s="111">
        <v>203611</v>
      </c>
      <c r="M45" s="111">
        <v>384320</v>
      </c>
      <c r="N45" s="111">
        <v>587931</v>
      </c>
    </row>
    <row r="46" spans="1:14" ht="28" x14ac:dyDescent="0.3">
      <c r="A46" s="357">
        <v>42</v>
      </c>
      <c r="B46" s="110" t="s">
        <v>170</v>
      </c>
      <c r="C46" s="111">
        <v>3417</v>
      </c>
      <c r="D46" s="111">
        <v>7213</v>
      </c>
      <c r="E46" s="111">
        <v>10630</v>
      </c>
      <c r="F46" s="111">
        <v>780</v>
      </c>
      <c r="G46" s="111">
        <v>1239</v>
      </c>
      <c r="H46" s="111">
        <v>2019</v>
      </c>
      <c r="I46" s="111">
        <v>62</v>
      </c>
      <c r="J46" s="111">
        <v>109</v>
      </c>
      <c r="K46" s="111">
        <v>171</v>
      </c>
      <c r="L46" s="111">
        <v>1548</v>
      </c>
      <c r="M46" s="111">
        <v>3087</v>
      </c>
      <c r="N46" s="111">
        <v>4635</v>
      </c>
    </row>
    <row r="47" spans="1:14" x14ac:dyDescent="0.3">
      <c r="A47" s="357">
        <v>43</v>
      </c>
      <c r="B47" s="110" t="s">
        <v>171</v>
      </c>
      <c r="C47" s="111">
        <v>13548</v>
      </c>
      <c r="D47" s="111">
        <v>16689</v>
      </c>
      <c r="E47" s="111">
        <v>30237</v>
      </c>
      <c r="F47" s="111">
        <v>2567</v>
      </c>
      <c r="G47" s="111">
        <v>1951</v>
      </c>
      <c r="H47" s="111">
        <v>4518</v>
      </c>
      <c r="I47" s="111">
        <v>1066</v>
      </c>
      <c r="J47" s="111">
        <v>695</v>
      </c>
      <c r="K47" s="111">
        <v>1761</v>
      </c>
      <c r="L47" s="111">
        <v>4691</v>
      </c>
      <c r="M47" s="111">
        <v>5119</v>
      </c>
      <c r="N47" s="111">
        <v>9810</v>
      </c>
    </row>
    <row r="48" spans="1:14" ht="28" x14ac:dyDescent="0.3">
      <c r="A48" s="357">
        <v>44</v>
      </c>
      <c r="B48" s="110" t="s">
        <v>172</v>
      </c>
      <c r="C48" s="111">
        <v>2541</v>
      </c>
      <c r="D48" s="111">
        <v>2469</v>
      </c>
      <c r="E48" s="111">
        <v>5010</v>
      </c>
      <c r="F48" s="111">
        <v>388</v>
      </c>
      <c r="G48" s="111">
        <v>358</v>
      </c>
      <c r="H48" s="111">
        <v>746</v>
      </c>
      <c r="I48" s="111">
        <v>202</v>
      </c>
      <c r="J48" s="111">
        <v>246</v>
      </c>
      <c r="K48" s="111">
        <v>448</v>
      </c>
      <c r="L48" s="111">
        <v>1175</v>
      </c>
      <c r="M48" s="111">
        <v>1168</v>
      </c>
      <c r="N48" s="111">
        <v>2343</v>
      </c>
    </row>
    <row r="49" spans="1:14" ht="28" x14ac:dyDescent="0.3">
      <c r="A49" s="357">
        <v>45</v>
      </c>
      <c r="B49" s="110" t="s">
        <v>173</v>
      </c>
      <c r="C49" s="111">
        <v>535</v>
      </c>
      <c r="D49" s="111">
        <v>2404</v>
      </c>
      <c r="E49" s="111">
        <v>2939</v>
      </c>
      <c r="F49" s="111">
        <v>96</v>
      </c>
      <c r="G49" s="111">
        <v>310</v>
      </c>
      <c r="H49" s="111">
        <v>406</v>
      </c>
      <c r="I49" s="111">
        <v>15</v>
      </c>
      <c r="J49" s="111">
        <v>140</v>
      </c>
      <c r="K49" s="111">
        <v>155</v>
      </c>
      <c r="L49" s="111">
        <v>121</v>
      </c>
      <c r="M49" s="111">
        <v>665</v>
      </c>
      <c r="N49" s="111">
        <v>786</v>
      </c>
    </row>
    <row r="50" spans="1:14" x14ac:dyDescent="0.3">
      <c r="A50" s="357">
        <v>46</v>
      </c>
      <c r="B50" s="110" t="s">
        <v>174</v>
      </c>
      <c r="C50" s="111">
        <v>1002</v>
      </c>
      <c r="D50" s="111">
        <v>951</v>
      </c>
      <c r="E50" s="111">
        <v>1953</v>
      </c>
      <c r="F50" s="111">
        <v>135</v>
      </c>
      <c r="G50" s="111">
        <v>120</v>
      </c>
      <c r="H50" s="111">
        <v>255</v>
      </c>
      <c r="I50" s="111">
        <v>27</v>
      </c>
      <c r="J50" s="111">
        <v>24</v>
      </c>
      <c r="K50" s="111">
        <v>51</v>
      </c>
      <c r="L50" s="111">
        <v>255</v>
      </c>
      <c r="M50" s="111">
        <v>201</v>
      </c>
      <c r="N50" s="111">
        <v>456</v>
      </c>
    </row>
    <row r="51" spans="1:14" ht="28" x14ac:dyDescent="0.3">
      <c r="A51" s="357">
        <v>47</v>
      </c>
      <c r="B51" s="110" t="s">
        <v>175</v>
      </c>
      <c r="C51" s="111">
        <v>2695</v>
      </c>
      <c r="D51" s="111">
        <v>3346</v>
      </c>
      <c r="E51" s="111">
        <v>6041</v>
      </c>
      <c r="F51" s="111">
        <v>278</v>
      </c>
      <c r="G51" s="111">
        <v>342</v>
      </c>
      <c r="H51" s="111">
        <v>620</v>
      </c>
      <c r="I51" s="111">
        <v>97</v>
      </c>
      <c r="J51" s="111">
        <v>99</v>
      </c>
      <c r="K51" s="111">
        <v>196</v>
      </c>
      <c r="L51" s="111">
        <v>526</v>
      </c>
      <c r="M51" s="111">
        <v>612</v>
      </c>
      <c r="N51" s="111">
        <v>1138</v>
      </c>
    </row>
    <row r="52" spans="1:14" ht="28" x14ac:dyDescent="0.3">
      <c r="A52" s="357">
        <v>48</v>
      </c>
      <c r="B52" s="110" t="s">
        <v>176</v>
      </c>
      <c r="C52" s="111">
        <v>32525</v>
      </c>
      <c r="D52" s="111">
        <v>10450</v>
      </c>
      <c r="E52" s="111">
        <v>42975</v>
      </c>
      <c r="F52" s="111">
        <v>5391</v>
      </c>
      <c r="G52" s="111">
        <v>2233</v>
      </c>
      <c r="H52" s="111">
        <v>7624</v>
      </c>
      <c r="I52" s="111">
        <v>2280</v>
      </c>
      <c r="J52" s="111">
        <v>1393</v>
      </c>
      <c r="K52" s="111">
        <v>3673</v>
      </c>
      <c r="L52" s="111">
        <v>6698</v>
      </c>
      <c r="M52" s="111">
        <v>1427</v>
      </c>
      <c r="N52" s="111">
        <v>8125</v>
      </c>
    </row>
    <row r="53" spans="1:14" ht="42" x14ac:dyDescent="0.3">
      <c r="A53" s="357">
        <v>49</v>
      </c>
      <c r="B53" s="110" t="s">
        <v>177</v>
      </c>
      <c r="C53" s="111">
        <v>16434</v>
      </c>
      <c r="D53" s="111">
        <v>4340</v>
      </c>
      <c r="E53" s="111">
        <v>20774</v>
      </c>
      <c r="F53" s="111">
        <v>2871</v>
      </c>
      <c r="G53" s="111">
        <v>1058</v>
      </c>
      <c r="H53" s="111">
        <v>3929</v>
      </c>
      <c r="I53" s="111">
        <v>381</v>
      </c>
      <c r="J53" s="111">
        <v>117</v>
      </c>
      <c r="K53" s="111">
        <v>498</v>
      </c>
      <c r="L53" s="111">
        <v>4175</v>
      </c>
      <c r="M53" s="111">
        <v>828</v>
      </c>
      <c r="N53" s="111">
        <v>5003</v>
      </c>
    </row>
    <row r="54" spans="1:14" ht="28" x14ac:dyDescent="0.3">
      <c r="A54" s="357">
        <v>50</v>
      </c>
      <c r="B54" s="110" t="s">
        <v>178</v>
      </c>
      <c r="C54" s="111">
        <v>25832</v>
      </c>
      <c r="D54" s="111">
        <v>39882</v>
      </c>
      <c r="E54" s="111">
        <v>65714</v>
      </c>
      <c r="F54" s="111">
        <v>2721</v>
      </c>
      <c r="G54" s="111">
        <v>4369</v>
      </c>
      <c r="H54" s="111">
        <v>7090</v>
      </c>
      <c r="I54" s="111">
        <v>1180</v>
      </c>
      <c r="J54" s="111">
        <v>1694</v>
      </c>
      <c r="K54" s="111">
        <v>2874</v>
      </c>
      <c r="L54" s="111">
        <v>11193</v>
      </c>
      <c r="M54" s="111">
        <v>16743</v>
      </c>
      <c r="N54" s="111">
        <v>27936</v>
      </c>
    </row>
    <row r="55" spans="1:14" ht="28" x14ac:dyDescent="0.3">
      <c r="A55" s="357">
        <v>51</v>
      </c>
      <c r="B55" s="110" t="s">
        <v>179</v>
      </c>
      <c r="C55" s="111">
        <v>7418</v>
      </c>
      <c r="D55" s="111">
        <v>4842</v>
      </c>
      <c r="E55" s="111">
        <v>12260</v>
      </c>
      <c r="F55" s="111">
        <v>861</v>
      </c>
      <c r="G55" s="111">
        <v>768</v>
      </c>
      <c r="H55" s="111">
        <v>1629</v>
      </c>
      <c r="I55" s="111">
        <v>1013</v>
      </c>
      <c r="J55" s="111">
        <v>784</v>
      </c>
      <c r="K55" s="111">
        <v>1797</v>
      </c>
      <c r="L55" s="111">
        <v>1377</v>
      </c>
      <c r="M55" s="111">
        <v>849</v>
      </c>
      <c r="N55" s="111">
        <v>2226</v>
      </c>
    </row>
    <row r="56" spans="1:14" ht="28" x14ac:dyDescent="0.3">
      <c r="A56" s="357">
        <v>52</v>
      </c>
      <c r="B56" s="110" t="s">
        <v>180</v>
      </c>
      <c r="C56" s="111">
        <v>1291</v>
      </c>
      <c r="D56" s="111">
        <v>1394</v>
      </c>
      <c r="E56" s="111">
        <v>2685</v>
      </c>
      <c r="F56" s="111">
        <v>161</v>
      </c>
      <c r="G56" s="111">
        <v>177</v>
      </c>
      <c r="H56" s="111">
        <v>338</v>
      </c>
      <c r="I56" s="111">
        <v>17</v>
      </c>
      <c r="J56" s="111">
        <v>22</v>
      </c>
      <c r="K56" s="111">
        <v>39</v>
      </c>
      <c r="L56" s="111">
        <v>375</v>
      </c>
      <c r="M56" s="111">
        <v>321</v>
      </c>
      <c r="N56" s="111">
        <v>696</v>
      </c>
    </row>
    <row r="57" spans="1:14" ht="28" x14ac:dyDescent="0.3">
      <c r="A57" s="357">
        <v>53</v>
      </c>
      <c r="B57" s="110" t="s">
        <v>181</v>
      </c>
      <c r="C57" s="111">
        <v>1335</v>
      </c>
      <c r="D57" s="111">
        <v>860</v>
      </c>
      <c r="E57" s="111">
        <v>2195</v>
      </c>
      <c r="F57" s="111">
        <v>300</v>
      </c>
      <c r="G57" s="111">
        <v>156</v>
      </c>
      <c r="H57" s="111">
        <v>456</v>
      </c>
      <c r="I57" s="111">
        <v>192</v>
      </c>
      <c r="J57" s="111">
        <v>196</v>
      </c>
      <c r="K57" s="111">
        <v>388</v>
      </c>
      <c r="L57" s="111">
        <v>203</v>
      </c>
      <c r="M57" s="111">
        <v>103</v>
      </c>
      <c r="N57" s="111">
        <v>306</v>
      </c>
    </row>
    <row r="58" spans="1:14" ht="28" x14ac:dyDescent="0.3">
      <c r="A58" s="357">
        <v>54</v>
      </c>
      <c r="B58" s="110" t="s">
        <v>182</v>
      </c>
      <c r="C58" s="111">
        <v>1194</v>
      </c>
      <c r="D58" s="111">
        <v>138</v>
      </c>
      <c r="E58" s="111">
        <v>1332</v>
      </c>
      <c r="F58" s="111">
        <v>4</v>
      </c>
      <c r="G58" s="111">
        <v>3</v>
      </c>
      <c r="H58" s="111">
        <v>7</v>
      </c>
      <c r="I58" s="111">
        <v>2</v>
      </c>
      <c r="J58" s="111">
        <v>1</v>
      </c>
      <c r="K58" s="111">
        <v>3</v>
      </c>
      <c r="L58" s="111">
        <v>51</v>
      </c>
      <c r="M58" s="111">
        <v>34</v>
      </c>
      <c r="N58" s="111">
        <v>85</v>
      </c>
    </row>
    <row r="59" spans="1:14" x14ac:dyDescent="0.3">
      <c r="A59" s="357">
        <v>55</v>
      </c>
      <c r="B59" s="110" t="s">
        <v>183</v>
      </c>
      <c r="C59" s="111">
        <v>350</v>
      </c>
      <c r="D59" s="111">
        <v>466</v>
      </c>
      <c r="E59" s="111">
        <v>816</v>
      </c>
      <c r="F59" s="111">
        <v>29</v>
      </c>
      <c r="G59" s="111">
        <v>38</v>
      </c>
      <c r="H59" s="111">
        <v>67</v>
      </c>
      <c r="I59" s="111">
        <v>2</v>
      </c>
      <c r="J59" s="111">
        <v>1</v>
      </c>
      <c r="K59" s="111">
        <v>3</v>
      </c>
      <c r="L59" s="111">
        <v>210</v>
      </c>
      <c r="M59" s="111">
        <v>284</v>
      </c>
      <c r="N59" s="111">
        <v>494</v>
      </c>
    </row>
    <row r="60" spans="1:14" x14ac:dyDescent="0.3">
      <c r="A60" s="357">
        <v>56</v>
      </c>
      <c r="B60" s="110" t="s">
        <v>184</v>
      </c>
      <c r="C60" s="111">
        <v>1229</v>
      </c>
      <c r="D60" s="111">
        <v>983</v>
      </c>
      <c r="E60" s="111">
        <v>2212</v>
      </c>
      <c r="F60" s="111">
        <v>196</v>
      </c>
      <c r="G60" s="111">
        <v>87</v>
      </c>
      <c r="H60" s="111">
        <v>283</v>
      </c>
      <c r="I60" s="111">
        <v>83</v>
      </c>
      <c r="J60" s="111">
        <v>20</v>
      </c>
      <c r="K60" s="111">
        <v>103</v>
      </c>
      <c r="L60" s="111">
        <v>298</v>
      </c>
      <c r="M60" s="111">
        <v>132</v>
      </c>
      <c r="N60" s="111">
        <v>430</v>
      </c>
    </row>
    <row r="61" spans="1:14" ht="28" x14ac:dyDescent="0.3">
      <c r="A61" s="357">
        <v>57</v>
      </c>
      <c r="B61" s="110" t="s">
        <v>185</v>
      </c>
      <c r="C61" s="111">
        <v>9368</v>
      </c>
      <c r="D61" s="111">
        <v>10457</v>
      </c>
      <c r="E61" s="111">
        <v>19825</v>
      </c>
      <c r="F61" s="111">
        <v>1393</v>
      </c>
      <c r="G61" s="111">
        <v>1152</v>
      </c>
      <c r="H61" s="111">
        <v>2545</v>
      </c>
      <c r="I61" s="111">
        <v>488</v>
      </c>
      <c r="J61" s="111">
        <v>274</v>
      </c>
      <c r="K61" s="111">
        <v>762</v>
      </c>
      <c r="L61" s="111">
        <v>1548</v>
      </c>
      <c r="M61" s="111">
        <v>1459</v>
      </c>
      <c r="N61" s="111">
        <v>3007</v>
      </c>
    </row>
    <row r="62" spans="1:14" x14ac:dyDescent="0.3">
      <c r="A62" s="357">
        <v>58</v>
      </c>
      <c r="B62" s="110" t="s">
        <v>186</v>
      </c>
      <c r="C62" s="111">
        <v>47857</v>
      </c>
      <c r="D62" s="111">
        <v>32420</v>
      </c>
      <c r="E62" s="111">
        <v>80277</v>
      </c>
      <c r="F62" s="111">
        <v>6813</v>
      </c>
      <c r="G62" s="111">
        <v>4672</v>
      </c>
      <c r="H62" s="111">
        <v>11485</v>
      </c>
      <c r="I62" s="111">
        <v>1072</v>
      </c>
      <c r="J62" s="111">
        <v>792</v>
      </c>
      <c r="K62" s="111">
        <v>1864</v>
      </c>
      <c r="L62" s="111">
        <v>15308</v>
      </c>
      <c r="M62" s="111">
        <v>9531</v>
      </c>
      <c r="N62" s="111">
        <v>24839</v>
      </c>
    </row>
    <row r="63" spans="1:14" ht="28" x14ac:dyDescent="0.3">
      <c r="A63" s="357">
        <v>59</v>
      </c>
      <c r="B63" s="110" t="s">
        <v>187</v>
      </c>
      <c r="C63" s="111">
        <v>14236</v>
      </c>
      <c r="D63" s="111">
        <v>12368</v>
      </c>
      <c r="E63" s="111">
        <v>26604</v>
      </c>
      <c r="F63" s="111">
        <v>2149</v>
      </c>
      <c r="G63" s="111">
        <v>1647</v>
      </c>
      <c r="H63" s="111">
        <v>3796</v>
      </c>
      <c r="I63" s="111">
        <v>636</v>
      </c>
      <c r="J63" s="111">
        <v>553</v>
      </c>
      <c r="K63" s="111">
        <v>1189</v>
      </c>
      <c r="L63" s="111">
        <v>6480</v>
      </c>
      <c r="M63" s="111">
        <v>5426</v>
      </c>
      <c r="N63" s="111">
        <v>11906</v>
      </c>
    </row>
    <row r="64" spans="1:14" ht="28" x14ac:dyDescent="0.3">
      <c r="A64" s="357">
        <v>60</v>
      </c>
      <c r="B64" s="110" t="s">
        <v>188</v>
      </c>
      <c r="C64" s="111">
        <v>16600</v>
      </c>
      <c r="D64" s="111">
        <v>15316</v>
      </c>
      <c r="E64" s="111">
        <v>31916</v>
      </c>
      <c r="F64" s="111">
        <v>2441</v>
      </c>
      <c r="G64" s="111">
        <v>1973</v>
      </c>
      <c r="H64" s="111">
        <v>4414</v>
      </c>
      <c r="I64" s="111">
        <v>1176</v>
      </c>
      <c r="J64" s="111">
        <v>1016</v>
      </c>
      <c r="K64" s="111">
        <v>2192</v>
      </c>
      <c r="L64" s="111">
        <v>5913</v>
      </c>
      <c r="M64" s="111">
        <v>5120</v>
      </c>
      <c r="N64" s="111">
        <v>11033</v>
      </c>
    </row>
    <row r="65" spans="1:14" x14ac:dyDescent="0.3">
      <c r="A65" s="357">
        <v>61</v>
      </c>
      <c r="B65" s="110" t="s">
        <v>189</v>
      </c>
      <c r="C65" s="111">
        <v>2570</v>
      </c>
      <c r="D65" s="111">
        <v>4530</v>
      </c>
      <c r="E65" s="111">
        <v>7100</v>
      </c>
      <c r="F65" s="111">
        <v>573</v>
      </c>
      <c r="G65" s="111">
        <v>951</v>
      </c>
      <c r="H65" s="111">
        <v>1524</v>
      </c>
      <c r="I65" s="111">
        <v>93</v>
      </c>
      <c r="J65" s="111">
        <v>100</v>
      </c>
      <c r="K65" s="111">
        <v>193</v>
      </c>
      <c r="L65" s="111">
        <v>1696</v>
      </c>
      <c r="M65" s="111">
        <v>3178</v>
      </c>
      <c r="N65" s="111">
        <v>4874</v>
      </c>
    </row>
    <row r="66" spans="1:14" ht="28" x14ac:dyDescent="0.3">
      <c r="A66" s="357">
        <v>62</v>
      </c>
      <c r="B66" s="110" t="s">
        <v>190</v>
      </c>
      <c r="C66" s="111">
        <v>13470</v>
      </c>
      <c r="D66" s="111">
        <v>12161</v>
      </c>
      <c r="E66" s="111">
        <v>25631</v>
      </c>
      <c r="F66" s="111">
        <v>1807</v>
      </c>
      <c r="G66" s="111">
        <v>1738</v>
      </c>
      <c r="H66" s="111">
        <v>3545</v>
      </c>
      <c r="I66" s="111">
        <v>1149</v>
      </c>
      <c r="J66" s="111">
        <v>1122</v>
      </c>
      <c r="K66" s="111">
        <v>2271</v>
      </c>
      <c r="L66" s="111">
        <v>5324</v>
      </c>
      <c r="M66" s="111">
        <v>5366</v>
      </c>
      <c r="N66" s="111">
        <v>10690</v>
      </c>
    </row>
    <row r="67" spans="1:14" x14ac:dyDescent="0.3">
      <c r="A67" s="357">
        <v>63</v>
      </c>
      <c r="B67" s="110" t="s">
        <v>191</v>
      </c>
      <c r="C67" s="111">
        <v>1575</v>
      </c>
      <c r="D67" s="111">
        <v>1408</v>
      </c>
      <c r="E67" s="111">
        <v>2983</v>
      </c>
      <c r="F67" s="111">
        <v>254</v>
      </c>
      <c r="G67" s="111">
        <v>169</v>
      </c>
      <c r="H67" s="111">
        <v>423</v>
      </c>
      <c r="I67" s="111">
        <v>59</v>
      </c>
      <c r="J67" s="111">
        <v>58</v>
      </c>
      <c r="K67" s="111">
        <v>117</v>
      </c>
      <c r="L67" s="111">
        <v>503</v>
      </c>
      <c r="M67" s="111">
        <v>371</v>
      </c>
      <c r="N67" s="111">
        <v>874</v>
      </c>
    </row>
    <row r="68" spans="1:14" ht="28" x14ac:dyDescent="0.3">
      <c r="A68" s="357">
        <v>64</v>
      </c>
      <c r="B68" s="110" t="s">
        <v>192</v>
      </c>
      <c r="C68" s="111">
        <v>37393</v>
      </c>
      <c r="D68" s="111">
        <v>29533</v>
      </c>
      <c r="E68" s="111">
        <v>66926</v>
      </c>
      <c r="F68" s="111">
        <v>2417</v>
      </c>
      <c r="G68" s="111">
        <v>2264</v>
      </c>
      <c r="H68" s="111">
        <v>4681</v>
      </c>
      <c r="I68" s="111">
        <v>523</v>
      </c>
      <c r="J68" s="111">
        <v>359</v>
      </c>
      <c r="K68" s="111">
        <v>882</v>
      </c>
      <c r="L68" s="111">
        <v>4790</v>
      </c>
      <c r="M68" s="111">
        <v>3737</v>
      </c>
      <c r="N68" s="111">
        <v>8527</v>
      </c>
    </row>
    <row r="69" spans="1:14" x14ac:dyDescent="0.3">
      <c r="A69" s="357">
        <v>65</v>
      </c>
      <c r="B69" s="110" t="s">
        <v>193</v>
      </c>
      <c r="C69" s="111">
        <v>758</v>
      </c>
      <c r="D69" s="111">
        <v>934</v>
      </c>
      <c r="E69" s="111">
        <v>1692</v>
      </c>
      <c r="F69" s="111">
        <v>77</v>
      </c>
      <c r="G69" s="111">
        <v>122</v>
      </c>
      <c r="H69" s="111">
        <v>199</v>
      </c>
      <c r="I69" s="111">
        <v>258</v>
      </c>
      <c r="J69" s="111">
        <v>187</v>
      </c>
      <c r="K69" s="111">
        <v>445</v>
      </c>
      <c r="L69" s="111">
        <v>148</v>
      </c>
      <c r="M69" s="111">
        <v>283</v>
      </c>
      <c r="N69" s="111">
        <v>431</v>
      </c>
    </row>
    <row r="70" spans="1:14" ht="28" x14ac:dyDescent="0.3">
      <c r="A70" s="357">
        <v>66</v>
      </c>
      <c r="B70" s="110" t="s">
        <v>194</v>
      </c>
      <c r="C70" s="111">
        <v>4451</v>
      </c>
      <c r="D70" s="111">
        <v>7280</v>
      </c>
      <c r="E70" s="111">
        <v>11731</v>
      </c>
      <c r="F70" s="111">
        <v>747</v>
      </c>
      <c r="G70" s="111">
        <v>1522</v>
      </c>
      <c r="H70" s="111">
        <v>2269</v>
      </c>
      <c r="I70" s="111">
        <v>150</v>
      </c>
      <c r="J70" s="111">
        <v>184</v>
      </c>
      <c r="K70" s="111">
        <v>334</v>
      </c>
      <c r="L70" s="111">
        <v>2038</v>
      </c>
      <c r="M70" s="111">
        <v>3929</v>
      </c>
      <c r="N70" s="111">
        <v>5967</v>
      </c>
    </row>
    <row r="71" spans="1:14" ht="28" x14ac:dyDescent="0.3">
      <c r="A71" s="357">
        <v>67</v>
      </c>
      <c r="B71" s="110" t="s">
        <v>195</v>
      </c>
      <c r="C71" s="111">
        <v>600</v>
      </c>
      <c r="D71" s="111">
        <v>908</v>
      </c>
      <c r="E71" s="111">
        <v>1508</v>
      </c>
      <c r="F71" s="111">
        <v>42</v>
      </c>
      <c r="G71" s="111">
        <v>91</v>
      </c>
      <c r="H71" s="111">
        <v>133</v>
      </c>
      <c r="I71" s="111">
        <v>30</v>
      </c>
      <c r="J71" s="111">
        <v>46</v>
      </c>
      <c r="K71" s="111">
        <v>76</v>
      </c>
      <c r="L71" s="111">
        <v>275</v>
      </c>
      <c r="M71" s="111">
        <v>332</v>
      </c>
      <c r="N71" s="111">
        <v>607</v>
      </c>
    </row>
    <row r="72" spans="1:14" ht="28" x14ac:dyDescent="0.3">
      <c r="A72" s="357">
        <v>68</v>
      </c>
      <c r="B72" s="110" t="s">
        <v>196</v>
      </c>
      <c r="C72" s="111">
        <v>441</v>
      </c>
      <c r="D72" s="111">
        <v>850</v>
      </c>
      <c r="E72" s="111">
        <v>1291</v>
      </c>
      <c r="F72" s="111">
        <v>48</v>
      </c>
      <c r="G72" s="111">
        <v>185</v>
      </c>
      <c r="H72" s="111">
        <v>233</v>
      </c>
      <c r="I72" s="111">
        <v>50</v>
      </c>
      <c r="J72" s="111">
        <v>71</v>
      </c>
      <c r="K72" s="111">
        <v>121</v>
      </c>
      <c r="L72" s="111">
        <v>98</v>
      </c>
      <c r="M72" s="111">
        <v>289</v>
      </c>
      <c r="N72" s="111">
        <v>387</v>
      </c>
    </row>
    <row r="73" spans="1:14" ht="28" x14ac:dyDescent="0.3">
      <c r="A73" s="357">
        <v>69</v>
      </c>
      <c r="B73" s="110" t="s">
        <v>197</v>
      </c>
      <c r="C73" s="111">
        <v>2530</v>
      </c>
      <c r="D73" s="111">
        <v>4098</v>
      </c>
      <c r="E73" s="111">
        <v>6628</v>
      </c>
      <c r="F73" s="111">
        <v>268</v>
      </c>
      <c r="G73" s="111">
        <v>382</v>
      </c>
      <c r="H73" s="111">
        <v>650</v>
      </c>
      <c r="I73" s="111">
        <v>55</v>
      </c>
      <c r="J73" s="111">
        <v>69</v>
      </c>
      <c r="K73" s="111">
        <v>124</v>
      </c>
      <c r="L73" s="111">
        <v>936</v>
      </c>
      <c r="M73" s="111">
        <v>1632</v>
      </c>
      <c r="N73" s="111">
        <v>2568</v>
      </c>
    </row>
    <row r="74" spans="1:14" ht="28" x14ac:dyDescent="0.3">
      <c r="A74" s="357">
        <v>70</v>
      </c>
      <c r="B74" s="110" t="s">
        <v>198</v>
      </c>
      <c r="C74" s="111">
        <v>3875</v>
      </c>
      <c r="D74" s="111">
        <v>5651</v>
      </c>
      <c r="E74" s="111">
        <v>9526</v>
      </c>
      <c r="F74" s="111">
        <v>323</v>
      </c>
      <c r="G74" s="111">
        <v>481</v>
      </c>
      <c r="H74" s="111">
        <v>804</v>
      </c>
      <c r="I74" s="111">
        <v>146</v>
      </c>
      <c r="J74" s="111">
        <v>279</v>
      </c>
      <c r="K74" s="111">
        <v>425</v>
      </c>
      <c r="L74" s="111">
        <v>1048</v>
      </c>
      <c r="M74" s="111">
        <v>2078</v>
      </c>
      <c r="N74" s="111">
        <v>3126</v>
      </c>
    </row>
    <row r="75" spans="1:14" x14ac:dyDescent="0.3">
      <c r="A75" s="357">
        <v>71</v>
      </c>
      <c r="B75" s="110" t="s">
        <v>199</v>
      </c>
      <c r="C75" s="111">
        <v>4720</v>
      </c>
      <c r="D75" s="111">
        <v>4850</v>
      </c>
      <c r="E75" s="111">
        <v>9570</v>
      </c>
      <c r="F75" s="111">
        <v>674</v>
      </c>
      <c r="G75" s="111">
        <v>532</v>
      </c>
      <c r="H75" s="111">
        <v>1206</v>
      </c>
      <c r="I75" s="111">
        <v>196</v>
      </c>
      <c r="J75" s="111">
        <v>217</v>
      </c>
      <c r="K75" s="111">
        <v>413</v>
      </c>
      <c r="L75" s="111">
        <v>1589</v>
      </c>
      <c r="M75" s="111">
        <v>1466</v>
      </c>
      <c r="N75" s="111">
        <v>3055</v>
      </c>
    </row>
    <row r="76" spans="1:14" ht="28" x14ac:dyDescent="0.3">
      <c r="A76" s="357">
        <v>72</v>
      </c>
      <c r="B76" s="110" t="s">
        <v>200</v>
      </c>
      <c r="C76" s="111">
        <v>17030</v>
      </c>
      <c r="D76" s="111">
        <v>5931</v>
      </c>
      <c r="E76" s="111">
        <v>22961</v>
      </c>
      <c r="F76" s="111">
        <v>3150</v>
      </c>
      <c r="G76" s="111">
        <v>1011</v>
      </c>
      <c r="H76" s="111">
        <v>4161</v>
      </c>
      <c r="I76" s="111">
        <v>1283</v>
      </c>
      <c r="J76" s="111">
        <v>542</v>
      </c>
      <c r="K76" s="111">
        <v>1825</v>
      </c>
      <c r="L76" s="111">
        <v>5096</v>
      </c>
      <c r="M76" s="111">
        <v>1938</v>
      </c>
      <c r="N76" s="111">
        <v>7034</v>
      </c>
    </row>
    <row r="77" spans="1:14" ht="28" x14ac:dyDescent="0.3">
      <c r="A77" s="357">
        <v>73</v>
      </c>
      <c r="B77" s="110" t="s">
        <v>201</v>
      </c>
      <c r="C77" s="111">
        <v>1035</v>
      </c>
      <c r="D77" s="111">
        <v>304</v>
      </c>
      <c r="E77" s="111">
        <v>1339</v>
      </c>
      <c r="F77" s="111">
        <v>114</v>
      </c>
      <c r="G77" s="111">
        <v>38</v>
      </c>
      <c r="H77" s="111">
        <v>152</v>
      </c>
      <c r="I77" s="111">
        <v>73</v>
      </c>
      <c r="J77" s="111">
        <v>20</v>
      </c>
      <c r="K77" s="111">
        <v>93</v>
      </c>
      <c r="L77" s="111">
        <v>393</v>
      </c>
      <c r="M77" s="111">
        <v>112</v>
      </c>
      <c r="N77" s="111">
        <v>505</v>
      </c>
    </row>
    <row r="78" spans="1:14" ht="28" x14ac:dyDescent="0.3">
      <c r="A78" s="357">
        <v>74</v>
      </c>
      <c r="B78" s="110" t="s">
        <v>202</v>
      </c>
      <c r="C78" s="111">
        <v>38221</v>
      </c>
      <c r="D78" s="111">
        <v>17851</v>
      </c>
      <c r="E78" s="111">
        <v>56072</v>
      </c>
      <c r="F78" s="111">
        <v>6044</v>
      </c>
      <c r="G78" s="111">
        <v>2838</v>
      </c>
      <c r="H78" s="111">
        <v>8882</v>
      </c>
      <c r="I78" s="111">
        <v>2605</v>
      </c>
      <c r="J78" s="111">
        <v>1473</v>
      </c>
      <c r="K78" s="111">
        <v>4078</v>
      </c>
      <c r="L78" s="111">
        <v>12191</v>
      </c>
      <c r="M78" s="111">
        <v>6087</v>
      </c>
      <c r="N78" s="111">
        <v>18278</v>
      </c>
    </row>
    <row r="79" spans="1:14" ht="28" x14ac:dyDescent="0.3">
      <c r="A79" s="357">
        <v>75</v>
      </c>
      <c r="B79" s="110" t="s">
        <v>203</v>
      </c>
      <c r="C79" s="111">
        <v>160</v>
      </c>
      <c r="D79" s="111">
        <v>173</v>
      </c>
      <c r="E79" s="111">
        <v>333</v>
      </c>
      <c r="F79" s="111">
        <v>22</v>
      </c>
      <c r="G79" s="111">
        <v>25</v>
      </c>
      <c r="H79" s="111">
        <v>47</v>
      </c>
      <c r="I79" s="111">
        <v>3</v>
      </c>
      <c r="J79" s="111">
        <v>4</v>
      </c>
      <c r="K79" s="111">
        <v>7</v>
      </c>
      <c r="L79" s="111">
        <v>44</v>
      </c>
      <c r="M79" s="111">
        <v>40</v>
      </c>
      <c r="N79" s="111">
        <v>84</v>
      </c>
    </row>
    <row r="80" spans="1:14" ht="28" x14ac:dyDescent="0.3">
      <c r="A80" s="357">
        <v>76</v>
      </c>
      <c r="B80" s="110" t="s">
        <v>204</v>
      </c>
      <c r="C80" s="111">
        <v>262</v>
      </c>
      <c r="D80" s="111">
        <v>293</v>
      </c>
      <c r="E80" s="111">
        <v>555</v>
      </c>
      <c r="F80" s="111">
        <v>10</v>
      </c>
      <c r="G80" s="111">
        <v>10</v>
      </c>
      <c r="H80" s="111">
        <v>20</v>
      </c>
      <c r="I80" s="111">
        <v>54</v>
      </c>
      <c r="J80" s="111">
        <v>47</v>
      </c>
      <c r="K80" s="111">
        <v>101</v>
      </c>
      <c r="L80" s="111">
        <v>60</v>
      </c>
      <c r="M80" s="111">
        <v>84</v>
      </c>
      <c r="N80" s="111">
        <v>144</v>
      </c>
    </row>
    <row r="81" spans="1:14" x14ac:dyDescent="0.3">
      <c r="A81" s="357">
        <v>77</v>
      </c>
      <c r="B81" s="110" t="s">
        <v>205</v>
      </c>
      <c r="C81" s="111">
        <v>43405</v>
      </c>
      <c r="D81" s="111">
        <v>73034</v>
      </c>
      <c r="E81" s="111">
        <v>116439</v>
      </c>
      <c r="F81" s="111">
        <v>5438</v>
      </c>
      <c r="G81" s="111">
        <v>8648</v>
      </c>
      <c r="H81" s="111">
        <v>14086</v>
      </c>
      <c r="I81" s="111">
        <v>1919</v>
      </c>
      <c r="J81" s="111">
        <v>2756</v>
      </c>
      <c r="K81" s="111">
        <v>4675</v>
      </c>
      <c r="L81" s="111">
        <v>16076</v>
      </c>
      <c r="M81" s="111">
        <v>26035</v>
      </c>
      <c r="N81" s="111">
        <v>42111</v>
      </c>
    </row>
    <row r="82" spans="1:14" ht="28" x14ac:dyDescent="0.3">
      <c r="A82" s="357">
        <v>78</v>
      </c>
      <c r="B82" s="110" t="s">
        <v>206</v>
      </c>
      <c r="C82" s="111">
        <v>369</v>
      </c>
      <c r="D82" s="111">
        <v>389</v>
      </c>
      <c r="E82" s="111">
        <v>758</v>
      </c>
      <c r="F82" s="111">
        <v>71</v>
      </c>
      <c r="G82" s="111">
        <v>68</v>
      </c>
      <c r="H82" s="111">
        <v>139</v>
      </c>
      <c r="I82" s="111">
        <v>22</v>
      </c>
      <c r="J82" s="111">
        <v>24</v>
      </c>
      <c r="K82" s="111">
        <v>46</v>
      </c>
      <c r="L82" s="111">
        <v>102</v>
      </c>
      <c r="M82" s="111">
        <v>115</v>
      </c>
      <c r="N82" s="111">
        <v>217</v>
      </c>
    </row>
    <row r="83" spans="1:14" x14ac:dyDescent="0.3">
      <c r="A83" s="357">
        <v>79</v>
      </c>
      <c r="B83" s="110" t="s">
        <v>207</v>
      </c>
      <c r="C83" s="111">
        <v>358104</v>
      </c>
      <c r="D83" s="111">
        <v>232728</v>
      </c>
      <c r="E83" s="111">
        <v>590832</v>
      </c>
      <c r="F83" s="111">
        <v>39985</v>
      </c>
      <c r="G83" s="111">
        <v>29726</v>
      </c>
      <c r="H83" s="111">
        <v>69711</v>
      </c>
      <c r="I83" s="111">
        <v>10517</v>
      </c>
      <c r="J83" s="111">
        <v>8526</v>
      </c>
      <c r="K83" s="111">
        <v>19043</v>
      </c>
      <c r="L83" s="111">
        <v>153331</v>
      </c>
      <c r="M83" s="111">
        <v>103491</v>
      </c>
      <c r="N83" s="111">
        <v>256822</v>
      </c>
    </row>
    <row r="84" spans="1:14" x14ac:dyDescent="0.3">
      <c r="A84" s="357">
        <v>80</v>
      </c>
      <c r="B84" s="110" t="s">
        <v>208</v>
      </c>
      <c r="C84" s="111">
        <v>689</v>
      </c>
      <c r="D84" s="111">
        <v>593</v>
      </c>
      <c r="E84" s="111">
        <v>1282</v>
      </c>
      <c r="F84" s="111">
        <v>94</v>
      </c>
      <c r="G84" s="111">
        <v>64</v>
      </c>
      <c r="H84" s="111">
        <v>158</v>
      </c>
      <c r="I84" s="111">
        <v>38</v>
      </c>
      <c r="J84" s="111">
        <v>34</v>
      </c>
      <c r="K84" s="111">
        <v>72</v>
      </c>
      <c r="L84" s="111">
        <v>209</v>
      </c>
      <c r="M84" s="111">
        <v>209</v>
      </c>
      <c r="N84" s="111">
        <v>418</v>
      </c>
    </row>
    <row r="85" spans="1:14" x14ac:dyDescent="0.3">
      <c r="A85" s="357">
        <v>81</v>
      </c>
      <c r="B85" s="110" t="s">
        <v>209</v>
      </c>
      <c r="C85" s="111">
        <v>4150</v>
      </c>
      <c r="D85" s="111">
        <v>1431</v>
      </c>
      <c r="E85" s="111">
        <v>5581</v>
      </c>
      <c r="F85" s="111">
        <v>373</v>
      </c>
      <c r="G85" s="111">
        <v>202</v>
      </c>
      <c r="H85" s="111">
        <v>575</v>
      </c>
      <c r="I85" s="111">
        <v>805</v>
      </c>
      <c r="J85" s="111">
        <v>604</v>
      </c>
      <c r="K85" s="111">
        <v>1409</v>
      </c>
      <c r="L85" s="111">
        <v>1657</v>
      </c>
      <c r="M85" s="111">
        <v>413</v>
      </c>
      <c r="N85" s="111">
        <v>2070</v>
      </c>
    </row>
    <row r="86" spans="1:14" ht="28" x14ac:dyDescent="0.3">
      <c r="A86" s="357">
        <v>82</v>
      </c>
      <c r="B86" s="110" t="s">
        <v>210</v>
      </c>
      <c r="C86" s="111">
        <v>6315</v>
      </c>
      <c r="D86" s="111">
        <v>5653</v>
      </c>
      <c r="E86" s="111">
        <v>11968</v>
      </c>
      <c r="F86" s="111">
        <v>849</v>
      </c>
      <c r="G86" s="111">
        <v>814</v>
      </c>
      <c r="H86" s="111">
        <v>1663</v>
      </c>
      <c r="I86" s="111">
        <v>342</v>
      </c>
      <c r="J86" s="111">
        <v>287</v>
      </c>
      <c r="K86" s="111">
        <v>629</v>
      </c>
      <c r="L86" s="111">
        <v>1670</v>
      </c>
      <c r="M86" s="111">
        <v>1762</v>
      </c>
      <c r="N86" s="111">
        <v>3432</v>
      </c>
    </row>
    <row r="87" spans="1:14" ht="42" x14ac:dyDescent="0.3">
      <c r="A87" s="357">
        <v>83</v>
      </c>
      <c r="B87" s="110" t="s">
        <v>211</v>
      </c>
      <c r="C87" s="111">
        <v>1491</v>
      </c>
      <c r="D87" s="111">
        <v>2465</v>
      </c>
      <c r="E87" s="111">
        <v>3956</v>
      </c>
      <c r="F87" s="111">
        <v>191</v>
      </c>
      <c r="G87" s="111">
        <v>320</v>
      </c>
      <c r="H87" s="111">
        <v>511</v>
      </c>
      <c r="I87" s="111">
        <v>48</v>
      </c>
      <c r="J87" s="111">
        <v>43</v>
      </c>
      <c r="K87" s="111">
        <v>91</v>
      </c>
      <c r="L87" s="111">
        <v>575</v>
      </c>
      <c r="M87" s="111">
        <v>1541</v>
      </c>
      <c r="N87" s="111">
        <v>2116</v>
      </c>
    </row>
    <row r="88" spans="1:14" ht="28" x14ac:dyDescent="0.3">
      <c r="A88" s="357">
        <v>84</v>
      </c>
      <c r="B88" s="110" t="s">
        <v>212</v>
      </c>
      <c r="C88" s="111">
        <v>643</v>
      </c>
      <c r="D88" s="111">
        <v>2650</v>
      </c>
      <c r="E88" s="111">
        <v>3293</v>
      </c>
      <c r="F88" s="111">
        <v>147</v>
      </c>
      <c r="G88" s="111">
        <v>530</v>
      </c>
      <c r="H88" s="111">
        <v>677</v>
      </c>
      <c r="I88" s="111">
        <v>12</v>
      </c>
      <c r="J88" s="111">
        <v>35</v>
      </c>
      <c r="K88" s="111">
        <v>47</v>
      </c>
      <c r="L88" s="111">
        <v>445</v>
      </c>
      <c r="M88" s="111">
        <v>1942</v>
      </c>
      <c r="N88" s="111">
        <v>2387</v>
      </c>
    </row>
    <row r="89" spans="1:14" x14ac:dyDescent="0.3">
      <c r="A89" s="357">
        <v>85</v>
      </c>
      <c r="B89" s="110" t="s">
        <v>213</v>
      </c>
      <c r="C89" s="111">
        <v>673</v>
      </c>
      <c r="D89" s="111">
        <v>1102</v>
      </c>
      <c r="E89" s="111">
        <v>1775</v>
      </c>
      <c r="F89" s="111">
        <v>136</v>
      </c>
      <c r="G89" s="111">
        <v>228</v>
      </c>
      <c r="H89" s="111">
        <v>364</v>
      </c>
      <c r="I89" s="111">
        <v>12</v>
      </c>
      <c r="J89" s="111">
        <v>15</v>
      </c>
      <c r="K89" s="111">
        <v>27</v>
      </c>
      <c r="L89" s="111">
        <v>279</v>
      </c>
      <c r="M89" s="111">
        <v>430</v>
      </c>
      <c r="N89" s="111">
        <v>709</v>
      </c>
    </row>
    <row r="90" spans="1:14" x14ac:dyDescent="0.3">
      <c r="A90" s="357">
        <v>86</v>
      </c>
      <c r="B90" s="110" t="s">
        <v>214</v>
      </c>
      <c r="C90" s="111">
        <v>25768</v>
      </c>
      <c r="D90" s="111">
        <v>21917</v>
      </c>
      <c r="E90" s="111">
        <v>47685</v>
      </c>
      <c r="F90" s="111">
        <v>4436</v>
      </c>
      <c r="G90" s="111">
        <v>3657</v>
      </c>
      <c r="H90" s="111">
        <v>8093</v>
      </c>
      <c r="I90" s="111">
        <v>4761</v>
      </c>
      <c r="J90" s="111">
        <v>4458</v>
      </c>
      <c r="K90" s="111">
        <v>9219</v>
      </c>
      <c r="L90" s="111">
        <v>9992</v>
      </c>
      <c r="M90" s="111">
        <v>8375</v>
      </c>
      <c r="N90" s="111">
        <v>18367</v>
      </c>
    </row>
    <row r="91" spans="1:14" ht="28" x14ac:dyDescent="0.3">
      <c r="A91" s="357">
        <v>87</v>
      </c>
      <c r="B91" s="110" t="s">
        <v>215</v>
      </c>
      <c r="C91" s="111">
        <v>232</v>
      </c>
      <c r="D91" s="111">
        <v>180</v>
      </c>
      <c r="E91" s="111">
        <v>412</v>
      </c>
      <c r="F91" s="111">
        <v>21</v>
      </c>
      <c r="G91" s="111">
        <v>12</v>
      </c>
      <c r="H91" s="111">
        <v>33</v>
      </c>
      <c r="I91" s="111">
        <v>6</v>
      </c>
      <c r="J91" s="111">
        <v>3</v>
      </c>
      <c r="K91" s="111">
        <v>9</v>
      </c>
      <c r="L91" s="111">
        <v>119</v>
      </c>
      <c r="M91" s="111">
        <v>74</v>
      </c>
      <c r="N91" s="111">
        <v>193</v>
      </c>
    </row>
    <row r="92" spans="1:14" ht="28" x14ac:dyDescent="0.3">
      <c r="A92" s="357">
        <v>88</v>
      </c>
      <c r="B92" s="110" t="s">
        <v>216</v>
      </c>
      <c r="C92" s="111">
        <v>1181</v>
      </c>
      <c r="D92" s="111">
        <v>1148</v>
      </c>
      <c r="E92" s="111">
        <v>2329</v>
      </c>
      <c r="F92" s="111">
        <v>110</v>
      </c>
      <c r="G92" s="111">
        <v>90</v>
      </c>
      <c r="H92" s="111">
        <v>200</v>
      </c>
      <c r="I92" s="111">
        <v>61</v>
      </c>
      <c r="J92" s="111">
        <v>56</v>
      </c>
      <c r="K92" s="111">
        <v>117</v>
      </c>
      <c r="L92" s="111">
        <v>419</v>
      </c>
      <c r="M92" s="111">
        <v>503</v>
      </c>
      <c r="N92" s="111">
        <v>922</v>
      </c>
    </row>
    <row r="93" spans="1:14" ht="28" x14ac:dyDescent="0.3">
      <c r="A93" s="357">
        <v>89</v>
      </c>
      <c r="B93" s="110" t="s">
        <v>217</v>
      </c>
      <c r="C93" s="111">
        <v>1252</v>
      </c>
      <c r="D93" s="111">
        <v>1615</v>
      </c>
      <c r="E93" s="111">
        <v>2867</v>
      </c>
      <c r="F93" s="111">
        <v>147</v>
      </c>
      <c r="G93" s="111">
        <v>187</v>
      </c>
      <c r="H93" s="111">
        <v>334</v>
      </c>
      <c r="I93" s="111">
        <v>52</v>
      </c>
      <c r="J93" s="111">
        <v>74</v>
      </c>
      <c r="K93" s="111">
        <v>126</v>
      </c>
      <c r="L93" s="111">
        <v>365</v>
      </c>
      <c r="M93" s="111">
        <v>637</v>
      </c>
      <c r="N93" s="111">
        <v>1002</v>
      </c>
    </row>
    <row r="94" spans="1:14" x14ac:dyDescent="0.3">
      <c r="A94" s="357">
        <v>90</v>
      </c>
      <c r="B94" s="110" t="s">
        <v>218</v>
      </c>
      <c r="C94" s="111">
        <v>2122</v>
      </c>
      <c r="D94" s="111">
        <v>1899</v>
      </c>
      <c r="E94" s="111">
        <v>4021</v>
      </c>
      <c r="F94" s="111">
        <v>187</v>
      </c>
      <c r="G94" s="111">
        <v>112</v>
      </c>
      <c r="H94" s="111">
        <v>299</v>
      </c>
      <c r="I94" s="111">
        <v>51</v>
      </c>
      <c r="J94" s="111">
        <v>52</v>
      </c>
      <c r="K94" s="111">
        <v>103</v>
      </c>
      <c r="L94" s="111">
        <v>814</v>
      </c>
      <c r="M94" s="111">
        <v>613</v>
      </c>
      <c r="N94" s="111">
        <v>1427</v>
      </c>
    </row>
    <row r="95" spans="1:14" ht="42" x14ac:dyDescent="0.3">
      <c r="A95" s="357">
        <v>91</v>
      </c>
      <c r="B95" s="110" t="s">
        <v>219</v>
      </c>
      <c r="C95" s="111">
        <v>15</v>
      </c>
      <c r="D95" s="111">
        <v>23</v>
      </c>
      <c r="E95" s="111">
        <v>38</v>
      </c>
      <c r="F95" s="111"/>
      <c r="G95" s="111">
        <v>2</v>
      </c>
      <c r="H95" s="111">
        <v>2</v>
      </c>
      <c r="I95" s="111"/>
      <c r="J95" s="111"/>
      <c r="K95" s="111"/>
      <c r="L95" s="111">
        <v>1</v>
      </c>
      <c r="M95" s="111">
        <v>5</v>
      </c>
      <c r="N95" s="111">
        <v>6</v>
      </c>
    </row>
    <row r="96" spans="1:14" ht="28" x14ac:dyDescent="0.3">
      <c r="A96" s="357">
        <v>92</v>
      </c>
      <c r="B96" s="110" t="s">
        <v>220</v>
      </c>
      <c r="C96" s="111">
        <v>34656</v>
      </c>
      <c r="D96" s="111">
        <v>40659</v>
      </c>
      <c r="E96" s="111">
        <v>75315</v>
      </c>
      <c r="F96" s="111">
        <v>6427</v>
      </c>
      <c r="G96" s="111">
        <v>7200</v>
      </c>
      <c r="H96" s="111">
        <v>13627</v>
      </c>
      <c r="I96" s="111">
        <v>6329</v>
      </c>
      <c r="J96" s="111">
        <v>5646</v>
      </c>
      <c r="K96" s="111">
        <v>11975</v>
      </c>
      <c r="L96" s="111">
        <v>13995</v>
      </c>
      <c r="M96" s="111">
        <v>16758</v>
      </c>
      <c r="N96" s="111">
        <v>30753</v>
      </c>
    </row>
    <row r="97" spans="1:14" ht="28" x14ac:dyDescent="0.3">
      <c r="A97" s="357">
        <v>93</v>
      </c>
      <c r="B97" s="110" t="s">
        <v>221</v>
      </c>
      <c r="C97" s="111">
        <v>1938</v>
      </c>
      <c r="D97" s="111">
        <v>539</v>
      </c>
      <c r="E97" s="111">
        <v>2477</v>
      </c>
      <c r="F97" s="111">
        <v>375</v>
      </c>
      <c r="G97" s="111">
        <v>109</v>
      </c>
      <c r="H97" s="111">
        <v>484</v>
      </c>
      <c r="I97" s="111">
        <v>67</v>
      </c>
      <c r="J97" s="111">
        <v>49</v>
      </c>
      <c r="K97" s="111">
        <v>116</v>
      </c>
      <c r="L97" s="111">
        <v>391</v>
      </c>
      <c r="M97" s="111">
        <v>72</v>
      </c>
      <c r="N97" s="111">
        <v>463</v>
      </c>
    </row>
    <row r="98" spans="1:14" ht="28" x14ac:dyDescent="0.3">
      <c r="A98" s="357">
        <v>94</v>
      </c>
      <c r="B98" s="110" t="s">
        <v>222</v>
      </c>
      <c r="C98" s="111">
        <v>322</v>
      </c>
      <c r="D98" s="111">
        <v>221</v>
      </c>
      <c r="E98" s="111">
        <v>543</v>
      </c>
      <c r="F98" s="111">
        <v>31</v>
      </c>
      <c r="G98" s="111">
        <v>29</v>
      </c>
      <c r="H98" s="111">
        <v>60</v>
      </c>
      <c r="I98" s="111">
        <v>25</v>
      </c>
      <c r="J98" s="111">
        <v>14</v>
      </c>
      <c r="K98" s="111">
        <v>39</v>
      </c>
      <c r="L98" s="111">
        <v>77</v>
      </c>
      <c r="M98" s="111">
        <v>42</v>
      </c>
      <c r="N98" s="111">
        <v>119</v>
      </c>
    </row>
    <row r="99" spans="1:14" ht="28" x14ac:dyDescent="0.3">
      <c r="A99" s="357">
        <v>95</v>
      </c>
      <c r="B99" s="110" t="s">
        <v>223</v>
      </c>
      <c r="C99" s="111">
        <v>1</v>
      </c>
      <c r="D99" s="111"/>
      <c r="E99" s="111">
        <v>1</v>
      </c>
      <c r="F99" s="111">
        <v>1</v>
      </c>
      <c r="G99" s="111"/>
      <c r="H99" s="111">
        <v>1</v>
      </c>
      <c r="I99" s="111"/>
      <c r="J99" s="111"/>
      <c r="K99" s="111"/>
      <c r="L99" s="111"/>
      <c r="M99" s="111"/>
      <c r="N99" s="111"/>
    </row>
    <row r="100" spans="1:14" ht="28" x14ac:dyDescent="0.3">
      <c r="A100" s="357">
        <v>96</v>
      </c>
      <c r="B100" s="110" t="s">
        <v>224</v>
      </c>
      <c r="C100" s="111">
        <v>324432</v>
      </c>
      <c r="D100" s="111">
        <v>315473</v>
      </c>
      <c r="E100" s="111">
        <v>639905</v>
      </c>
      <c r="F100" s="111">
        <v>46332</v>
      </c>
      <c r="G100" s="111">
        <v>38832</v>
      </c>
      <c r="H100" s="111">
        <v>85164</v>
      </c>
      <c r="I100" s="111">
        <v>19631</v>
      </c>
      <c r="J100" s="111">
        <v>19128</v>
      </c>
      <c r="K100" s="111">
        <v>38759</v>
      </c>
      <c r="L100" s="111">
        <v>147548</v>
      </c>
      <c r="M100" s="111">
        <v>130276</v>
      </c>
      <c r="N100" s="111">
        <v>277824</v>
      </c>
    </row>
    <row r="101" spans="1:14" ht="28" x14ac:dyDescent="0.3">
      <c r="A101" s="357">
        <v>97</v>
      </c>
      <c r="B101" s="110" t="s">
        <v>225</v>
      </c>
      <c r="C101" s="111">
        <v>142987</v>
      </c>
      <c r="D101" s="111">
        <v>403652</v>
      </c>
      <c r="E101" s="111">
        <v>546639</v>
      </c>
      <c r="F101" s="111">
        <v>22245</v>
      </c>
      <c r="G101" s="111">
        <v>72266</v>
      </c>
      <c r="H101" s="111">
        <v>94511</v>
      </c>
      <c r="I101" s="111">
        <v>10927</v>
      </c>
      <c r="J101" s="111">
        <v>37572</v>
      </c>
      <c r="K101" s="111">
        <v>48499</v>
      </c>
      <c r="L101" s="111">
        <v>57304</v>
      </c>
      <c r="M101" s="111">
        <v>143465</v>
      </c>
      <c r="N101" s="111">
        <v>200769</v>
      </c>
    </row>
    <row r="102" spans="1:14" ht="28" x14ac:dyDescent="0.3">
      <c r="A102" s="357">
        <v>98</v>
      </c>
      <c r="B102" s="110" t="s">
        <v>226</v>
      </c>
      <c r="C102" s="111">
        <v>11829</v>
      </c>
      <c r="D102" s="111">
        <v>42876</v>
      </c>
      <c r="E102" s="111">
        <v>54705</v>
      </c>
      <c r="F102" s="111">
        <v>2740</v>
      </c>
      <c r="G102" s="111">
        <v>8655</v>
      </c>
      <c r="H102" s="111">
        <v>11395</v>
      </c>
      <c r="I102" s="111">
        <v>1675</v>
      </c>
      <c r="J102" s="111">
        <v>6278</v>
      </c>
      <c r="K102" s="111">
        <v>7953</v>
      </c>
      <c r="L102" s="111">
        <v>2695</v>
      </c>
      <c r="M102" s="111">
        <v>9912</v>
      </c>
      <c r="N102" s="111">
        <v>12607</v>
      </c>
    </row>
    <row r="103" spans="1:14" ht="28" x14ac:dyDescent="0.3">
      <c r="A103" s="357">
        <v>99</v>
      </c>
      <c r="B103" s="110" t="s">
        <v>227</v>
      </c>
      <c r="C103" s="111">
        <v>25</v>
      </c>
      <c r="D103" s="111">
        <v>17</v>
      </c>
      <c r="E103" s="111">
        <v>42</v>
      </c>
      <c r="F103" s="111">
        <v>3</v>
      </c>
      <c r="G103" s="111">
        <v>3</v>
      </c>
      <c r="H103" s="111">
        <v>6</v>
      </c>
      <c r="I103" s="111">
        <v>1</v>
      </c>
      <c r="J103" s="111"/>
      <c r="K103" s="111">
        <v>1</v>
      </c>
      <c r="L103" s="111">
        <v>2</v>
      </c>
      <c r="M103" s="111">
        <v>5</v>
      </c>
      <c r="N103" s="111">
        <v>7</v>
      </c>
    </row>
    <row r="104" spans="1:14" ht="28" x14ac:dyDescent="0.3">
      <c r="A104" s="357">
        <v>100</v>
      </c>
      <c r="B104" s="110" t="s">
        <v>228</v>
      </c>
      <c r="C104" s="111">
        <v>1349</v>
      </c>
      <c r="D104" s="111">
        <v>364</v>
      </c>
      <c r="E104" s="111">
        <v>1713</v>
      </c>
      <c r="F104" s="111">
        <v>154</v>
      </c>
      <c r="G104" s="111">
        <v>34</v>
      </c>
      <c r="H104" s="111">
        <v>188</v>
      </c>
      <c r="I104" s="111">
        <v>53</v>
      </c>
      <c r="J104" s="111">
        <v>29</v>
      </c>
      <c r="K104" s="111">
        <v>82</v>
      </c>
      <c r="L104" s="111">
        <v>759</v>
      </c>
      <c r="M104" s="111">
        <v>130</v>
      </c>
      <c r="N104" s="111">
        <v>889</v>
      </c>
    </row>
    <row r="105" spans="1:14" x14ac:dyDescent="0.3">
      <c r="A105" s="357">
        <v>101</v>
      </c>
      <c r="B105" s="110" t="s">
        <v>229</v>
      </c>
      <c r="C105" s="111">
        <v>2189572</v>
      </c>
      <c r="D105" s="111">
        <v>2508625</v>
      </c>
      <c r="E105" s="111">
        <v>4698197</v>
      </c>
      <c r="F105" s="111">
        <v>357290</v>
      </c>
      <c r="G105" s="111">
        <v>390938</v>
      </c>
      <c r="H105" s="111">
        <v>748228</v>
      </c>
      <c r="I105" s="111">
        <v>116415</v>
      </c>
      <c r="J105" s="111">
        <v>146589</v>
      </c>
      <c r="K105" s="111">
        <v>263004</v>
      </c>
      <c r="L105" s="111">
        <v>1006777</v>
      </c>
      <c r="M105" s="111">
        <v>1211136</v>
      </c>
      <c r="N105" s="111">
        <v>2217913</v>
      </c>
    </row>
    <row r="106" spans="1:14" x14ac:dyDescent="0.3">
      <c r="A106" s="357">
        <v>102</v>
      </c>
      <c r="B106" s="110" t="s">
        <v>230</v>
      </c>
      <c r="C106" s="111">
        <v>1673</v>
      </c>
      <c r="D106" s="111">
        <v>987</v>
      </c>
      <c r="E106" s="111">
        <v>2660</v>
      </c>
      <c r="F106" s="111">
        <v>152</v>
      </c>
      <c r="G106" s="111">
        <v>84</v>
      </c>
      <c r="H106" s="111">
        <v>236</v>
      </c>
      <c r="I106" s="111">
        <v>111</v>
      </c>
      <c r="J106" s="111">
        <v>39</v>
      </c>
      <c r="K106" s="111">
        <v>150</v>
      </c>
      <c r="L106" s="111">
        <v>1139</v>
      </c>
      <c r="M106" s="111">
        <v>647</v>
      </c>
      <c r="N106" s="111">
        <v>1786</v>
      </c>
    </row>
    <row r="107" spans="1:14" x14ac:dyDescent="0.3">
      <c r="A107" s="357">
        <v>103</v>
      </c>
      <c r="B107" s="110" t="s">
        <v>231</v>
      </c>
      <c r="C107" s="111">
        <v>2059888</v>
      </c>
      <c r="D107" s="111">
        <v>901816</v>
      </c>
      <c r="E107" s="111">
        <v>2961704</v>
      </c>
      <c r="F107" s="111">
        <v>208031</v>
      </c>
      <c r="G107" s="111">
        <v>94821</v>
      </c>
      <c r="H107" s="111">
        <v>302852</v>
      </c>
      <c r="I107" s="111">
        <v>68101</v>
      </c>
      <c r="J107" s="111">
        <v>29115</v>
      </c>
      <c r="K107" s="111">
        <v>97216</v>
      </c>
      <c r="L107" s="111">
        <v>762185</v>
      </c>
      <c r="M107" s="111">
        <v>358002</v>
      </c>
      <c r="N107" s="111">
        <v>1120187</v>
      </c>
    </row>
    <row r="108" spans="1:14" ht="28" x14ac:dyDescent="0.3">
      <c r="A108" s="357">
        <v>104</v>
      </c>
      <c r="B108" s="110" t="s">
        <v>232</v>
      </c>
      <c r="C108" s="111">
        <v>18875</v>
      </c>
      <c r="D108" s="111">
        <v>7415</v>
      </c>
      <c r="E108" s="111">
        <v>26290</v>
      </c>
      <c r="F108" s="111">
        <v>1975</v>
      </c>
      <c r="G108" s="111">
        <v>731</v>
      </c>
      <c r="H108" s="111">
        <v>2706</v>
      </c>
      <c r="I108" s="111">
        <v>921</v>
      </c>
      <c r="J108" s="111">
        <v>269</v>
      </c>
      <c r="K108" s="111">
        <v>1190</v>
      </c>
      <c r="L108" s="111">
        <v>6594</v>
      </c>
      <c r="M108" s="111">
        <v>2653</v>
      </c>
      <c r="N108" s="111">
        <v>9247</v>
      </c>
    </row>
    <row r="109" spans="1:14" ht="28" x14ac:dyDescent="0.3">
      <c r="A109" s="357">
        <v>105</v>
      </c>
      <c r="B109" s="110" t="s">
        <v>233</v>
      </c>
      <c r="C109" s="111">
        <v>3527</v>
      </c>
      <c r="D109" s="111">
        <v>5169</v>
      </c>
      <c r="E109" s="111">
        <v>8696</v>
      </c>
      <c r="F109" s="111">
        <v>69</v>
      </c>
      <c r="G109" s="111">
        <v>69</v>
      </c>
      <c r="H109" s="111">
        <v>138</v>
      </c>
      <c r="I109" s="111">
        <v>26</v>
      </c>
      <c r="J109" s="111">
        <v>28</v>
      </c>
      <c r="K109" s="111">
        <v>54</v>
      </c>
      <c r="L109" s="111">
        <v>1195</v>
      </c>
      <c r="M109" s="111">
        <v>1667</v>
      </c>
      <c r="N109" s="111">
        <v>2862</v>
      </c>
    </row>
    <row r="110" spans="1:14" x14ac:dyDescent="0.3">
      <c r="A110" s="357">
        <v>106</v>
      </c>
      <c r="B110" s="110" t="s">
        <v>234</v>
      </c>
      <c r="C110" s="111">
        <v>1317</v>
      </c>
      <c r="D110" s="111">
        <v>1338</v>
      </c>
      <c r="E110" s="111">
        <v>2655</v>
      </c>
      <c r="F110" s="111">
        <v>158</v>
      </c>
      <c r="G110" s="111">
        <v>76</v>
      </c>
      <c r="H110" s="111">
        <v>234</v>
      </c>
      <c r="I110" s="111">
        <v>68</v>
      </c>
      <c r="J110" s="111">
        <v>30</v>
      </c>
      <c r="K110" s="111">
        <v>98</v>
      </c>
      <c r="L110" s="111">
        <v>362</v>
      </c>
      <c r="M110" s="111">
        <v>322</v>
      </c>
      <c r="N110" s="111">
        <v>684</v>
      </c>
    </row>
    <row r="111" spans="1:14" ht="42" x14ac:dyDescent="0.3">
      <c r="A111" s="357">
        <v>107</v>
      </c>
      <c r="B111" s="110" t="s">
        <v>235</v>
      </c>
      <c r="C111" s="111">
        <v>13096</v>
      </c>
      <c r="D111" s="111">
        <v>9298</v>
      </c>
      <c r="E111" s="111">
        <v>22394</v>
      </c>
      <c r="F111" s="111">
        <v>1759</v>
      </c>
      <c r="G111" s="111">
        <v>1184</v>
      </c>
      <c r="H111" s="111">
        <v>2943</v>
      </c>
      <c r="I111" s="111">
        <v>1028</v>
      </c>
      <c r="J111" s="111">
        <v>989</v>
      </c>
      <c r="K111" s="111">
        <v>2017</v>
      </c>
      <c r="L111" s="111">
        <v>5432</v>
      </c>
      <c r="M111" s="111">
        <v>3817</v>
      </c>
      <c r="N111" s="111">
        <v>9249</v>
      </c>
    </row>
    <row r="112" spans="1:14" ht="28" x14ac:dyDescent="0.3">
      <c r="A112" s="357">
        <v>108</v>
      </c>
      <c r="B112" s="110" t="s">
        <v>236</v>
      </c>
      <c r="C112" s="111">
        <v>3364</v>
      </c>
      <c r="D112" s="111">
        <v>2058</v>
      </c>
      <c r="E112" s="111">
        <v>5422</v>
      </c>
      <c r="F112" s="111">
        <v>342</v>
      </c>
      <c r="G112" s="111">
        <v>293</v>
      </c>
      <c r="H112" s="111">
        <v>635</v>
      </c>
      <c r="I112" s="111">
        <v>230</v>
      </c>
      <c r="J112" s="111">
        <v>179</v>
      </c>
      <c r="K112" s="111">
        <v>409</v>
      </c>
      <c r="L112" s="111">
        <v>1086</v>
      </c>
      <c r="M112" s="111">
        <v>634</v>
      </c>
      <c r="N112" s="111">
        <v>1720</v>
      </c>
    </row>
    <row r="113" spans="1:14" x14ac:dyDescent="0.3">
      <c r="A113" s="357">
        <v>109</v>
      </c>
      <c r="B113" s="110" t="s">
        <v>237</v>
      </c>
      <c r="C113" s="111">
        <v>41545</v>
      </c>
      <c r="D113" s="111">
        <v>32174</v>
      </c>
      <c r="E113" s="111">
        <v>73719</v>
      </c>
      <c r="F113" s="111">
        <v>5542</v>
      </c>
      <c r="G113" s="111">
        <v>4661</v>
      </c>
      <c r="H113" s="111">
        <v>10203</v>
      </c>
      <c r="I113" s="111">
        <v>1352</v>
      </c>
      <c r="J113" s="111">
        <v>954</v>
      </c>
      <c r="K113" s="111">
        <v>2306</v>
      </c>
      <c r="L113" s="111">
        <v>13210</v>
      </c>
      <c r="M113" s="111">
        <v>10012</v>
      </c>
      <c r="N113" s="111">
        <v>23222</v>
      </c>
    </row>
    <row r="114" spans="1:14" ht="28" x14ac:dyDescent="0.3">
      <c r="A114" s="357">
        <v>110</v>
      </c>
      <c r="B114" s="110" t="s">
        <v>238</v>
      </c>
      <c r="C114" s="111">
        <v>915</v>
      </c>
      <c r="D114" s="111">
        <v>662</v>
      </c>
      <c r="E114" s="111">
        <v>1577</v>
      </c>
      <c r="F114" s="111">
        <v>138</v>
      </c>
      <c r="G114" s="111">
        <v>109</v>
      </c>
      <c r="H114" s="111">
        <v>247</v>
      </c>
      <c r="I114" s="111">
        <v>101</v>
      </c>
      <c r="J114" s="111">
        <v>74</v>
      </c>
      <c r="K114" s="111">
        <v>175</v>
      </c>
      <c r="L114" s="111">
        <v>394</v>
      </c>
      <c r="M114" s="111">
        <v>284</v>
      </c>
      <c r="N114" s="111">
        <v>678</v>
      </c>
    </row>
    <row r="115" spans="1:14" ht="28" x14ac:dyDescent="0.3">
      <c r="A115" s="357">
        <v>111</v>
      </c>
      <c r="B115" s="110" t="s">
        <v>239</v>
      </c>
      <c r="C115" s="111">
        <v>54</v>
      </c>
      <c r="D115" s="111">
        <v>657</v>
      </c>
      <c r="E115" s="111">
        <v>711</v>
      </c>
      <c r="F115" s="111">
        <v>6</v>
      </c>
      <c r="G115" s="111">
        <v>199</v>
      </c>
      <c r="H115" s="111">
        <v>205</v>
      </c>
      <c r="I115" s="111">
        <v>6</v>
      </c>
      <c r="J115" s="111">
        <v>47</v>
      </c>
      <c r="K115" s="111">
        <v>53</v>
      </c>
      <c r="L115" s="111">
        <v>23</v>
      </c>
      <c r="M115" s="111">
        <v>208</v>
      </c>
      <c r="N115" s="111">
        <v>231</v>
      </c>
    </row>
    <row r="116" spans="1:14" ht="42" x14ac:dyDescent="0.3">
      <c r="A116" s="357">
        <v>112</v>
      </c>
      <c r="B116" s="110" t="s">
        <v>240</v>
      </c>
      <c r="C116" s="111">
        <v>375</v>
      </c>
      <c r="D116" s="111">
        <v>218</v>
      </c>
      <c r="E116" s="111">
        <v>593</v>
      </c>
      <c r="F116" s="111">
        <v>103</v>
      </c>
      <c r="G116" s="111">
        <v>60</v>
      </c>
      <c r="H116" s="111">
        <v>163</v>
      </c>
      <c r="I116" s="111">
        <v>52</v>
      </c>
      <c r="J116" s="111">
        <v>59</v>
      </c>
      <c r="K116" s="111">
        <v>111</v>
      </c>
      <c r="L116" s="111">
        <v>37</v>
      </c>
      <c r="M116" s="111">
        <v>18</v>
      </c>
      <c r="N116" s="111">
        <v>55</v>
      </c>
    </row>
    <row r="117" spans="1:14" ht="42" x14ac:dyDescent="0.3">
      <c r="A117" s="357">
        <v>113</v>
      </c>
      <c r="B117" s="110" t="s">
        <v>241</v>
      </c>
      <c r="C117" s="111">
        <v>19</v>
      </c>
      <c r="D117" s="111">
        <v>16</v>
      </c>
      <c r="E117" s="111">
        <v>35</v>
      </c>
      <c r="F117" s="111">
        <v>10</v>
      </c>
      <c r="G117" s="111">
        <v>4</v>
      </c>
      <c r="H117" s="111">
        <v>14</v>
      </c>
      <c r="I117" s="111">
        <v>9</v>
      </c>
      <c r="J117" s="111">
        <v>12</v>
      </c>
      <c r="K117" s="111">
        <v>21</v>
      </c>
      <c r="L117" s="111"/>
      <c r="M117" s="111"/>
      <c r="N117" s="111"/>
    </row>
    <row r="118" spans="1:14" ht="56" x14ac:dyDescent="0.3">
      <c r="A118" s="357">
        <v>114</v>
      </c>
      <c r="B118" s="110" t="s">
        <v>242</v>
      </c>
      <c r="C118" s="111">
        <v>271</v>
      </c>
      <c r="D118" s="111">
        <v>385</v>
      </c>
      <c r="E118" s="111">
        <v>656</v>
      </c>
      <c r="F118" s="111">
        <v>12</v>
      </c>
      <c r="G118" s="111">
        <v>15</v>
      </c>
      <c r="H118" s="111">
        <v>27</v>
      </c>
      <c r="I118" s="111">
        <v>5</v>
      </c>
      <c r="J118" s="111"/>
      <c r="K118" s="111">
        <v>5</v>
      </c>
      <c r="L118" s="111">
        <v>50</v>
      </c>
      <c r="M118" s="111">
        <v>57</v>
      </c>
      <c r="N118" s="111">
        <v>107</v>
      </c>
    </row>
    <row r="119" spans="1:14" x14ac:dyDescent="0.3">
      <c r="A119" s="357">
        <v>115</v>
      </c>
      <c r="B119" s="110" t="s">
        <v>243</v>
      </c>
      <c r="C119" s="111">
        <v>273</v>
      </c>
      <c r="D119" s="111">
        <v>75</v>
      </c>
      <c r="E119" s="111">
        <v>348</v>
      </c>
      <c r="F119" s="111">
        <v>53</v>
      </c>
      <c r="G119" s="111">
        <v>14</v>
      </c>
      <c r="H119" s="111">
        <v>67</v>
      </c>
      <c r="I119" s="111">
        <v>8</v>
      </c>
      <c r="J119" s="111">
        <v>5</v>
      </c>
      <c r="K119" s="111">
        <v>13</v>
      </c>
      <c r="L119" s="111">
        <v>35</v>
      </c>
      <c r="M119" s="111">
        <v>13</v>
      </c>
      <c r="N119" s="111">
        <v>48</v>
      </c>
    </row>
    <row r="120" spans="1:14" ht="28" x14ac:dyDescent="0.3">
      <c r="A120" s="357">
        <v>116</v>
      </c>
      <c r="B120" s="110" t="s">
        <v>244</v>
      </c>
      <c r="C120" s="111">
        <v>542</v>
      </c>
      <c r="D120" s="111">
        <v>427</v>
      </c>
      <c r="E120" s="111">
        <v>969</v>
      </c>
      <c r="F120" s="111">
        <v>97</v>
      </c>
      <c r="G120" s="111">
        <v>112</v>
      </c>
      <c r="H120" s="111">
        <v>209</v>
      </c>
      <c r="I120" s="111">
        <v>64</v>
      </c>
      <c r="J120" s="111">
        <v>64</v>
      </c>
      <c r="K120" s="111">
        <v>128</v>
      </c>
      <c r="L120" s="111">
        <v>118</v>
      </c>
      <c r="M120" s="111">
        <v>71</v>
      </c>
      <c r="N120" s="111">
        <v>189</v>
      </c>
    </row>
    <row r="121" spans="1:14" x14ac:dyDescent="0.3">
      <c r="A121" s="357">
        <v>117</v>
      </c>
      <c r="B121" s="110" t="s">
        <v>245</v>
      </c>
      <c r="C121" s="111">
        <v>97821</v>
      </c>
      <c r="D121" s="111">
        <v>110763</v>
      </c>
      <c r="E121" s="111">
        <v>208584</v>
      </c>
      <c r="F121" s="111">
        <v>11959</v>
      </c>
      <c r="G121" s="111">
        <v>13196</v>
      </c>
      <c r="H121" s="111">
        <v>25155</v>
      </c>
      <c r="I121" s="111">
        <v>7379</v>
      </c>
      <c r="J121" s="111">
        <v>8548</v>
      </c>
      <c r="K121" s="111">
        <v>15927</v>
      </c>
      <c r="L121" s="111">
        <v>27927</v>
      </c>
      <c r="M121" s="111">
        <v>35838</v>
      </c>
      <c r="N121" s="111">
        <v>63765</v>
      </c>
    </row>
    <row r="122" spans="1:14" x14ac:dyDescent="0.3">
      <c r="A122" s="357">
        <v>118</v>
      </c>
      <c r="B122" s="110" t="s">
        <v>246</v>
      </c>
      <c r="C122" s="111">
        <v>87562</v>
      </c>
      <c r="D122" s="111">
        <v>116316</v>
      </c>
      <c r="E122" s="111">
        <v>203878</v>
      </c>
      <c r="F122" s="111">
        <v>13728</v>
      </c>
      <c r="G122" s="111">
        <v>17983</v>
      </c>
      <c r="H122" s="111">
        <v>31711</v>
      </c>
      <c r="I122" s="111">
        <v>8708</v>
      </c>
      <c r="J122" s="111">
        <v>10565</v>
      </c>
      <c r="K122" s="111">
        <v>19273</v>
      </c>
      <c r="L122" s="111">
        <v>30284</v>
      </c>
      <c r="M122" s="111">
        <v>40496</v>
      </c>
      <c r="N122" s="111">
        <v>70780</v>
      </c>
    </row>
    <row r="123" spans="1:14" ht="28" x14ac:dyDescent="0.3">
      <c r="A123" s="357">
        <v>119</v>
      </c>
      <c r="B123" s="110" t="s">
        <v>247</v>
      </c>
      <c r="C123" s="111">
        <v>108647</v>
      </c>
      <c r="D123" s="111">
        <v>149167</v>
      </c>
      <c r="E123" s="111">
        <v>257814</v>
      </c>
      <c r="F123" s="111">
        <v>23735</v>
      </c>
      <c r="G123" s="111">
        <v>29044</v>
      </c>
      <c r="H123" s="111">
        <v>52779</v>
      </c>
      <c r="I123" s="111">
        <v>7577</v>
      </c>
      <c r="J123" s="111">
        <v>11501</v>
      </c>
      <c r="K123" s="111">
        <v>19078</v>
      </c>
      <c r="L123" s="111">
        <v>44961</v>
      </c>
      <c r="M123" s="111">
        <v>62750</v>
      </c>
      <c r="N123" s="111">
        <v>107711</v>
      </c>
    </row>
    <row r="124" spans="1:14" ht="22.5" customHeight="1" x14ac:dyDescent="0.3">
      <c r="A124" s="357">
        <v>120</v>
      </c>
      <c r="B124" s="110" t="s">
        <v>248</v>
      </c>
      <c r="C124" s="111">
        <v>11</v>
      </c>
      <c r="D124" s="111">
        <v>26</v>
      </c>
      <c r="E124" s="111">
        <v>37</v>
      </c>
      <c r="F124" s="111"/>
      <c r="G124" s="111"/>
      <c r="H124" s="111"/>
      <c r="I124" s="111">
        <v>1</v>
      </c>
      <c r="J124" s="111">
        <v>3</v>
      </c>
      <c r="K124" s="111">
        <v>4</v>
      </c>
      <c r="L124" s="111">
        <v>2</v>
      </c>
      <c r="M124" s="111">
        <v>17</v>
      </c>
      <c r="N124" s="111">
        <v>19</v>
      </c>
    </row>
    <row r="125" spans="1:14" x14ac:dyDescent="0.3">
      <c r="A125" s="357">
        <v>121</v>
      </c>
      <c r="B125" s="110" t="s">
        <v>249</v>
      </c>
      <c r="C125" s="111">
        <v>167</v>
      </c>
      <c r="D125" s="111">
        <v>125</v>
      </c>
      <c r="E125" s="111">
        <v>292</v>
      </c>
      <c r="F125" s="111">
        <v>18</v>
      </c>
      <c r="G125" s="111">
        <v>22</v>
      </c>
      <c r="H125" s="111">
        <v>40</v>
      </c>
      <c r="I125" s="111">
        <v>10</v>
      </c>
      <c r="J125" s="111">
        <v>9</v>
      </c>
      <c r="K125" s="111">
        <v>19</v>
      </c>
      <c r="L125" s="111">
        <v>52</v>
      </c>
      <c r="M125" s="111">
        <v>36</v>
      </c>
      <c r="N125" s="111">
        <v>88</v>
      </c>
    </row>
    <row r="126" spans="1:14" x14ac:dyDescent="0.3">
      <c r="A126" s="357">
        <v>122</v>
      </c>
      <c r="B126" s="110" t="s">
        <v>250</v>
      </c>
      <c r="C126" s="111">
        <v>1422</v>
      </c>
      <c r="D126" s="111">
        <v>725</v>
      </c>
      <c r="E126" s="111">
        <v>2147</v>
      </c>
      <c r="F126" s="111">
        <v>27</v>
      </c>
      <c r="G126" s="111">
        <v>29</v>
      </c>
      <c r="H126" s="111">
        <v>56</v>
      </c>
      <c r="I126" s="111">
        <v>4</v>
      </c>
      <c r="J126" s="111">
        <v>6</v>
      </c>
      <c r="K126" s="111">
        <v>10</v>
      </c>
      <c r="L126" s="111">
        <v>173</v>
      </c>
      <c r="M126" s="111">
        <v>118</v>
      </c>
      <c r="N126" s="111">
        <v>291</v>
      </c>
    </row>
    <row r="127" spans="1:14" ht="28" x14ac:dyDescent="0.3">
      <c r="A127" s="357">
        <v>123</v>
      </c>
      <c r="B127" s="110" t="s">
        <v>251</v>
      </c>
      <c r="C127" s="111">
        <v>9910</v>
      </c>
      <c r="D127" s="111">
        <v>8934</v>
      </c>
      <c r="E127" s="111">
        <v>18844</v>
      </c>
      <c r="F127" s="111">
        <v>1720</v>
      </c>
      <c r="G127" s="111">
        <v>1586</v>
      </c>
      <c r="H127" s="111">
        <v>3306</v>
      </c>
      <c r="I127" s="111">
        <v>1159</v>
      </c>
      <c r="J127" s="111">
        <v>1409</v>
      </c>
      <c r="K127" s="111">
        <v>2568</v>
      </c>
      <c r="L127" s="111">
        <v>3878</v>
      </c>
      <c r="M127" s="111">
        <v>3430</v>
      </c>
      <c r="N127" s="111">
        <v>7308</v>
      </c>
    </row>
    <row r="128" spans="1:14" ht="28" x14ac:dyDescent="0.3">
      <c r="A128" s="357">
        <v>124</v>
      </c>
      <c r="B128" s="110" t="s">
        <v>252</v>
      </c>
      <c r="C128" s="111">
        <v>216</v>
      </c>
      <c r="D128" s="111">
        <v>152</v>
      </c>
      <c r="E128" s="111">
        <v>368</v>
      </c>
      <c r="F128" s="111">
        <v>27</v>
      </c>
      <c r="G128" s="111">
        <v>18</v>
      </c>
      <c r="H128" s="111">
        <v>45</v>
      </c>
      <c r="I128" s="111">
        <v>2</v>
      </c>
      <c r="J128" s="111">
        <v>2</v>
      </c>
      <c r="K128" s="111">
        <v>4</v>
      </c>
      <c r="L128" s="111">
        <v>103</v>
      </c>
      <c r="M128" s="111">
        <v>64</v>
      </c>
      <c r="N128" s="111">
        <v>167</v>
      </c>
    </row>
    <row r="129" spans="1:14" x14ac:dyDescent="0.3">
      <c r="A129" s="357">
        <v>125</v>
      </c>
      <c r="B129" s="110" t="s">
        <v>253</v>
      </c>
      <c r="C129" s="111">
        <v>3</v>
      </c>
      <c r="D129" s="111">
        <v>2</v>
      </c>
      <c r="E129" s="111">
        <v>5</v>
      </c>
      <c r="F129" s="111"/>
      <c r="G129" s="111"/>
      <c r="H129" s="111"/>
      <c r="I129" s="111"/>
      <c r="J129" s="111"/>
      <c r="K129" s="111"/>
      <c r="L129" s="111"/>
      <c r="M129" s="111"/>
      <c r="N129" s="111"/>
    </row>
    <row r="130" spans="1:14" ht="28" x14ac:dyDescent="0.3">
      <c r="A130" s="357">
        <v>126</v>
      </c>
      <c r="B130" s="110" t="s">
        <v>254</v>
      </c>
      <c r="C130" s="111">
        <v>2038</v>
      </c>
      <c r="D130" s="111">
        <v>1610</v>
      </c>
      <c r="E130" s="111">
        <v>3648</v>
      </c>
      <c r="F130" s="111">
        <v>427</v>
      </c>
      <c r="G130" s="111">
        <v>332</v>
      </c>
      <c r="H130" s="111">
        <v>759</v>
      </c>
      <c r="I130" s="111">
        <v>134</v>
      </c>
      <c r="J130" s="111">
        <v>151</v>
      </c>
      <c r="K130" s="111">
        <v>285</v>
      </c>
      <c r="L130" s="111">
        <v>929</v>
      </c>
      <c r="M130" s="111">
        <v>701</v>
      </c>
      <c r="N130" s="111">
        <v>1630</v>
      </c>
    </row>
    <row r="131" spans="1:14" x14ac:dyDescent="0.3">
      <c r="A131" s="357">
        <v>127</v>
      </c>
      <c r="B131" s="110" t="s">
        <v>255</v>
      </c>
      <c r="C131" s="111">
        <v>178119</v>
      </c>
      <c r="D131" s="111">
        <v>82719</v>
      </c>
      <c r="E131" s="111">
        <v>260838</v>
      </c>
      <c r="F131" s="111">
        <v>22651</v>
      </c>
      <c r="G131" s="111">
        <v>10121</v>
      </c>
      <c r="H131" s="111">
        <v>32772</v>
      </c>
      <c r="I131" s="111">
        <v>5254</v>
      </c>
      <c r="J131" s="111">
        <v>3356</v>
      </c>
      <c r="K131" s="111">
        <v>8610</v>
      </c>
      <c r="L131" s="111">
        <v>77335</v>
      </c>
      <c r="M131" s="111">
        <v>32917</v>
      </c>
      <c r="N131" s="111">
        <v>110252</v>
      </c>
    </row>
    <row r="132" spans="1:14" x14ac:dyDescent="0.3">
      <c r="A132" s="357">
        <v>128</v>
      </c>
      <c r="B132" s="110" t="s">
        <v>256</v>
      </c>
      <c r="C132" s="111">
        <v>672</v>
      </c>
      <c r="D132" s="111">
        <v>681</v>
      </c>
      <c r="E132" s="111">
        <v>1353</v>
      </c>
      <c r="F132" s="111">
        <v>101</v>
      </c>
      <c r="G132" s="111">
        <v>76</v>
      </c>
      <c r="H132" s="111">
        <v>177</v>
      </c>
      <c r="I132" s="111">
        <v>45</v>
      </c>
      <c r="J132" s="111">
        <v>29</v>
      </c>
      <c r="K132" s="111">
        <v>74</v>
      </c>
      <c r="L132" s="111">
        <v>165</v>
      </c>
      <c r="M132" s="111">
        <v>152</v>
      </c>
      <c r="N132" s="111">
        <v>317</v>
      </c>
    </row>
    <row r="133" spans="1:14" x14ac:dyDescent="0.3">
      <c r="A133" s="357">
        <v>129</v>
      </c>
      <c r="B133" s="110" t="s">
        <v>257</v>
      </c>
      <c r="C133" s="111">
        <v>393</v>
      </c>
      <c r="D133" s="111">
        <v>384</v>
      </c>
      <c r="E133" s="111">
        <v>777</v>
      </c>
      <c r="F133" s="111">
        <v>19</v>
      </c>
      <c r="G133" s="111">
        <v>7</v>
      </c>
      <c r="H133" s="111">
        <v>26</v>
      </c>
      <c r="I133" s="111">
        <v>9</v>
      </c>
      <c r="J133" s="111">
        <v>5</v>
      </c>
      <c r="K133" s="111">
        <v>14</v>
      </c>
      <c r="L133" s="111">
        <v>29</v>
      </c>
      <c r="M133" s="111">
        <v>25</v>
      </c>
      <c r="N133" s="111">
        <v>54</v>
      </c>
    </row>
    <row r="134" spans="1:14" ht="28" x14ac:dyDescent="0.3">
      <c r="A134" s="357">
        <v>130</v>
      </c>
      <c r="B134" s="110" t="s">
        <v>258</v>
      </c>
      <c r="C134" s="111">
        <v>2713</v>
      </c>
      <c r="D134" s="111">
        <v>2647</v>
      </c>
      <c r="E134" s="111">
        <v>5360</v>
      </c>
      <c r="F134" s="111">
        <v>232</v>
      </c>
      <c r="G134" s="111">
        <v>624</v>
      </c>
      <c r="H134" s="111">
        <v>856</v>
      </c>
      <c r="I134" s="111">
        <v>53</v>
      </c>
      <c r="J134" s="111">
        <v>147</v>
      </c>
      <c r="K134" s="111">
        <v>200</v>
      </c>
      <c r="L134" s="111">
        <v>669</v>
      </c>
      <c r="M134" s="111">
        <v>1255</v>
      </c>
      <c r="N134" s="111">
        <v>1924</v>
      </c>
    </row>
    <row r="135" spans="1:14" ht="28" x14ac:dyDescent="0.3">
      <c r="A135" s="357">
        <v>131</v>
      </c>
      <c r="B135" s="110" t="s">
        <v>259</v>
      </c>
      <c r="C135" s="111">
        <v>2153</v>
      </c>
      <c r="D135" s="111">
        <v>1357</v>
      </c>
      <c r="E135" s="111">
        <v>3510</v>
      </c>
      <c r="F135" s="111">
        <v>366</v>
      </c>
      <c r="G135" s="111">
        <v>215</v>
      </c>
      <c r="H135" s="111">
        <v>581</v>
      </c>
      <c r="I135" s="111">
        <v>200</v>
      </c>
      <c r="J135" s="111">
        <v>161</v>
      </c>
      <c r="K135" s="111">
        <v>361</v>
      </c>
      <c r="L135" s="111">
        <v>875</v>
      </c>
      <c r="M135" s="111">
        <v>561</v>
      </c>
      <c r="N135" s="111">
        <v>1436</v>
      </c>
    </row>
    <row r="136" spans="1:14" x14ac:dyDescent="0.3">
      <c r="A136" s="357">
        <v>132</v>
      </c>
      <c r="B136" s="110" t="s">
        <v>260</v>
      </c>
      <c r="C136" s="111">
        <v>12</v>
      </c>
      <c r="D136" s="111">
        <v>20</v>
      </c>
      <c r="E136" s="111">
        <v>32</v>
      </c>
      <c r="F136" s="111">
        <v>3</v>
      </c>
      <c r="G136" s="111">
        <v>2</v>
      </c>
      <c r="H136" s="111">
        <v>5</v>
      </c>
      <c r="I136" s="111">
        <v>1</v>
      </c>
      <c r="J136" s="111"/>
      <c r="K136" s="111">
        <v>1</v>
      </c>
      <c r="L136" s="111">
        <v>8</v>
      </c>
      <c r="M136" s="111">
        <v>13</v>
      </c>
      <c r="N136" s="111">
        <v>21</v>
      </c>
    </row>
    <row r="137" spans="1:14" x14ac:dyDescent="0.3">
      <c r="A137" s="357">
        <v>133</v>
      </c>
      <c r="B137" s="110" t="s">
        <v>261</v>
      </c>
      <c r="C137" s="111">
        <v>1499760</v>
      </c>
      <c r="D137" s="111">
        <v>503676</v>
      </c>
      <c r="E137" s="111">
        <v>2003436</v>
      </c>
      <c r="F137" s="111">
        <v>265661</v>
      </c>
      <c r="G137" s="111">
        <v>90725</v>
      </c>
      <c r="H137" s="111">
        <v>356386</v>
      </c>
      <c r="I137" s="111">
        <v>90546</v>
      </c>
      <c r="J137" s="111">
        <v>42049</v>
      </c>
      <c r="K137" s="111">
        <v>132595</v>
      </c>
      <c r="L137" s="111">
        <v>603095</v>
      </c>
      <c r="M137" s="111">
        <v>186317</v>
      </c>
      <c r="N137" s="111">
        <v>789412</v>
      </c>
    </row>
    <row r="138" spans="1:14" x14ac:dyDescent="0.3">
      <c r="A138" s="357">
        <v>134</v>
      </c>
      <c r="B138" s="110" t="s">
        <v>262</v>
      </c>
      <c r="C138" s="111">
        <v>2573</v>
      </c>
      <c r="D138" s="111">
        <v>822</v>
      </c>
      <c r="E138" s="111">
        <v>3395</v>
      </c>
      <c r="F138" s="111">
        <v>100</v>
      </c>
      <c r="G138" s="111">
        <v>22</v>
      </c>
      <c r="H138" s="111">
        <v>122</v>
      </c>
      <c r="I138" s="111">
        <v>13</v>
      </c>
      <c r="J138" s="111">
        <v>5</v>
      </c>
      <c r="K138" s="111">
        <v>18</v>
      </c>
      <c r="L138" s="111">
        <v>202</v>
      </c>
      <c r="M138" s="111">
        <v>84</v>
      </c>
      <c r="N138" s="111">
        <v>286</v>
      </c>
    </row>
    <row r="139" spans="1:14" x14ac:dyDescent="0.3">
      <c r="A139" s="357">
        <v>135</v>
      </c>
      <c r="B139" s="110" t="s">
        <v>263</v>
      </c>
      <c r="C139" s="111">
        <v>226</v>
      </c>
      <c r="D139" s="111">
        <v>53</v>
      </c>
      <c r="E139" s="111">
        <v>279</v>
      </c>
      <c r="F139" s="111">
        <v>6</v>
      </c>
      <c r="G139" s="111">
        <v>2</v>
      </c>
      <c r="H139" s="111">
        <v>8</v>
      </c>
      <c r="I139" s="111">
        <v>2</v>
      </c>
      <c r="J139" s="111">
        <v>2</v>
      </c>
      <c r="K139" s="111">
        <v>4</v>
      </c>
      <c r="L139" s="111">
        <v>18</v>
      </c>
      <c r="M139" s="111">
        <v>11</v>
      </c>
      <c r="N139" s="111">
        <v>29</v>
      </c>
    </row>
    <row r="140" spans="1:14" x14ac:dyDescent="0.3">
      <c r="A140" s="357">
        <v>136</v>
      </c>
      <c r="B140" s="110" t="s">
        <v>264</v>
      </c>
      <c r="C140" s="111">
        <v>127</v>
      </c>
      <c r="D140" s="111">
        <v>632</v>
      </c>
      <c r="E140" s="111">
        <v>759</v>
      </c>
      <c r="F140" s="111">
        <v>12</v>
      </c>
      <c r="G140" s="111">
        <v>92</v>
      </c>
      <c r="H140" s="111">
        <v>104</v>
      </c>
      <c r="I140" s="111">
        <v>2</v>
      </c>
      <c r="J140" s="111">
        <v>53</v>
      </c>
      <c r="K140" s="111">
        <v>55</v>
      </c>
      <c r="L140" s="111">
        <v>20</v>
      </c>
      <c r="M140" s="111">
        <v>180</v>
      </c>
      <c r="N140" s="111">
        <v>200</v>
      </c>
    </row>
    <row r="141" spans="1:14" x14ac:dyDescent="0.3">
      <c r="A141" s="357">
        <v>137</v>
      </c>
      <c r="B141" s="110" t="s">
        <v>265</v>
      </c>
      <c r="C141" s="111"/>
      <c r="D141" s="111">
        <v>6</v>
      </c>
      <c r="E141" s="111">
        <v>6</v>
      </c>
      <c r="F141" s="111"/>
      <c r="G141" s="111"/>
      <c r="H141" s="111"/>
      <c r="I141" s="111"/>
      <c r="J141" s="111"/>
      <c r="K141" s="111"/>
      <c r="L141" s="111"/>
      <c r="M141" s="111">
        <v>3</v>
      </c>
      <c r="N141" s="111">
        <v>3</v>
      </c>
    </row>
    <row r="142" spans="1:14" ht="28" x14ac:dyDescent="0.3">
      <c r="A142" s="357">
        <v>138</v>
      </c>
      <c r="B142" s="110" t="s">
        <v>266</v>
      </c>
      <c r="C142" s="111">
        <v>95105</v>
      </c>
      <c r="D142" s="111">
        <v>351715</v>
      </c>
      <c r="E142" s="111">
        <v>446820</v>
      </c>
      <c r="F142" s="111">
        <v>19993</v>
      </c>
      <c r="G142" s="111">
        <v>87483</v>
      </c>
      <c r="H142" s="111">
        <v>107476</v>
      </c>
      <c r="I142" s="111">
        <v>10435</v>
      </c>
      <c r="J142" s="111">
        <v>53657</v>
      </c>
      <c r="K142" s="111">
        <v>64092</v>
      </c>
      <c r="L142" s="111">
        <v>26797</v>
      </c>
      <c r="M142" s="111">
        <v>102080</v>
      </c>
      <c r="N142" s="111">
        <v>128877</v>
      </c>
    </row>
    <row r="143" spans="1:14" x14ac:dyDescent="0.3">
      <c r="A143" s="357">
        <v>139</v>
      </c>
      <c r="B143" s="110" t="s">
        <v>267</v>
      </c>
      <c r="C143" s="111">
        <v>2110</v>
      </c>
      <c r="D143" s="111">
        <v>725</v>
      </c>
      <c r="E143" s="111">
        <v>2835</v>
      </c>
      <c r="F143" s="111">
        <v>253</v>
      </c>
      <c r="G143" s="111">
        <v>78</v>
      </c>
      <c r="H143" s="111">
        <v>331</v>
      </c>
      <c r="I143" s="111">
        <v>23</v>
      </c>
      <c r="J143" s="111">
        <v>5</v>
      </c>
      <c r="K143" s="111">
        <v>28</v>
      </c>
      <c r="L143" s="111">
        <v>1102</v>
      </c>
      <c r="M143" s="111">
        <v>356</v>
      </c>
      <c r="N143" s="111">
        <v>1458</v>
      </c>
    </row>
    <row r="144" spans="1:14" ht="28" x14ac:dyDescent="0.3">
      <c r="A144" s="357">
        <v>140</v>
      </c>
      <c r="B144" s="110" t="s">
        <v>268</v>
      </c>
      <c r="C144" s="111">
        <v>40</v>
      </c>
      <c r="D144" s="111"/>
      <c r="E144" s="111">
        <v>40</v>
      </c>
      <c r="F144" s="111">
        <v>2</v>
      </c>
      <c r="G144" s="111"/>
      <c r="H144" s="111">
        <v>2</v>
      </c>
      <c r="I144" s="111"/>
      <c r="J144" s="111"/>
      <c r="K144" s="111"/>
      <c r="L144" s="111">
        <v>10</v>
      </c>
      <c r="M144" s="111"/>
      <c r="N144" s="111">
        <v>10</v>
      </c>
    </row>
    <row r="145" spans="1:14" ht="56" x14ac:dyDescent="0.3">
      <c r="A145" s="357">
        <v>141</v>
      </c>
      <c r="B145" s="110" t="s">
        <v>269</v>
      </c>
      <c r="C145" s="111">
        <v>398</v>
      </c>
      <c r="D145" s="111">
        <v>288</v>
      </c>
      <c r="E145" s="111">
        <v>686</v>
      </c>
      <c r="F145" s="111">
        <v>22</v>
      </c>
      <c r="G145" s="111">
        <v>25</v>
      </c>
      <c r="H145" s="111">
        <v>47</v>
      </c>
      <c r="I145" s="111">
        <v>13</v>
      </c>
      <c r="J145" s="111">
        <v>6</v>
      </c>
      <c r="K145" s="111">
        <v>19</v>
      </c>
      <c r="L145" s="111">
        <v>42</v>
      </c>
      <c r="M145" s="111">
        <v>35</v>
      </c>
      <c r="N145" s="111">
        <v>77</v>
      </c>
    </row>
    <row r="146" spans="1:14" ht="28" x14ac:dyDescent="0.3">
      <c r="A146" s="357">
        <v>142</v>
      </c>
      <c r="B146" s="110" t="s">
        <v>270</v>
      </c>
      <c r="C146" s="111">
        <v>3441</v>
      </c>
      <c r="D146" s="111">
        <v>4985</v>
      </c>
      <c r="E146" s="111">
        <v>8426</v>
      </c>
      <c r="F146" s="111">
        <v>515</v>
      </c>
      <c r="G146" s="111">
        <v>651</v>
      </c>
      <c r="H146" s="111">
        <v>1166</v>
      </c>
      <c r="I146" s="111">
        <v>315</v>
      </c>
      <c r="J146" s="111">
        <v>296</v>
      </c>
      <c r="K146" s="111">
        <v>611</v>
      </c>
      <c r="L146" s="111">
        <v>1163</v>
      </c>
      <c r="M146" s="111">
        <v>1401</v>
      </c>
      <c r="N146" s="111">
        <v>2564</v>
      </c>
    </row>
    <row r="147" spans="1:14" ht="28" x14ac:dyDescent="0.3">
      <c r="A147" s="357">
        <v>143</v>
      </c>
      <c r="B147" s="110" t="s">
        <v>271</v>
      </c>
      <c r="C147" s="111">
        <v>16724</v>
      </c>
      <c r="D147" s="111">
        <v>11833</v>
      </c>
      <c r="E147" s="111">
        <v>28557</v>
      </c>
      <c r="F147" s="111">
        <v>1603</v>
      </c>
      <c r="G147" s="111">
        <v>1159</v>
      </c>
      <c r="H147" s="111">
        <v>2762</v>
      </c>
      <c r="I147" s="111">
        <v>504</v>
      </c>
      <c r="J147" s="111">
        <v>378</v>
      </c>
      <c r="K147" s="111">
        <v>882</v>
      </c>
      <c r="L147" s="111">
        <v>3464</v>
      </c>
      <c r="M147" s="111">
        <v>2361</v>
      </c>
      <c r="N147" s="111">
        <v>5825</v>
      </c>
    </row>
    <row r="148" spans="1:14" ht="28" x14ac:dyDescent="0.3">
      <c r="A148" s="357">
        <v>144</v>
      </c>
      <c r="B148" s="110" t="s">
        <v>272</v>
      </c>
      <c r="C148" s="111">
        <v>7225</v>
      </c>
      <c r="D148" s="111">
        <v>3336</v>
      </c>
      <c r="E148" s="111">
        <v>10561</v>
      </c>
      <c r="F148" s="111">
        <v>950</v>
      </c>
      <c r="G148" s="111">
        <v>537</v>
      </c>
      <c r="H148" s="111">
        <v>1487</v>
      </c>
      <c r="I148" s="111">
        <v>386</v>
      </c>
      <c r="J148" s="111">
        <v>84</v>
      </c>
      <c r="K148" s="111">
        <v>470</v>
      </c>
      <c r="L148" s="111">
        <v>2247</v>
      </c>
      <c r="M148" s="111">
        <v>930</v>
      </c>
      <c r="N148" s="111">
        <v>3177</v>
      </c>
    </row>
    <row r="149" spans="1:14" ht="28" x14ac:dyDescent="0.3">
      <c r="A149" s="357">
        <v>145</v>
      </c>
      <c r="B149" s="110" t="s">
        <v>273</v>
      </c>
      <c r="C149" s="111">
        <v>913</v>
      </c>
      <c r="D149" s="111">
        <v>1035</v>
      </c>
      <c r="E149" s="111">
        <v>1948</v>
      </c>
      <c r="F149" s="111">
        <v>104</v>
      </c>
      <c r="G149" s="111">
        <v>198</v>
      </c>
      <c r="H149" s="111">
        <v>302</v>
      </c>
      <c r="I149" s="111">
        <v>54</v>
      </c>
      <c r="J149" s="111">
        <v>26</v>
      </c>
      <c r="K149" s="111">
        <v>80</v>
      </c>
      <c r="L149" s="111">
        <v>152</v>
      </c>
      <c r="M149" s="111">
        <v>296</v>
      </c>
      <c r="N149" s="111">
        <v>448</v>
      </c>
    </row>
    <row r="150" spans="1:14" ht="28" x14ac:dyDescent="0.3">
      <c r="A150" s="357">
        <v>146</v>
      </c>
      <c r="B150" s="110" t="s">
        <v>274</v>
      </c>
      <c r="C150" s="111">
        <v>20</v>
      </c>
      <c r="D150" s="111">
        <v>47</v>
      </c>
      <c r="E150" s="111">
        <v>67</v>
      </c>
      <c r="F150" s="111">
        <v>1</v>
      </c>
      <c r="G150" s="111"/>
      <c r="H150" s="111">
        <v>1</v>
      </c>
      <c r="I150" s="111"/>
      <c r="J150" s="111"/>
      <c r="K150" s="111"/>
      <c r="L150" s="111">
        <v>2</v>
      </c>
      <c r="M150" s="111">
        <v>3</v>
      </c>
      <c r="N150" s="111">
        <v>5</v>
      </c>
    </row>
    <row r="151" spans="1:14" ht="28" x14ac:dyDescent="0.3">
      <c r="A151" s="357">
        <v>147</v>
      </c>
      <c r="B151" s="110" t="s">
        <v>275</v>
      </c>
      <c r="C151" s="111">
        <v>20695</v>
      </c>
      <c r="D151" s="111">
        <v>17617</v>
      </c>
      <c r="E151" s="111">
        <v>38312</v>
      </c>
      <c r="F151" s="111">
        <v>1895</v>
      </c>
      <c r="G151" s="111">
        <v>1753</v>
      </c>
      <c r="H151" s="111">
        <v>3648</v>
      </c>
      <c r="I151" s="111">
        <v>666</v>
      </c>
      <c r="J151" s="111">
        <v>455</v>
      </c>
      <c r="K151" s="111">
        <v>1121</v>
      </c>
      <c r="L151" s="111">
        <v>4816</v>
      </c>
      <c r="M151" s="111">
        <v>5111</v>
      </c>
      <c r="N151" s="111">
        <v>9927</v>
      </c>
    </row>
    <row r="152" spans="1:14" ht="28" x14ac:dyDescent="0.3">
      <c r="A152" s="357">
        <v>148</v>
      </c>
      <c r="B152" s="110" t="s">
        <v>276</v>
      </c>
      <c r="C152" s="111">
        <v>683</v>
      </c>
      <c r="D152" s="111">
        <v>426</v>
      </c>
      <c r="E152" s="111">
        <v>1109</v>
      </c>
      <c r="F152" s="111">
        <v>31</v>
      </c>
      <c r="G152" s="111">
        <v>12</v>
      </c>
      <c r="H152" s="111">
        <v>43</v>
      </c>
      <c r="I152" s="111">
        <v>4</v>
      </c>
      <c r="J152" s="111">
        <v>1</v>
      </c>
      <c r="K152" s="111">
        <v>5</v>
      </c>
      <c r="L152" s="111">
        <v>122</v>
      </c>
      <c r="M152" s="111">
        <v>72</v>
      </c>
      <c r="N152" s="111">
        <v>194</v>
      </c>
    </row>
    <row r="153" spans="1:14" x14ac:dyDescent="0.3">
      <c r="A153" s="357">
        <v>149</v>
      </c>
      <c r="B153" s="110" t="s">
        <v>277</v>
      </c>
      <c r="C153" s="111">
        <v>605</v>
      </c>
      <c r="D153" s="111">
        <v>671</v>
      </c>
      <c r="E153" s="111">
        <v>1276</v>
      </c>
      <c r="F153" s="111">
        <v>25</v>
      </c>
      <c r="G153" s="111">
        <v>52</v>
      </c>
      <c r="H153" s="111">
        <v>77</v>
      </c>
      <c r="I153" s="111">
        <v>179</v>
      </c>
      <c r="J153" s="111">
        <v>217</v>
      </c>
      <c r="K153" s="111">
        <v>396</v>
      </c>
      <c r="L153" s="111">
        <v>121</v>
      </c>
      <c r="M153" s="111">
        <v>118</v>
      </c>
      <c r="N153" s="111">
        <v>239</v>
      </c>
    </row>
    <row r="154" spans="1:14" x14ac:dyDescent="0.3">
      <c r="A154" s="357">
        <v>150</v>
      </c>
      <c r="B154" s="110" t="s">
        <v>278</v>
      </c>
      <c r="C154" s="111">
        <v>343462</v>
      </c>
      <c r="D154" s="111">
        <v>168362</v>
      </c>
      <c r="E154" s="111">
        <v>511824</v>
      </c>
      <c r="F154" s="111">
        <v>50766</v>
      </c>
      <c r="G154" s="111">
        <v>23559</v>
      </c>
      <c r="H154" s="111">
        <v>74325</v>
      </c>
      <c r="I154" s="111">
        <v>12657</v>
      </c>
      <c r="J154" s="111">
        <v>7217</v>
      </c>
      <c r="K154" s="111">
        <v>19874</v>
      </c>
      <c r="L154" s="111">
        <v>114815</v>
      </c>
      <c r="M154" s="111">
        <v>49569</v>
      </c>
      <c r="N154" s="111">
        <v>164384</v>
      </c>
    </row>
    <row r="155" spans="1:14" x14ac:dyDescent="0.3">
      <c r="A155" s="357">
        <v>151</v>
      </c>
      <c r="B155" s="110" t="s">
        <v>279</v>
      </c>
      <c r="C155" s="111">
        <v>175</v>
      </c>
      <c r="D155" s="111">
        <v>264</v>
      </c>
      <c r="E155" s="111">
        <v>439</v>
      </c>
      <c r="F155" s="111">
        <v>37</v>
      </c>
      <c r="G155" s="111">
        <v>46</v>
      </c>
      <c r="H155" s="111">
        <v>83</v>
      </c>
      <c r="I155" s="111"/>
      <c r="J155" s="111">
        <v>5</v>
      </c>
      <c r="K155" s="111">
        <v>5</v>
      </c>
      <c r="L155" s="111">
        <v>29</v>
      </c>
      <c r="M155" s="111">
        <v>30</v>
      </c>
      <c r="N155" s="111">
        <v>59</v>
      </c>
    </row>
    <row r="156" spans="1:14" x14ac:dyDescent="0.3">
      <c r="A156" s="357">
        <v>152</v>
      </c>
      <c r="B156" s="110" t="s">
        <v>280</v>
      </c>
      <c r="C156" s="111">
        <v>25749</v>
      </c>
      <c r="D156" s="111">
        <v>22250</v>
      </c>
      <c r="E156" s="111">
        <v>47999</v>
      </c>
      <c r="F156" s="111">
        <v>3428</v>
      </c>
      <c r="G156" s="111">
        <v>2625</v>
      </c>
      <c r="H156" s="111">
        <v>6053</v>
      </c>
      <c r="I156" s="111">
        <v>1202</v>
      </c>
      <c r="J156" s="111">
        <v>893</v>
      </c>
      <c r="K156" s="111">
        <v>2095</v>
      </c>
      <c r="L156" s="111">
        <v>6312</v>
      </c>
      <c r="M156" s="111">
        <v>5192</v>
      </c>
      <c r="N156" s="111">
        <v>11504</v>
      </c>
    </row>
    <row r="157" spans="1:14" ht="28" x14ac:dyDescent="0.3">
      <c r="A157" s="357">
        <v>153</v>
      </c>
      <c r="B157" s="110" t="s">
        <v>281</v>
      </c>
      <c r="C157" s="111">
        <v>315</v>
      </c>
      <c r="D157" s="111">
        <v>316</v>
      </c>
      <c r="E157" s="111">
        <v>631</v>
      </c>
      <c r="F157" s="111">
        <v>59</v>
      </c>
      <c r="G157" s="111">
        <v>52</v>
      </c>
      <c r="H157" s="111">
        <v>111</v>
      </c>
      <c r="I157" s="111">
        <v>43</v>
      </c>
      <c r="J157" s="111">
        <v>30</v>
      </c>
      <c r="K157" s="111">
        <v>73</v>
      </c>
      <c r="L157" s="111">
        <v>101</v>
      </c>
      <c r="M157" s="111">
        <v>85</v>
      </c>
      <c r="N157" s="111">
        <v>186</v>
      </c>
    </row>
    <row r="158" spans="1:14" ht="28" x14ac:dyDescent="0.3">
      <c r="A158" s="357">
        <v>154</v>
      </c>
      <c r="B158" s="110" t="s">
        <v>282</v>
      </c>
      <c r="C158" s="111">
        <v>284</v>
      </c>
      <c r="D158" s="111">
        <v>714</v>
      </c>
      <c r="E158" s="111">
        <v>998</v>
      </c>
      <c r="F158" s="111">
        <v>40</v>
      </c>
      <c r="G158" s="111">
        <v>85</v>
      </c>
      <c r="H158" s="111">
        <v>125</v>
      </c>
      <c r="I158" s="111">
        <v>16</v>
      </c>
      <c r="J158" s="111">
        <v>40</v>
      </c>
      <c r="K158" s="111">
        <v>56</v>
      </c>
      <c r="L158" s="111">
        <v>100</v>
      </c>
      <c r="M158" s="111">
        <v>261</v>
      </c>
      <c r="N158" s="111">
        <v>361</v>
      </c>
    </row>
    <row r="159" spans="1:14" x14ac:dyDescent="0.3">
      <c r="A159" s="357">
        <v>155</v>
      </c>
      <c r="B159" s="110" t="s">
        <v>283</v>
      </c>
      <c r="C159" s="111">
        <v>847384</v>
      </c>
      <c r="D159" s="111">
        <v>1408606</v>
      </c>
      <c r="E159" s="111">
        <v>2255990</v>
      </c>
      <c r="F159" s="111">
        <v>156004</v>
      </c>
      <c r="G159" s="111">
        <v>225080</v>
      </c>
      <c r="H159" s="111">
        <v>381084</v>
      </c>
      <c r="I159" s="111">
        <v>80897</v>
      </c>
      <c r="J159" s="111">
        <v>116607</v>
      </c>
      <c r="K159" s="111">
        <v>197504</v>
      </c>
      <c r="L159" s="111">
        <v>325576</v>
      </c>
      <c r="M159" s="111">
        <v>527051</v>
      </c>
      <c r="N159" s="111">
        <v>852627</v>
      </c>
    </row>
    <row r="160" spans="1:14" x14ac:dyDescent="0.3">
      <c r="A160" s="357">
        <v>156</v>
      </c>
      <c r="B160" s="110" t="s">
        <v>284</v>
      </c>
      <c r="C160" s="111">
        <v>1181</v>
      </c>
      <c r="D160" s="111">
        <v>1520</v>
      </c>
      <c r="E160" s="111">
        <v>2701</v>
      </c>
      <c r="F160" s="111">
        <v>76</v>
      </c>
      <c r="G160" s="111">
        <v>83</v>
      </c>
      <c r="H160" s="111">
        <v>159</v>
      </c>
      <c r="I160" s="111">
        <v>18</v>
      </c>
      <c r="J160" s="111">
        <v>18</v>
      </c>
      <c r="K160" s="111">
        <v>36</v>
      </c>
      <c r="L160" s="111">
        <v>424</v>
      </c>
      <c r="M160" s="111">
        <v>434</v>
      </c>
      <c r="N160" s="111">
        <v>858</v>
      </c>
    </row>
    <row r="161" spans="1:14" ht="28" x14ac:dyDescent="0.3">
      <c r="A161" s="357">
        <v>157</v>
      </c>
      <c r="B161" s="110" t="s">
        <v>285</v>
      </c>
      <c r="C161" s="111">
        <v>543259</v>
      </c>
      <c r="D161" s="111">
        <v>418851</v>
      </c>
      <c r="E161" s="111">
        <v>962110</v>
      </c>
      <c r="F161" s="111">
        <v>57496</v>
      </c>
      <c r="G161" s="111">
        <v>44297</v>
      </c>
      <c r="H161" s="111">
        <v>101793</v>
      </c>
      <c r="I161" s="111">
        <v>13586</v>
      </c>
      <c r="J161" s="111">
        <v>8983</v>
      </c>
      <c r="K161" s="111">
        <v>22569</v>
      </c>
      <c r="L161" s="111">
        <v>193951</v>
      </c>
      <c r="M161" s="111">
        <v>151543</v>
      </c>
      <c r="N161" s="111">
        <v>345494</v>
      </c>
    </row>
    <row r="162" spans="1:14" ht="42" x14ac:dyDescent="0.3">
      <c r="A162" s="357">
        <v>158</v>
      </c>
      <c r="B162" s="110" t="s">
        <v>286</v>
      </c>
      <c r="C162" s="111">
        <v>221</v>
      </c>
      <c r="D162" s="111">
        <v>176</v>
      </c>
      <c r="E162" s="111">
        <v>397</v>
      </c>
      <c r="F162" s="111">
        <v>35</v>
      </c>
      <c r="G162" s="111">
        <v>33</v>
      </c>
      <c r="H162" s="111">
        <v>68</v>
      </c>
      <c r="I162" s="111">
        <v>16</v>
      </c>
      <c r="J162" s="111">
        <v>17</v>
      </c>
      <c r="K162" s="111">
        <v>33</v>
      </c>
      <c r="L162" s="111">
        <v>67</v>
      </c>
      <c r="M162" s="111">
        <v>49</v>
      </c>
      <c r="N162" s="111">
        <v>116</v>
      </c>
    </row>
    <row r="163" spans="1:14" ht="28" x14ac:dyDescent="0.3">
      <c r="A163" s="357">
        <v>159</v>
      </c>
      <c r="B163" s="110" t="s">
        <v>287</v>
      </c>
      <c r="C163" s="111">
        <v>1517</v>
      </c>
      <c r="D163" s="111">
        <v>1128</v>
      </c>
      <c r="E163" s="111">
        <v>2645</v>
      </c>
      <c r="F163" s="111">
        <v>132</v>
      </c>
      <c r="G163" s="111">
        <v>77</v>
      </c>
      <c r="H163" s="111">
        <v>209</v>
      </c>
      <c r="I163" s="111">
        <v>50</v>
      </c>
      <c r="J163" s="111">
        <v>36</v>
      </c>
      <c r="K163" s="111">
        <v>86</v>
      </c>
      <c r="L163" s="111">
        <v>497</v>
      </c>
      <c r="M163" s="111">
        <v>361</v>
      </c>
      <c r="N163" s="111">
        <v>858</v>
      </c>
    </row>
    <row r="164" spans="1:14" ht="28" x14ac:dyDescent="0.3">
      <c r="A164" s="357">
        <v>160</v>
      </c>
      <c r="B164" s="110" t="s">
        <v>288</v>
      </c>
      <c r="C164" s="111">
        <v>202637</v>
      </c>
      <c r="D164" s="111">
        <v>202487</v>
      </c>
      <c r="E164" s="111">
        <v>405124</v>
      </c>
      <c r="F164" s="111">
        <v>21868</v>
      </c>
      <c r="G164" s="111">
        <v>20007</v>
      </c>
      <c r="H164" s="111">
        <v>41875</v>
      </c>
      <c r="I164" s="111">
        <v>11685</v>
      </c>
      <c r="J164" s="111">
        <v>11203</v>
      </c>
      <c r="K164" s="111">
        <v>22888</v>
      </c>
      <c r="L164" s="111">
        <v>65140</v>
      </c>
      <c r="M164" s="111">
        <v>65160</v>
      </c>
      <c r="N164" s="111">
        <v>130300</v>
      </c>
    </row>
    <row r="165" spans="1:14" ht="28" x14ac:dyDescent="0.3">
      <c r="A165" s="357">
        <v>161</v>
      </c>
      <c r="B165" s="110" t="s">
        <v>289</v>
      </c>
      <c r="C165" s="111">
        <v>152649</v>
      </c>
      <c r="D165" s="111">
        <v>97208</v>
      </c>
      <c r="E165" s="111">
        <v>249857</v>
      </c>
      <c r="F165" s="111">
        <v>11567</v>
      </c>
      <c r="G165" s="111">
        <v>7624</v>
      </c>
      <c r="H165" s="111">
        <v>19191</v>
      </c>
      <c r="I165" s="111">
        <v>2925</v>
      </c>
      <c r="J165" s="111">
        <v>1655</v>
      </c>
      <c r="K165" s="111">
        <v>4580</v>
      </c>
      <c r="L165" s="111">
        <v>60890</v>
      </c>
      <c r="M165" s="111">
        <v>42030</v>
      </c>
      <c r="N165" s="111">
        <v>102920</v>
      </c>
    </row>
    <row r="166" spans="1:14" x14ac:dyDescent="0.3">
      <c r="A166" s="357">
        <v>162</v>
      </c>
      <c r="B166" s="110" t="s">
        <v>290</v>
      </c>
      <c r="C166" s="111">
        <v>1192</v>
      </c>
      <c r="D166" s="111">
        <v>442</v>
      </c>
      <c r="E166" s="111">
        <v>1634</v>
      </c>
      <c r="F166" s="111">
        <v>41</v>
      </c>
      <c r="G166" s="111">
        <v>28</v>
      </c>
      <c r="H166" s="111">
        <v>69</v>
      </c>
      <c r="I166" s="111">
        <v>17</v>
      </c>
      <c r="J166" s="111">
        <v>5</v>
      </c>
      <c r="K166" s="111">
        <v>22</v>
      </c>
      <c r="L166" s="111">
        <v>155</v>
      </c>
      <c r="M166" s="111">
        <v>67</v>
      </c>
      <c r="N166" s="111">
        <v>222</v>
      </c>
    </row>
    <row r="167" spans="1:14" ht="28" x14ac:dyDescent="0.3">
      <c r="A167" s="357">
        <v>163</v>
      </c>
      <c r="B167" s="110" t="s">
        <v>291</v>
      </c>
      <c r="C167" s="111">
        <v>115</v>
      </c>
      <c r="D167" s="111">
        <v>191</v>
      </c>
      <c r="E167" s="111">
        <v>306</v>
      </c>
      <c r="F167" s="111">
        <v>14</v>
      </c>
      <c r="G167" s="111">
        <v>22</v>
      </c>
      <c r="H167" s="111">
        <v>36</v>
      </c>
      <c r="I167" s="111"/>
      <c r="J167" s="111">
        <v>1</v>
      </c>
      <c r="K167" s="111">
        <v>1</v>
      </c>
      <c r="L167" s="111">
        <v>19</v>
      </c>
      <c r="M167" s="111">
        <v>37</v>
      </c>
      <c r="N167" s="111">
        <v>56</v>
      </c>
    </row>
    <row r="168" spans="1:14" x14ac:dyDescent="0.3">
      <c r="A168" s="357">
        <v>164</v>
      </c>
      <c r="B168" s="110" t="s">
        <v>292</v>
      </c>
      <c r="C168" s="111">
        <v>161640</v>
      </c>
      <c r="D168" s="111">
        <v>284535</v>
      </c>
      <c r="E168" s="111">
        <v>446175</v>
      </c>
      <c r="F168" s="111">
        <v>20487</v>
      </c>
      <c r="G168" s="111">
        <v>31605</v>
      </c>
      <c r="H168" s="111">
        <v>52092</v>
      </c>
      <c r="I168" s="111">
        <v>8828</v>
      </c>
      <c r="J168" s="111">
        <v>11801</v>
      </c>
      <c r="K168" s="111">
        <v>20629</v>
      </c>
      <c r="L168" s="111">
        <v>63547</v>
      </c>
      <c r="M168" s="111">
        <v>116161</v>
      </c>
      <c r="N168" s="111">
        <v>179708</v>
      </c>
    </row>
    <row r="169" spans="1:14" x14ac:dyDescent="0.3">
      <c r="A169" s="357">
        <v>165</v>
      </c>
      <c r="B169" s="110" t="s">
        <v>293</v>
      </c>
      <c r="C169" s="111">
        <v>43079</v>
      </c>
      <c r="D169" s="111">
        <v>47479</v>
      </c>
      <c r="E169" s="111">
        <v>90558</v>
      </c>
      <c r="F169" s="111">
        <v>4532</v>
      </c>
      <c r="G169" s="111">
        <v>4694</v>
      </c>
      <c r="H169" s="111">
        <v>9226</v>
      </c>
      <c r="I169" s="111">
        <v>2073</v>
      </c>
      <c r="J169" s="111">
        <v>2097</v>
      </c>
      <c r="K169" s="111">
        <v>4170</v>
      </c>
      <c r="L169" s="111">
        <v>12412</v>
      </c>
      <c r="M169" s="111">
        <v>14170</v>
      </c>
      <c r="N169" s="111">
        <v>26582</v>
      </c>
    </row>
    <row r="170" spans="1:14" x14ac:dyDescent="0.3">
      <c r="A170" s="357">
        <v>166</v>
      </c>
      <c r="B170" s="110" t="s">
        <v>294</v>
      </c>
      <c r="C170" s="111">
        <v>5511</v>
      </c>
      <c r="D170" s="111">
        <v>12860</v>
      </c>
      <c r="E170" s="111">
        <v>18371</v>
      </c>
      <c r="F170" s="111">
        <v>421</v>
      </c>
      <c r="G170" s="111">
        <v>929</v>
      </c>
      <c r="H170" s="111">
        <v>1350</v>
      </c>
      <c r="I170" s="111">
        <v>139</v>
      </c>
      <c r="J170" s="111">
        <v>302</v>
      </c>
      <c r="K170" s="111">
        <v>441</v>
      </c>
      <c r="L170" s="111">
        <v>1677</v>
      </c>
      <c r="M170" s="111">
        <v>3819</v>
      </c>
      <c r="N170" s="111">
        <v>5496</v>
      </c>
    </row>
    <row r="171" spans="1:14" x14ac:dyDescent="0.3">
      <c r="A171" s="357">
        <v>167</v>
      </c>
      <c r="B171" s="110" t="s">
        <v>295</v>
      </c>
      <c r="C171" s="111">
        <v>61</v>
      </c>
      <c r="D171" s="111">
        <v>184</v>
      </c>
      <c r="E171" s="111">
        <v>245</v>
      </c>
      <c r="F171" s="111">
        <v>5</v>
      </c>
      <c r="G171" s="111">
        <v>15</v>
      </c>
      <c r="H171" s="111">
        <v>20</v>
      </c>
      <c r="I171" s="111">
        <v>1</v>
      </c>
      <c r="J171" s="111">
        <v>4</v>
      </c>
      <c r="K171" s="111">
        <v>5</v>
      </c>
      <c r="L171" s="111">
        <v>9</v>
      </c>
      <c r="M171" s="111">
        <v>45</v>
      </c>
      <c r="N171" s="111">
        <v>54</v>
      </c>
    </row>
    <row r="172" spans="1:14" x14ac:dyDescent="0.3">
      <c r="A172" s="357">
        <v>168</v>
      </c>
      <c r="B172" s="110" t="s">
        <v>296</v>
      </c>
      <c r="C172" s="111">
        <v>1864</v>
      </c>
      <c r="D172" s="111">
        <v>2737</v>
      </c>
      <c r="E172" s="111">
        <v>4601</v>
      </c>
      <c r="F172" s="111">
        <v>256</v>
      </c>
      <c r="G172" s="111">
        <v>377</v>
      </c>
      <c r="H172" s="111">
        <v>633</v>
      </c>
      <c r="I172" s="111">
        <v>66</v>
      </c>
      <c r="J172" s="111">
        <v>100</v>
      </c>
      <c r="K172" s="111">
        <v>166</v>
      </c>
      <c r="L172" s="111">
        <v>411</v>
      </c>
      <c r="M172" s="111">
        <v>451</v>
      </c>
      <c r="N172" s="111">
        <v>862</v>
      </c>
    </row>
    <row r="173" spans="1:14" x14ac:dyDescent="0.3">
      <c r="A173" s="357">
        <v>169</v>
      </c>
      <c r="B173" s="110" t="s">
        <v>297</v>
      </c>
      <c r="C173" s="111">
        <v>32</v>
      </c>
      <c r="D173" s="111">
        <v>61</v>
      </c>
      <c r="E173" s="111">
        <v>93</v>
      </c>
      <c r="F173" s="111">
        <v>2</v>
      </c>
      <c r="G173" s="111">
        <v>1</v>
      </c>
      <c r="H173" s="111">
        <v>3</v>
      </c>
      <c r="I173" s="111"/>
      <c r="J173" s="111"/>
      <c r="K173" s="111"/>
      <c r="L173" s="111"/>
      <c r="M173" s="111">
        <v>2</v>
      </c>
      <c r="N173" s="111">
        <v>2</v>
      </c>
    </row>
    <row r="174" spans="1:14" x14ac:dyDescent="0.3">
      <c r="A174" s="357">
        <v>170</v>
      </c>
      <c r="B174" s="110" t="s">
        <v>298</v>
      </c>
      <c r="C174" s="111">
        <v>14925</v>
      </c>
      <c r="D174" s="111">
        <v>8630</v>
      </c>
      <c r="E174" s="111">
        <v>23555</v>
      </c>
      <c r="F174" s="111">
        <v>2432</v>
      </c>
      <c r="G174" s="111">
        <v>1788</v>
      </c>
      <c r="H174" s="111">
        <v>4220</v>
      </c>
      <c r="I174" s="111">
        <v>796</v>
      </c>
      <c r="J174" s="111">
        <v>331</v>
      </c>
      <c r="K174" s="111">
        <v>1127</v>
      </c>
      <c r="L174" s="111">
        <v>5976</v>
      </c>
      <c r="M174" s="111">
        <v>3886</v>
      </c>
      <c r="N174" s="111">
        <v>9862</v>
      </c>
    </row>
    <row r="175" spans="1:14" x14ac:dyDescent="0.3">
      <c r="A175" s="357">
        <v>171</v>
      </c>
      <c r="B175" s="110" t="s">
        <v>299</v>
      </c>
      <c r="C175" s="111">
        <v>18930</v>
      </c>
      <c r="D175" s="111">
        <v>40849</v>
      </c>
      <c r="E175" s="111">
        <v>59779</v>
      </c>
      <c r="F175" s="111">
        <v>5076</v>
      </c>
      <c r="G175" s="111">
        <v>8982</v>
      </c>
      <c r="H175" s="111">
        <v>14058</v>
      </c>
      <c r="I175" s="111">
        <v>1800</v>
      </c>
      <c r="J175" s="111">
        <v>3358</v>
      </c>
      <c r="K175" s="111">
        <v>5158</v>
      </c>
      <c r="L175" s="111">
        <v>5644</v>
      </c>
      <c r="M175" s="111">
        <v>11833</v>
      </c>
      <c r="N175" s="111">
        <v>17477</v>
      </c>
    </row>
    <row r="176" spans="1:14" x14ac:dyDescent="0.3">
      <c r="A176" s="357">
        <v>172</v>
      </c>
      <c r="B176" s="110" t="s">
        <v>300</v>
      </c>
      <c r="C176" s="111">
        <v>2414</v>
      </c>
      <c r="D176" s="111">
        <v>3275</v>
      </c>
      <c r="E176" s="111">
        <v>5689</v>
      </c>
      <c r="F176" s="111">
        <v>473</v>
      </c>
      <c r="G176" s="111">
        <v>371</v>
      </c>
      <c r="H176" s="111">
        <v>844</v>
      </c>
      <c r="I176" s="111">
        <v>101</v>
      </c>
      <c r="J176" s="111">
        <v>59</v>
      </c>
      <c r="K176" s="111">
        <v>160</v>
      </c>
      <c r="L176" s="111">
        <v>724</v>
      </c>
      <c r="M176" s="111">
        <v>1005</v>
      </c>
      <c r="N176" s="111">
        <v>1729</v>
      </c>
    </row>
    <row r="177" spans="1:14" ht="28" x14ac:dyDescent="0.3">
      <c r="A177" s="357">
        <v>173</v>
      </c>
      <c r="B177" s="110" t="s">
        <v>301</v>
      </c>
      <c r="C177" s="111">
        <v>736</v>
      </c>
      <c r="D177" s="111">
        <v>516</v>
      </c>
      <c r="E177" s="111">
        <v>1252</v>
      </c>
      <c r="F177" s="111">
        <v>83</v>
      </c>
      <c r="G177" s="111">
        <v>105</v>
      </c>
      <c r="H177" s="111">
        <v>188</v>
      </c>
      <c r="I177" s="111">
        <v>61</v>
      </c>
      <c r="J177" s="111">
        <v>41</v>
      </c>
      <c r="K177" s="111">
        <v>102</v>
      </c>
      <c r="L177" s="111">
        <v>81</v>
      </c>
      <c r="M177" s="111">
        <v>44</v>
      </c>
      <c r="N177" s="111">
        <v>125</v>
      </c>
    </row>
    <row r="178" spans="1:14" ht="24.75" customHeight="1" x14ac:dyDescent="0.3">
      <c r="A178" s="357">
        <v>174</v>
      </c>
      <c r="B178" s="110" t="s">
        <v>302</v>
      </c>
      <c r="C178" s="111">
        <v>130</v>
      </c>
      <c r="D178" s="111">
        <v>698</v>
      </c>
      <c r="E178" s="111">
        <v>828</v>
      </c>
      <c r="F178" s="111">
        <v>7</v>
      </c>
      <c r="G178" s="111">
        <v>48</v>
      </c>
      <c r="H178" s="111">
        <v>55</v>
      </c>
      <c r="I178" s="111">
        <v>1</v>
      </c>
      <c r="J178" s="111">
        <v>18</v>
      </c>
      <c r="K178" s="111">
        <v>19</v>
      </c>
      <c r="L178" s="111">
        <v>36</v>
      </c>
      <c r="M178" s="111">
        <v>169</v>
      </c>
      <c r="N178" s="111">
        <v>205</v>
      </c>
    </row>
    <row r="179" spans="1:14" x14ac:dyDescent="0.3">
      <c r="A179" s="357">
        <v>175</v>
      </c>
      <c r="B179" s="110" t="s">
        <v>303</v>
      </c>
      <c r="C179" s="111">
        <v>909</v>
      </c>
      <c r="D179" s="111">
        <v>706</v>
      </c>
      <c r="E179" s="111">
        <v>1615</v>
      </c>
      <c r="F179" s="111">
        <v>123</v>
      </c>
      <c r="G179" s="111">
        <v>75</v>
      </c>
      <c r="H179" s="111">
        <v>198</v>
      </c>
      <c r="I179" s="111">
        <v>63</v>
      </c>
      <c r="J179" s="111">
        <v>65</v>
      </c>
      <c r="K179" s="111">
        <v>128</v>
      </c>
      <c r="L179" s="111">
        <v>364</v>
      </c>
      <c r="M179" s="111">
        <v>307</v>
      </c>
      <c r="N179" s="111">
        <v>671</v>
      </c>
    </row>
    <row r="180" spans="1:14" ht="28" x14ac:dyDescent="0.3">
      <c r="A180" s="357">
        <v>176</v>
      </c>
      <c r="B180" s="110" t="s">
        <v>304</v>
      </c>
      <c r="C180" s="111">
        <v>32</v>
      </c>
      <c r="D180" s="111">
        <v>166</v>
      </c>
      <c r="E180" s="111">
        <v>198</v>
      </c>
      <c r="F180" s="111">
        <v>6</v>
      </c>
      <c r="G180" s="111">
        <v>30</v>
      </c>
      <c r="H180" s="111">
        <v>36</v>
      </c>
      <c r="I180" s="111"/>
      <c r="J180" s="111">
        <v>6</v>
      </c>
      <c r="K180" s="111">
        <v>6</v>
      </c>
      <c r="L180" s="111">
        <v>2</v>
      </c>
      <c r="M180" s="111">
        <v>25</v>
      </c>
      <c r="N180" s="111">
        <v>27</v>
      </c>
    </row>
    <row r="181" spans="1:14" ht="28" x14ac:dyDescent="0.3">
      <c r="A181" s="357">
        <v>177</v>
      </c>
      <c r="B181" s="110" t="s">
        <v>305</v>
      </c>
      <c r="C181" s="111">
        <v>2840</v>
      </c>
      <c r="D181" s="111">
        <v>3069</v>
      </c>
      <c r="E181" s="111">
        <v>5909</v>
      </c>
      <c r="F181" s="111">
        <v>305</v>
      </c>
      <c r="G181" s="111">
        <v>242</v>
      </c>
      <c r="H181" s="111">
        <v>547</v>
      </c>
      <c r="I181" s="111">
        <v>83</v>
      </c>
      <c r="J181" s="111">
        <v>74</v>
      </c>
      <c r="K181" s="111">
        <v>157</v>
      </c>
      <c r="L181" s="111">
        <v>553</v>
      </c>
      <c r="M181" s="111">
        <v>799</v>
      </c>
      <c r="N181" s="111">
        <v>1352</v>
      </c>
    </row>
    <row r="182" spans="1:14" ht="28" x14ac:dyDescent="0.3">
      <c r="A182" s="357">
        <v>178</v>
      </c>
      <c r="B182" s="110" t="s">
        <v>306</v>
      </c>
      <c r="C182" s="111">
        <v>142</v>
      </c>
      <c r="D182" s="111">
        <v>289</v>
      </c>
      <c r="E182" s="111">
        <v>431</v>
      </c>
      <c r="F182" s="111">
        <v>7</v>
      </c>
      <c r="G182" s="111">
        <v>31</v>
      </c>
      <c r="H182" s="111">
        <v>38</v>
      </c>
      <c r="I182" s="111">
        <v>1</v>
      </c>
      <c r="J182" s="111">
        <v>5</v>
      </c>
      <c r="K182" s="111">
        <v>6</v>
      </c>
      <c r="L182" s="111">
        <v>34</v>
      </c>
      <c r="M182" s="111">
        <v>105</v>
      </c>
      <c r="N182" s="111">
        <v>139</v>
      </c>
    </row>
    <row r="183" spans="1:14" ht="28" x14ac:dyDescent="0.3">
      <c r="A183" s="357">
        <v>179</v>
      </c>
      <c r="B183" s="110" t="s">
        <v>307</v>
      </c>
      <c r="C183" s="111">
        <v>1343</v>
      </c>
      <c r="D183" s="111">
        <v>970</v>
      </c>
      <c r="E183" s="111">
        <v>2313</v>
      </c>
      <c r="F183" s="111">
        <v>141</v>
      </c>
      <c r="G183" s="111">
        <v>131</v>
      </c>
      <c r="H183" s="111">
        <v>272</v>
      </c>
      <c r="I183" s="111">
        <v>70</v>
      </c>
      <c r="J183" s="111">
        <v>175</v>
      </c>
      <c r="K183" s="111">
        <v>245</v>
      </c>
      <c r="L183" s="111">
        <v>835</v>
      </c>
      <c r="M183" s="111">
        <v>266</v>
      </c>
      <c r="N183" s="111">
        <v>1101</v>
      </c>
    </row>
    <row r="184" spans="1:14" ht="28" x14ac:dyDescent="0.3">
      <c r="A184" s="357">
        <v>180</v>
      </c>
      <c r="B184" s="110" t="s">
        <v>308</v>
      </c>
      <c r="C184" s="111">
        <v>531</v>
      </c>
      <c r="D184" s="111">
        <v>363</v>
      </c>
      <c r="E184" s="111">
        <v>894</v>
      </c>
      <c r="F184" s="111">
        <v>73</v>
      </c>
      <c r="G184" s="111">
        <v>39</v>
      </c>
      <c r="H184" s="111">
        <v>112</v>
      </c>
      <c r="I184" s="111">
        <v>8</v>
      </c>
      <c r="J184" s="111">
        <v>1</v>
      </c>
      <c r="K184" s="111">
        <v>9</v>
      </c>
      <c r="L184" s="111">
        <v>237</v>
      </c>
      <c r="M184" s="111">
        <v>205</v>
      </c>
      <c r="N184" s="111">
        <v>442</v>
      </c>
    </row>
    <row r="185" spans="1:14" ht="28" x14ac:dyDescent="0.3">
      <c r="A185" s="357">
        <v>181</v>
      </c>
      <c r="B185" s="110" t="s">
        <v>309</v>
      </c>
      <c r="C185" s="111">
        <v>2752</v>
      </c>
      <c r="D185" s="111">
        <v>2405</v>
      </c>
      <c r="E185" s="111">
        <v>5157</v>
      </c>
      <c r="F185" s="111">
        <v>452</v>
      </c>
      <c r="G185" s="111">
        <v>304</v>
      </c>
      <c r="H185" s="111">
        <v>756</v>
      </c>
      <c r="I185" s="111">
        <v>155</v>
      </c>
      <c r="J185" s="111">
        <v>129</v>
      </c>
      <c r="K185" s="111">
        <v>284</v>
      </c>
      <c r="L185" s="111">
        <v>765</v>
      </c>
      <c r="M185" s="111">
        <v>592</v>
      </c>
      <c r="N185" s="111">
        <v>1357</v>
      </c>
    </row>
    <row r="186" spans="1:14" x14ac:dyDescent="0.3">
      <c r="A186" s="357">
        <v>182</v>
      </c>
      <c r="B186" s="110" t="s">
        <v>310</v>
      </c>
      <c r="C186" s="111">
        <v>1072</v>
      </c>
      <c r="D186" s="111">
        <v>593</v>
      </c>
      <c r="E186" s="111">
        <v>1665</v>
      </c>
      <c r="F186" s="111">
        <v>220</v>
      </c>
      <c r="G186" s="111">
        <v>90</v>
      </c>
      <c r="H186" s="111">
        <v>310</v>
      </c>
      <c r="I186" s="111">
        <v>144</v>
      </c>
      <c r="J186" s="111">
        <v>49</v>
      </c>
      <c r="K186" s="111">
        <v>193</v>
      </c>
      <c r="L186" s="111">
        <v>262</v>
      </c>
      <c r="M186" s="111">
        <v>108</v>
      </c>
      <c r="N186" s="111">
        <v>370</v>
      </c>
    </row>
    <row r="187" spans="1:14" x14ac:dyDescent="0.3">
      <c r="A187" s="357">
        <v>183</v>
      </c>
      <c r="B187" s="110" t="s">
        <v>311</v>
      </c>
      <c r="C187" s="111">
        <v>1566</v>
      </c>
      <c r="D187" s="111">
        <v>1076</v>
      </c>
      <c r="E187" s="111">
        <v>2642</v>
      </c>
      <c r="F187" s="111">
        <v>78</v>
      </c>
      <c r="G187" s="111">
        <v>60</v>
      </c>
      <c r="H187" s="111">
        <v>138</v>
      </c>
      <c r="I187" s="111">
        <v>51</v>
      </c>
      <c r="J187" s="111">
        <v>49</v>
      </c>
      <c r="K187" s="111">
        <v>100</v>
      </c>
      <c r="L187" s="111">
        <v>182</v>
      </c>
      <c r="M187" s="111">
        <v>142</v>
      </c>
      <c r="N187" s="111">
        <v>324</v>
      </c>
    </row>
    <row r="188" spans="1:14" ht="28" x14ac:dyDescent="0.3">
      <c r="A188" s="357">
        <v>184</v>
      </c>
      <c r="B188" s="110" t="s">
        <v>312</v>
      </c>
      <c r="C188" s="111">
        <v>3506</v>
      </c>
      <c r="D188" s="111">
        <v>3791</v>
      </c>
      <c r="E188" s="111">
        <v>7297</v>
      </c>
      <c r="F188" s="111">
        <v>600</v>
      </c>
      <c r="G188" s="111">
        <v>513</v>
      </c>
      <c r="H188" s="111">
        <v>1113</v>
      </c>
      <c r="I188" s="111">
        <v>340</v>
      </c>
      <c r="J188" s="111">
        <v>300</v>
      </c>
      <c r="K188" s="111">
        <v>640</v>
      </c>
      <c r="L188" s="111">
        <v>1370</v>
      </c>
      <c r="M188" s="111">
        <v>1331</v>
      </c>
      <c r="N188" s="111">
        <v>2701</v>
      </c>
    </row>
    <row r="189" spans="1:14" ht="28" x14ac:dyDescent="0.3">
      <c r="A189" s="357">
        <v>185</v>
      </c>
      <c r="B189" s="110" t="s">
        <v>313</v>
      </c>
      <c r="C189" s="111">
        <v>3723</v>
      </c>
      <c r="D189" s="111">
        <v>3717</v>
      </c>
      <c r="E189" s="111">
        <v>7440</v>
      </c>
      <c r="F189" s="111">
        <v>895</v>
      </c>
      <c r="G189" s="111">
        <v>771</v>
      </c>
      <c r="H189" s="111">
        <v>1666</v>
      </c>
      <c r="I189" s="111">
        <v>439</v>
      </c>
      <c r="J189" s="111">
        <v>263</v>
      </c>
      <c r="K189" s="111">
        <v>702</v>
      </c>
      <c r="L189" s="111">
        <v>1146</v>
      </c>
      <c r="M189" s="111">
        <v>1197</v>
      </c>
      <c r="N189" s="111">
        <v>2343</v>
      </c>
    </row>
    <row r="190" spans="1:14" ht="28" x14ac:dyDescent="0.3">
      <c r="A190" s="357">
        <v>186</v>
      </c>
      <c r="B190" s="110" t="s">
        <v>314</v>
      </c>
      <c r="C190" s="111">
        <v>47</v>
      </c>
      <c r="D190" s="111">
        <v>155</v>
      </c>
      <c r="E190" s="111">
        <v>202</v>
      </c>
      <c r="F190" s="111">
        <v>8</v>
      </c>
      <c r="G190" s="111">
        <v>30</v>
      </c>
      <c r="H190" s="111">
        <v>38</v>
      </c>
      <c r="I190" s="111">
        <v>1</v>
      </c>
      <c r="J190" s="111">
        <v>10</v>
      </c>
      <c r="K190" s="111">
        <v>11</v>
      </c>
      <c r="L190" s="111">
        <v>24</v>
      </c>
      <c r="M190" s="111">
        <v>70</v>
      </c>
      <c r="N190" s="111">
        <v>94</v>
      </c>
    </row>
    <row r="191" spans="1:14" ht="28" x14ac:dyDescent="0.3">
      <c r="A191" s="357">
        <v>187</v>
      </c>
      <c r="B191" s="110" t="s">
        <v>315</v>
      </c>
      <c r="C191" s="111">
        <v>1442</v>
      </c>
      <c r="D191" s="111">
        <v>1680</v>
      </c>
      <c r="E191" s="111">
        <v>3122</v>
      </c>
      <c r="F191" s="111">
        <v>144</v>
      </c>
      <c r="G191" s="111">
        <v>120</v>
      </c>
      <c r="H191" s="111">
        <v>264</v>
      </c>
      <c r="I191" s="111">
        <v>60</v>
      </c>
      <c r="J191" s="111">
        <v>40</v>
      </c>
      <c r="K191" s="111">
        <v>100</v>
      </c>
      <c r="L191" s="111">
        <v>329</v>
      </c>
      <c r="M191" s="111">
        <v>329</v>
      </c>
      <c r="N191" s="111">
        <v>658</v>
      </c>
    </row>
    <row r="192" spans="1:14" ht="28" x14ac:dyDescent="0.3">
      <c r="A192" s="357">
        <v>188</v>
      </c>
      <c r="B192" s="110" t="s">
        <v>316</v>
      </c>
      <c r="C192" s="111">
        <v>2999</v>
      </c>
      <c r="D192" s="111">
        <v>2095</v>
      </c>
      <c r="E192" s="111">
        <v>5094</v>
      </c>
      <c r="F192" s="111">
        <v>255</v>
      </c>
      <c r="G192" s="111">
        <v>216</v>
      </c>
      <c r="H192" s="111">
        <v>471</v>
      </c>
      <c r="I192" s="111">
        <v>58</v>
      </c>
      <c r="J192" s="111">
        <v>24</v>
      </c>
      <c r="K192" s="111">
        <v>82</v>
      </c>
      <c r="L192" s="111">
        <v>430</v>
      </c>
      <c r="M192" s="111">
        <v>234</v>
      </c>
      <c r="N192" s="111">
        <v>664</v>
      </c>
    </row>
    <row r="193" spans="1:14" x14ac:dyDescent="0.3">
      <c r="A193" s="357">
        <v>189</v>
      </c>
      <c r="B193" s="110" t="s">
        <v>317</v>
      </c>
      <c r="C193" s="111">
        <v>4650</v>
      </c>
      <c r="D193" s="111">
        <v>2909</v>
      </c>
      <c r="E193" s="111">
        <v>7559</v>
      </c>
      <c r="F193" s="111">
        <v>619</v>
      </c>
      <c r="G193" s="111">
        <v>404</v>
      </c>
      <c r="H193" s="111">
        <v>1023</v>
      </c>
      <c r="I193" s="111">
        <v>286</v>
      </c>
      <c r="J193" s="111">
        <v>134</v>
      </c>
      <c r="K193" s="111">
        <v>420</v>
      </c>
      <c r="L193" s="111">
        <v>944</v>
      </c>
      <c r="M193" s="111">
        <v>575</v>
      </c>
      <c r="N193" s="111">
        <v>1519</v>
      </c>
    </row>
    <row r="194" spans="1:14" ht="28" x14ac:dyDescent="0.3">
      <c r="A194" s="357">
        <v>190</v>
      </c>
      <c r="B194" s="110" t="s">
        <v>318</v>
      </c>
      <c r="C194" s="111">
        <v>574</v>
      </c>
      <c r="D194" s="111">
        <v>302</v>
      </c>
      <c r="E194" s="111">
        <v>876</v>
      </c>
      <c r="F194" s="111">
        <v>71</v>
      </c>
      <c r="G194" s="111">
        <v>36</v>
      </c>
      <c r="H194" s="111">
        <v>107</v>
      </c>
      <c r="I194" s="111">
        <v>28</v>
      </c>
      <c r="J194" s="111">
        <v>20</v>
      </c>
      <c r="K194" s="111">
        <v>48</v>
      </c>
      <c r="L194" s="111">
        <v>246</v>
      </c>
      <c r="M194" s="111">
        <v>142</v>
      </c>
      <c r="N194" s="111">
        <v>388</v>
      </c>
    </row>
    <row r="195" spans="1:14" x14ac:dyDescent="0.3">
      <c r="A195" s="357">
        <v>191</v>
      </c>
      <c r="B195" s="110" t="s">
        <v>319</v>
      </c>
      <c r="C195" s="111">
        <v>859</v>
      </c>
      <c r="D195" s="111">
        <v>1137</v>
      </c>
      <c r="E195" s="111">
        <v>1996</v>
      </c>
      <c r="F195" s="111">
        <v>180</v>
      </c>
      <c r="G195" s="111">
        <v>181</v>
      </c>
      <c r="H195" s="111">
        <v>361</v>
      </c>
      <c r="I195" s="111">
        <v>52</v>
      </c>
      <c r="J195" s="111">
        <v>40</v>
      </c>
      <c r="K195" s="111">
        <v>92</v>
      </c>
      <c r="L195" s="111">
        <v>220</v>
      </c>
      <c r="M195" s="111">
        <v>312</v>
      </c>
      <c r="N195" s="111">
        <v>532</v>
      </c>
    </row>
    <row r="196" spans="1:14" ht="28" x14ac:dyDescent="0.3">
      <c r="A196" s="357">
        <v>192</v>
      </c>
      <c r="B196" s="110" t="s">
        <v>320</v>
      </c>
      <c r="C196" s="111">
        <v>160</v>
      </c>
      <c r="D196" s="111">
        <v>74</v>
      </c>
      <c r="E196" s="111">
        <v>234</v>
      </c>
      <c r="F196" s="111"/>
      <c r="G196" s="111"/>
      <c r="H196" s="111"/>
      <c r="I196" s="111">
        <v>1</v>
      </c>
      <c r="J196" s="111"/>
      <c r="K196" s="111">
        <v>1</v>
      </c>
      <c r="L196" s="111">
        <v>10</v>
      </c>
      <c r="M196" s="111">
        <v>14</v>
      </c>
      <c r="N196" s="111">
        <v>24</v>
      </c>
    </row>
    <row r="197" spans="1:14" ht="28" x14ac:dyDescent="0.3">
      <c r="A197" s="357">
        <v>193</v>
      </c>
      <c r="B197" s="110" t="s">
        <v>321</v>
      </c>
      <c r="C197" s="111">
        <v>255</v>
      </c>
      <c r="D197" s="111">
        <v>612</v>
      </c>
      <c r="E197" s="111">
        <v>867</v>
      </c>
      <c r="F197" s="111">
        <v>25</v>
      </c>
      <c r="G197" s="111">
        <v>54</v>
      </c>
      <c r="H197" s="111">
        <v>79</v>
      </c>
      <c r="I197" s="111">
        <v>3</v>
      </c>
      <c r="J197" s="111">
        <v>23</v>
      </c>
      <c r="K197" s="111">
        <v>26</v>
      </c>
      <c r="L197" s="111">
        <v>107</v>
      </c>
      <c r="M197" s="111">
        <v>201</v>
      </c>
      <c r="N197" s="111">
        <v>308</v>
      </c>
    </row>
    <row r="198" spans="1:14" x14ac:dyDescent="0.3">
      <c r="A198" s="357">
        <v>194</v>
      </c>
      <c r="B198" s="110" t="s">
        <v>322</v>
      </c>
      <c r="C198" s="111">
        <v>424</v>
      </c>
      <c r="D198" s="111">
        <v>754</v>
      </c>
      <c r="E198" s="111">
        <v>1178</v>
      </c>
      <c r="F198" s="111">
        <v>25</v>
      </c>
      <c r="G198" s="111">
        <v>34</v>
      </c>
      <c r="H198" s="111">
        <v>59</v>
      </c>
      <c r="I198" s="111">
        <v>22</v>
      </c>
      <c r="J198" s="111">
        <v>25</v>
      </c>
      <c r="K198" s="111">
        <v>47</v>
      </c>
      <c r="L198" s="111">
        <v>87</v>
      </c>
      <c r="M198" s="111">
        <v>186</v>
      </c>
      <c r="N198" s="111">
        <v>273</v>
      </c>
    </row>
    <row r="199" spans="1:14" x14ac:dyDescent="0.3">
      <c r="A199" s="357">
        <v>195</v>
      </c>
      <c r="B199" s="110" t="s">
        <v>323</v>
      </c>
      <c r="C199" s="111">
        <v>1591</v>
      </c>
      <c r="D199" s="111">
        <v>1455</v>
      </c>
      <c r="E199" s="111">
        <v>3046</v>
      </c>
      <c r="F199" s="111">
        <v>232</v>
      </c>
      <c r="G199" s="111">
        <v>149</v>
      </c>
      <c r="H199" s="111">
        <v>381</v>
      </c>
      <c r="I199" s="111">
        <v>82</v>
      </c>
      <c r="J199" s="111">
        <v>59</v>
      </c>
      <c r="K199" s="111">
        <v>141</v>
      </c>
      <c r="L199" s="111">
        <v>435</v>
      </c>
      <c r="M199" s="111">
        <v>360</v>
      </c>
      <c r="N199" s="111">
        <v>795</v>
      </c>
    </row>
    <row r="200" spans="1:14" ht="28" x14ac:dyDescent="0.3">
      <c r="A200" s="357">
        <v>196</v>
      </c>
      <c r="B200" s="110" t="s">
        <v>324</v>
      </c>
      <c r="C200" s="111">
        <v>1178</v>
      </c>
      <c r="D200" s="111">
        <v>560</v>
      </c>
      <c r="E200" s="111">
        <v>1738</v>
      </c>
      <c r="F200" s="111">
        <v>144</v>
      </c>
      <c r="G200" s="111">
        <v>74</v>
      </c>
      <c r="H200" s="111">
        <v>218</v>
      </c>
      <c r="I200" s="111">
        <v>103</v>
      </c>
      <c r="J200" s="111">
        <v>43</v>
      </c>
      <c r="K200" s="111">
        <v>146</v>
      </c>
      <c r="L200" s="111">
        <v>390</v>
      </c>
      <c r="M200" s="111">
        <v>177</v>
      </c>
      <c r="N200" s="111">
        <v>567</v>
      </c>
    </row>
    <row r="201" spans="1:14" ht="28" x14ac:dyDescent="0.3">
      <c r="A201" s="357">
        <v>197</v>
      </c>
      <c r="B201" s="110" t="s">
        <v>325</v>
      </c>
      <c r="C201" s="111">
        <v>240</v>
      </c>
      <c r="D201" s="111">
        <v>125</v>
      </c>
      <c r="E201" s="111">
        <v>365</v>
      </c>
      <c r="F201" s="111">
        <v>25</v>
      </c>
      <c r="G201" s="111">
        <v>15</v>
      </c>
      <c r="H201" s="111">
        <v>40</v>
      </c>
      <c r="I201" s="111">
        <v>21</v>
      </c>
      <c r="J201" s="111">
        <v>10</v>
      </c>
      <c r="K201" s="111">
        <v>31</v>
      </c>
      <c r="L201" s="111">
        <v>61</v>
      </c>
      <c r="M201" s="111">
        <v>40</v>
      </c>
      <c r="N201" s="111">
        <v>101</v>
      </c>
    </row>
    <row r="202" spans="1:14" ht="28" x14ac:dyDescent="0.3">
      <c r="A202" s="357">
        <v>198</v>
      </c>
      <c r="B202" s="110" t="s">
        <v>326</v>
      </c>
      <c r="C202" s="111">
        <v>8023</v>
      </c>
      <c r="D202" s="111">
        <v>3898</v>
      </c>
      <c r="E202" s="111">
        <v>11921</v>
      </c>
      <c r="F202" s="111">
        <v>1253</v>
      </c>
      <c r="G202" s="111">
        <v>667</v>
      </c>
      <c r="H202" s="111">
        <v>1920</v>
      </c>
      <c r="I202" s="111">
        <v>517</v>
      </c>
      <c r="J202" s="111">
        <v>247</v>
      </c>
      <c r="K202" s="111">
        <v>764</v>
      </c>
      <c r="L202" s="111">
        <v>2544</v>
      </c>
      <c r="M202" s="111">
        <v>1151</v>
      </c>
      <c r="N202" s="111">
        <v>3695</v>
      </c>
    </row>
    <row r="203" spans="1:14" x14ac:dyDescent="0.3">
      <c r="A203" s="357">
        <v>199</v>
      </c>
      <c r="B203" s="110" t="s">
        <v>327</v>
      </c>
      <c r="C203" s="111">
        <v>1385</v>
      </c>
      <c r="D203" s="111">
        <v>2106</v>
      </c>
      <c r="E203" s="111">
        <v>3491</v>
      </c>
      <c r="F203" s="111">
        <v>141</v>
      </c>
      <c r="G203" s="111">
        <v>200</v>
      </c>
      <c r="H203" s="111">
        <v>341</v>
      </c>
      <c r="I203" s="111">
        <v>74</v>
      </c>
      <c r="J203" s="111">
        <v>135</v>
      </c>
      <c r="K203" s="111">
        <v>209</v>
      </c>
      <c r="L203" s="111">
        <v>346</v>
      </c>
      <c r="M203" s="111">
        <v>584</v>
      </c>
      <c r="N203" s="111">
        <v>930</v>
      </c>
    </row>
    <row r="204" spans="1:14" ht="28" x14ac:dyDescent="0.3">
      <c r="A204" s="357">
        <v>200</v>
      </c>
      <c r="B204" s="110" t="s">
        <v>328</v>
      </c>
      <c r="C204" s="111">
        <v>17</v>
      </c>
      <c r="D204" s="111">
        <v>15</v>
      </c>
      <c r="E204" s="111">
        <v>32</v>
      </c>
      <c r="F204" s="111">
        <v>2</v>
      </c>
      <c r="G204" s="111">
        <v>1</v>
      </c>
      <c r="H204" s="111">
        <v>3</v>
      </c>
      <c r="I204" s="111">
        <v>1</v>
      </c>
      <c r="J204" s="111"/>
      <c r="K204" s="111">
        <v>1</v>
      </c>
      <c r="L204" s="111">
        <v>6</v>
      </c>
      <c r="M204" s="111">
        <v>1</v>
      </c>
      <c r="N204" s="111">
        <v>7</v>
      </c>
    </row>
    <row r="205" spans="1:14" ht="28" x14ac:dyDescent="0.3">
      <c r="A205" s="357">
        <v>201</v>
      </c>
      <c r="B205" s="110" t="s">
        <v>329</v>
      </c>
      <c r="C205" s="111">
        <v>31</v>
      </c>
      <c r="D205" s="111">
        <v>21</v>
      </c>
      <c r="E205" s="111">
        <v>52</v>
      </c>
      <c r="F205" s="111">
        <v>6</v>
      </c>
      <c r="G205" s="111">
        <v>1</v>
      </c>
      <c r="H205" s="111">
        <v>7</v>
      </c>
      <c r="I205" s="111">
        <v>1</v>
      </c>
      <c r="J205" s="111">
        <v>3</v>
      </c>
      <c r="K205" s="111">
        <v>4</v>
      </c>
      <c r="L205" s="111">
        <v>8</v>
      </c>
      <c r="M205" s="111">
        <v>5</v>
      </c>
      <c r="N205" s="111">
        <v>13</v>
      </c>
    </row>
    <row r="206" spans="1:14" x14ac:dyDescent="0.3">
      <c r="A206" s="357">
        <v>202</v>
      </c>
      <c r="B206" s="110" t="s">
        <v>330</v>
      </c>
      <c r="C206" s="111">
        <v>3620</v>
      </c>
      <c r="D206" s="111">
        <v>7775</v>
      </c>
      <c r="E206" s="111">
        <v>11395</v>
      </c>
      <c r="F206" s="111">
        <v>351</v>
      </c>
      <c r="G206" s="111">
        <v>623</v>
      </c>
      <c r="H206" s="111">
        <v>974</v>
      </c>
      <c r="I206" s="111">
        <v>126</v>
      </c>
      <c r="J206" s="111">
        <v>245</v>
      </c>
      <c r="K206" s="111">
        <v>371</v>
      </c>
      <c r="L206" s="111">
        <v>1201</v>
      </c>
      <c r="M206" s="111">
        <v>2104</v>
      </c>
      <c r="N206" s="111">
        <v>3305</v>
      </c>
    </row>
    <row r="207" spans="1:14" x14ac:dyDescent="0.3">
      <c r="A207" s="357">
        <v>203</v>
      </c>
      <c r="B207" s="110" t="s">
        <v>331</v>
      </c>
      <c r="C207" s="111">
        <v>24895</v>
      </c>
      <c r="D207" s="111">
        <v>25918</v>
      </c>
      <c r="E207" s="111">
        <v>50813</v>
      </c>
      <c r="F207" s="111">
        <v>2550</v>
      </c>
      <c r="G207" s="111">
        <v>3102</v>
      </c>
      <c r="H207" s="111">
        <v>5652</v>
      </c>
      <c r="I207" s="111">
        <v>895</v>
      </c>
      <c r="J207" s="111">
        <v>1023</v>
      </c>
      <c r="K207" s="111">
        <v>1918</v>
      </c>
      <c r="L207" s="111">
        <v>9660</v>
      </c>
      <c r="M207" s="111">
        <v>10449</v>
      </c>
      <c r="N207" s="111">
        <v>20109</v>
      </c>
    </row>
    <row r="208" spans="1:14" x14ac:dyDescent="0.3">
      <c r="A208" s="357">
        <v>204</v>
      </c>
      <c r="B208" s="110" t="s">
        <v>332</v>
      </c>
      <c r="C208" s="111">
        <v>668</v>
      </c>
      <c r="D208" s="111">
        <v>1418</v>
      </c>
      <c r="E208" s="111">
        <v>2086</v>
      </c>
      <c r="F208" s="111">
        <v>95</v>
      </c>
      <c r="G208" s="111">
        <v>125</v>
      </c>
      <c r="H208" s="111">
        <v>220</v>
      </c>
      <c r="I208" s="111">
        <v>33</v>
      </c>
      <c r="J208" s="111">
        <v>47</v>
      </c>
      <c r="K208" s="111">
        <v>80</v>
      </c>
      <c r="L208" s="111">
        <v>258</v>
      </c>
      <c r="M208" s="111">
        <v>534</v>
      </c>
      <c r="N208" s="111">
        <v>792</v>
      </c>
    </row>
    <row r="209" spans="1:14" x14ac:dyDescent="0.3">
      <c r="A209" s="357">
        <v>205</v>
      </c>
      <c r="B209" s="110" t="s">
        <v>333</v>
      </c>
      <c r="C209" s="111">
        <v>1032</v>
      </c>
      <c r="D209" s="111">
        <v>979</v>
      </c>
      <c r="E209" s="111">
        <v>2011</v>
      </c>
      <c r="F209" s="111">
        <v>103</v>
      </c>
      <c r="G209" s="111">
        <v>70</v>
      </c>
      <c r="H209" s="111">
        <v>173</v>
      </c>
      <c r="I209" s="111">
        <v>31</v>
      </c>
      <c r="J209" s="111">
        <v>37</v>
      </c>
      <c r="K209" s="111">
        <v>68</v>
      </c>
      <c r="L209" s="111">
        <v>300</v>
      </c>
      <c r="M209" s="111">
        <v>265</v>
      </c>
      <c r="N209" s="111">
        <v>565</v>
      </c>
    </row>
    <row r="210" spans="1:14" ht="28" x14ac:dyDescent="0.3">
      <c r="A210" s="357">
        <v>206</v>
      </c>
      <c r="B210" s="110" t="s">
        <v>334</v>
      </c>
      <c r="C210" s="111">
        <v>2</v>
      </c>
      <c r="D210" s="111"/>
      <c r="E210" s="111">
        <v>2</v>
      </c>
      <c r="F210" s="111"/>
      <c r="G210" s="111"/>
      <c r="H210" s="111"/>
      <c r="I210" s="111"/>
      <c r="J210" s="111"/>
      <c r="K210" s="111"/>
      <c r="L210" s="111"/>
      <c r="M210" s="111"/>
      <c r="N210" s="111"/>
    </row>
    <row r="211" spans="1:14" x14ac:dyDescent="0.3">
      <c r="A211" s="357">
        <v>207</v>
      </c>
      <c r="B211" s="110" t="s">
        <v>335</v>
      </c>
      <c r="C211" s="111">
        <v>7488</v>
      </c>
      <c r="D211" s="111">
        <v>9979</v>
      </c>
      <c r="E211" s="111">
        <v>17467</v>
      </c>
      <c r="F211" s="111">
        <v>1017</v>
      </c>
      <c r="G211" s="111">
        <v>1318</v>
      </c>
      <c r="H211" s="111">
        <v>2335</v>
      </c>
      <c r="I211" s="111">
        <v>550</v>
      </c>
      <c r="J211" s="111">
        <v>721</v>
      </c>
      <c r="K211" s="111">
        <v>1271</v>
      </c>
      <c r="L211" s="111">
        <v>2532</v>
      </c>
      <c r="M211" s="111">
        <v>3994</v>
      </c>
      <c r="N211" s="111">
        <v>6526</v>
      </c>
    </row>
    <row r="212" spans="1:14" x14ac:dyDescent="0.3">
      <c r="A212" s="357">
        <v>208</v>
      </c>
      <c r="B212" s="110" t="s">
        <v>336</v>
      </c>
      <c r="C212" s="111">
        <v>15315</v>
      </c>
      <c r="D212" s="111">
        <v>14749</v>
      </c>
      <c r="E212" s="111">
        <v>30064</v>
      </c>
      <c r="F212" s="111">
        <v>1427</v>
      </c>
      <c r="G212" s="111">
        <v>1410</v>
      </c>
      <c r="H212" s="111">
        <v>2837</v>
      </c>
      <c r="I212" s="111">
        <v>639</v>
      </c>
      <c r="J212" s="111">
        <v>624</v>
      </c>
      <c r="K212" s="111">
        <v>1263</v>
      </c>
      <c r="L212" s="111">
        <v>4533</v>
      </c>
      <c r="M212" s="111">
        <v>4487</v>
      </c>
      <c r="N212" s="111">
        <v>9020</v>
      </c>
    </row>
    <row r="213" spans="1:14" x14ac:dyDescent="0.3">
      <c r="A213" s="357">
        <v>209</v>
      </c>
      <c r="B213" s="110" t="s">
        <v>337</v>
      </c>
      <c r="C213" s="111">
        <v>47007</v>
      </c>
      <c r="D213" s="111">
        <v>55078</v>
      </c>
      <c r="E213" s="111">
        <v>102085</v>
      </c>
      <c r="F213" s="111">
        <v>9128</v>
      </c>
      <c r="G213" s="111">
        <v>10034</v>
      </c>
      <c r="H213" s="111">
        <v>19162</v>
      </c>
      <c r="I213" s="111">
        <v>8263</v>
      </c>
      <c r="J213" s="111">
        <v>8852</v>
      </c>
      <c r="K213" s="111">
        <v>17115</v>
      </c>
      <c r="L213" s="111">
        <v>16617</v>
      </c>
      <c r="M213" s="111">
        <v>18460</v>
      </c>
      <c r="N213" s="111">
        <v>35077</v>
      </c>
    </row>
    <row r="214" spans="1:14" x14ac:dyDescent="0.3">
      <c r="A214" s="357">
        <v>210</v>
      </c>
      <c r="B214" s="110" t="s">
        <v>338</v>
      </c>
      <c r="C214" s="111">
        <v>30</v>
      </c>
      <c r="D214" s="111">
        <v>67</v>
      </c>
      <c r="E214" s="111">
        <v>97</v>
      </c>
      <c r="F214" s="111">
        <v>8</v>
      </c>
      <c r="G214" s="111">
        <v>16</v>
      </c>
      <c r="H214" s="111">
        <v>24</v>
      </c>
      <c r="I214" s="111"/>
      <c r="J214" s="111">
        <v>4</v>
      </c>
      <c r="K214" s="111">
        <v>4</v>
      </c>
      <c r="L214" s="111">
        <v>8</v>
      </c>
      <c r="M214" s="111">
        <v>16</v>
      </c>
      <c r="N214" s="111">
        <v>24</v>
      </c>
    </row>
    <row r="215" spans="1:14" x14ac:dyDescent="0.3">
      <c r="A215" s="357">
        <v>211</v>
      </c>
      <c r="B215" s="110" t="s">
        <v>339</v>
      </c>
      <c r="C215" s="111">
        <v>56</v>
      </c>
      <c r="D215" s="111">
        <v>106</v>
      </c>
      <c r="E215" s="111">
        <v>162</v>
      </c>
      <c r="F215" s="111">
        <v>8</v>
      </c>
      <c r="G215" s="111">
        <v>13</v>
      </c>
      <c r="H215" s="111">
        <v>21</v>
      </c>
      <c r="I215" s="111">
        <v>2</v>
      </c>
      <c r="J215" s="111">
        <v>5</v>
      </c>
      <c r="K215" s="111">
        <v>7</v>
      </c>
      <c r="L215" s="111">
        <v>18</v>
      </c>
      <c r="M215" s="111">
        <v>38</v>
      </c>
      <c r="N215" s="111">
        <v>56</v>
      </c>
    </row>
    <row r="216" spans="1:14" ht="28" x14ac:dyDescent="0.3">
      <c r="A216" s="357">
        <v>212</v>
      </c>
      <c r="B216" s="110" t="s">
        <v>340</v>
      </c>
      <c r="C216" s="111">
        <v>32</v>
      </c>
      <c r="D216" s="111">
        <v>30</v>
      </c>
      <c r="E216" s="111">
        <v>62</v>
      </c>
      <c r="F216" s="111">
        <v>3</v>
      </c>
      <c r="G216" s="111">
        <v>5</v>
      </c>
      <c r="H216" s="111">
        <v>8</v>
      </c>
      <c r="I216" s="111">
        <v>1</v>
      </c>
      <c r="J216" s="111">
        <v>1</v>
      </c>
      <c r="K216" s="111">
        <v>2</v>
      </c>
      <c r="L216" s="111">
        <v>4</v>
      </c>
      <c r="M216" s="111">
        <v>8</v>
      </c>
      <c r="N216" s="111">
        <v>12</v>
      </c>
    </row>
    <row r="217" spans="1:14" ht="28" x14ac:dyDescent="0.3">
      <c r="A217" s="357">
        <v>213</v>
      </c>
      <c r="B217" s="110" t="s">
        <v>341</v>
      </c>
      <c r="C217" s="111">
        <v>246</v>
      </c>
      <c r="D217" s="111">
        <v>241</v>
      </c>
      <c r="E217" s="111">
        <v>487</v>
      </c>
      <c r="F217" s="111">
        <v>35</v>
      </c>
      <c r="G217" s="111">
        <v>27</v>
      </c>
      <c r="H217" s="111">
        <v>62</v>
      </c>
      <c r="I217" s="111">
        <v>13</v>
      </c>
      <c r="J217" s="111">
        <v>21</v>
      </c>
      <c r="K217" s="111">
        <v>34</v>
      </c>
      <c r="L217" s="111">
        <v>118</v>
      </c>
      <c r="M217" s="111">
        <v>104</v>
      </c>
      <c r="N217" s="111">
        <v>222</v>
      </c>
    </row>
    <row r="218" spans="1:14" ht="28" x14ac:dyDescent="0.3">
      <c r="A218" s="357">
        <v>214</v>
      </c>
      <c r="B218" s="110" t="s">
        <v>342</v>
      </c>
      <c r="C218" s="111">
        <v>23</v>
      </c>
      <c r="D218" s="111">
        <v>79</v>
      </c>
      <c r="E218" s="111">
        <v>102</v>
      </c>
      <c r="F218" s="111">
        <v>2</v>
      </c>
      <c r="G218" s="111">
        <v>12</v>
      </c>
      <c r="H218" s="111">
        <v>14</v>
      </c>
      <c r="I218" s="111"/>
      <c r="J218" s="111">
        <v>7</v>
      </c>
      <c r="K218" s="111">
        <v>7</v>
      </c>
      <c r="L218" s="111">
        <v>4</v>
      </c>
      <c r="M218" s="111">
        <v>30</v>
      </c>
      <c r="N218" s="111">
        <v>34</v>
      </c>
    </row>
    <row r="219" spans="1:14" ht="28" x14ac:dyDescent="0.3">
      <c r="A219" s="357">
        <v>215</v>
      </c>
      <c r="B219" s="110" t="s">
        <v>343</v>
      </c>
      <c r="C219" s="111">
        <v>148</v>
      </c>
      <c r="D219" s="111">
        <v>397</v>
      </c>
      <c r="E219" s="111">
        <v>545</v>
      </c>
      <c r="F219" s="111">
        <v>3</v>
      </c>
      <c r="G219" s="111">
        <v>36</v>
      </c>
      <c r="H219" s="111">
        <v>39</v>
      </c>
      <c r="I219" s="111">
        <v>6</v>
      </c>
      <c r="J219" s="111">
        <v>6</v>
      </c>
      <c r="K219" s="111">
        <v>12</v>
      </c>
      <c r="L219" s="111">
        <v>39</v>
      </c>
      <c r="M219" s="111">
        <v>120</v>
      </c>
      <c r="N219" s="111">
        <v>159</v>
      </c>
    </row>
    <row r="220" spans="1:14" ht="28" x14ac:dyDescent="0.3">
      <c r="A220" s="357">
        <v>216</v>
      </c>
      <c r="B220" s="110" t="s">
        <v>344</v>
      </c>
      <c r="C220" s="111">
        <v>1705</v>
      </c>
      <c r="D220" s="111">
        <v>989</v>
      </c>
      <c r="E220" s="111">
        <v>2694</v>
      </c>
      <c r="F220" s="111">
        <v>63</v>
      </c>
      <c r="G220" s="111">
        <v>22</v>
      </c>
      <c r="H220" s="111">
        <v>85</v>
      </c>
      <c r="I220" s="111">
        <v>6</v>
      </c>
      <c r="J220" s="111">
        <v>1</v>
      </c>
      <c r="K220" s="111">
        <v>7</v>
      </c>
      <c r="L220" s="111">
        <v>1044</v>
      </c>
      <c r="M220" s="111">
        <v>565</v>
      </c>
      <c r="N220" s="111">
        <v>1609</v>
      </c>
    </row>
    <row r="221" spans="1:14" ht="28" x14ac:dyDescent="0.3">
      <c r="A221" s="357">
        <v>217</v>
      </c>
      <c r="B221" s="110" t="s">
        <v>345</v>
      </c>
      <c r="C221" s="111">
        <v>37</v>
      </c>
      <c r="D221" s="111">
        <v>78</v>
      </c>
      <c r="E221" s="111">
        <v>115</v>
      </c>
      <c r="F221" s="111">
        <v>8</v>
      </c>
      <c r="G221" s="111">
        <v>11</v>
      </c>
      <c r="H221" s="111">
        <v>19</v>
      </c>
      <c r="I221" s="111">
        <v>1</v>
      </c>
      <c r="J221" s="111">
        <v>6</v>
      </c>
      <c r="K221" s="111">
        <v>7</v>
      </c>
      <c r="L221" s="111">
        <v>12</v>
      </c>
      <c r="M221" s="111">
        <v>17</v>
      </c>
      <c r="N221" s="111">
        <v>29</v>
      </c>
    </row>
    <row r="222" spans="1:14" ht="28" x14ac:dyDescent="0.3">
      <c r="A222" s="357">
        <v>218</v>
      </c>
      <c r="B222" s="110" t="s">
        <v>346</v>
      </c>
      <c r="C222" s="111">
        <v>3742</v>
      </c>
      <c r="D222" s="111">
        <v>13565</v>
      </c>
      <c r="E222" s="111">
        <v>17307</v>
      </c>
      <c r="F222" s="111">
        <v>633</v>
      </c>
      <c r="G222" s="111">
        <v>2142</v>
      </c>
      <c r="H222" s="111">
        <v>2775</v>
      </c>
      <c r="I222" s="111">
        <v>316</v>
      </c>
      <c r="J222" s="111">
        <v>1404</v>
      </c>
      <c r="K222" s="111">
        <v>1720</v>
      </c>
      <c r="L222" s="111">
        <v>1140</v>
      </c>
      <c r="M222" s="111">
        <v>4088</v>
      </c>
      <c r="N222" s="111">
        <v>5228</v>
      </c>
    </row>
    <row r="223" spans="1:14" ht="28" x14ac:dyDescent="0.3">
      <c r="A223" s="357">
        <v>219</v>
      </c>
      <c r="B223" s="110" t="s">
        <v>347</v>
      </c>
      <c r="C223" s="111">
        <v>8</v>
      </c>
      <c r="D223" s="111">
        <v>105</v>
      </c>
      <c r="E223" s="111">
        <v>113</v>
      </c>
      <c r="F223" s="111"/>
      <c r="G223" s="111">
        <v>18</v>
      </c>
      <c r="H223" s="111">
        <v>18</v>
      </c>
      <c r="I223" s="111">
        <v>2</v>
      </c>
      <c r="J223" s="111">
        <v>9</v>
      </c>
      <c r="K223" s="111">
        <v>11</v>
      </c>
      <c r="L223" s="111">
        <v>1</v>
      </c>
      <c r="M223" s="111">
        <v>31</v>
      </c>
      <c r="N223" s="111">
        <v>32</v>
      </c>
    </row>
    <row r="224" spans="1:14" ht="28" x14ac:dyDescent="0.3">
      <c r="A224" s="357">
        <v>220</v>
      </c>
      <c r="B224" s="110" t="s">
        <v>348</v>
      </c>
      <c r="C224" s="111">
        <v>1343</v>
      </c>
      <c r="D224" s="111">
        <v>997</v>
      </c>
      <c r="E224" s="111">
        <v>2340</v>
      </c>
      <c r="F224" s="111">
        <v>168</v>
      </c>
      <c r="G224" s="111">
        <v>148</v>
      </c>
      <c r="H224" s="111">
        <v>316</v>
      </c>
      <c r="I224" s="111">
        <v>38</v>
      </c>
      <c r="J224" s="111">
        <v>22</v>
      </c>
      <c r="K224" s="111">
        <v>60</v>
      </c>
      <c r="L224" s="111">
        <v>434</v>
      </c>
      <c r="M224" s="111">
        <v>328</v>
      </c>
      <c r="N224" s="111">
        <v>762</v>
      </c>
    </row>
    <row r="225" spans="1:14" ht="48" customHeight="1" x14ac:dyDescent="0.3">
      <c r="A225" s="357">
        <v>221</v>
      </c>
      <c r="B225" s="110" t="s">
        <v>349</v>
      </c>
      <c r="C225" s="111">
        <v>249</v>
      </c>
      <c r="D225" s="111">
        <v>89</v>
      </c>
      <c r="E225" s="111">
        <v>338</v>
      </c>
      <c r="F225" s="111">
        <v>22</v>
      </c>
      <c r="G225" s="111">
        <v>7</v>
      </c>
      <c r="H225" s="111">
        <v>29</v>
      </c>
      <c r="I225" s="111">
        <v>10</v>
      </c>
      <c r="J225" s="111">
        <v>8</v>
      </c>
      <c r="K225" s="111">
        <v>18</v>
      </c>
      <c r="L225" s="111">
        <v>70</v>
      </c>
      <c r="M225" s="111">
        <v>25</v>
      </c>
      <c r="N225" s="111">
        <v>95</v>
      </c>
    </row>
    <row r="226" spans="1:14" ht="42" x14ac:dyDescent="0.3">
      <c r="A226" s="357">
        <v>222</v>
      </c>
      <c r="B226" s="110" t="s">
        <v>350</v>
      </c>
      <c r="C226" s="111">
        <v>72</v>
      </c>
      <c r="D226" s="111">
        <v>33</v>
      </c>
      <c r="E226" s="111">
        <v>105</v>
      </c>
      <c r="F226" s="111">
        <v>16</v>
      </c>
      <c r="G226" s="111">
        <v>8</v>
      </c>
      <c r="H226" s="111">
        <v>24</v>
      </c>
      <c r="I226" s="111">
        <v>6</v>
      </c>
      <c r="J226" s="111"/>
      <c r="K226" s="111">
        <v>6</v>
      </c>
      <c r="L226" s="111">
        <v>21</v>
      </c>
      <c r="M226" s="111">
        <v>7</v>
      </c>
      <c r="N226" s="111">
        <v>28</v>
      </c>
    </row>
    <row r="227" spans="1:14" ht="28" x14ac:dyDescent="0.3">
      <c r="A227" s="357">
        <v>223</v>
      </c>
      <c r="B227" s="110" t="s">
        <v>351</v>
      </c>
      <c r="C227" s="111">
        <v>391</v>
      </c>
      <c r="D227" s="111">
        <v>431</v>
      </c>
      <c r="E227" s="111">
        <v>822</v>
      </c>
      <c r="F227" s="111">
        <v>53</v>
      </c>
      <c r="G227" s="111">
        <v>52</v>
      </c>
      <c r="H227" s="111">
        <v>105</v>
      </c>
      <c r="I227" s="111">
        <v>9</v>
      </c>
      <c r="J227" s="111">
        <v>13</v>
      </c>
      <c r="K227" s="111">
        <v>22</v>
      </c>
      <c r="L227" s="111">
        <v>153</v>
      </c>
      <c r="M227" s="111">
        <v>191</v>
      </c>
      <c r="N227" s="111">
        <v>344</v>
      </c>
    </row>
    <row r="228" spans="1:14" ht="28" x14ac:dyDescent="0.3">
      <c r="A228" s="357">
        <v>224</v>
      </c>
      <c r="B228" s="110" t="s">
        <v>352</v>
      </c>
      <c r="C228" s="111">
        <v>80</v>
      </c>
      <c r="D228" s="111">
        <v>140</v>
      </c>
      <c r="E228" s="111">
        <v>220</v>
      </c>
      <c r="F228" s="111">
        <v>11</v>
      </c>
      <c r="G228" s="111">
        <v>11</v>
      </c>
      <c r="H228" s="111">
        <v>22</v>
      </c>
      <c r="I228" s="111">
        <v>2</v>
      </c>
      <c r="J228" s="111">
        <v>5</v>
      </c>
      <c r="K228" s="111">
        <v>7</v>
      </c>
      <c r="L228" s="111">
        <v>23</v>
      </c>
      <c r="M228" s="111">
        <v>41</v>
      </c>
      <c r="N228" s="111">
        <v>64</v>
      </c>
    </row>
    <row r="229" spans="1:14" ht="42" x14ac:dyDescent="0.3">
      <c r="A229" s="357">
        <v>225</v>
      </c>
      <c r="B229" s="110" t="s">
        <v>353</v>
      </c>
      <c r="C229" s="111">
        <v>239</v>
      </c>
      <c r="D229" s="111">
        <v>367</v>
      </c>
      <c r="E229" s="111">
        <v>606</v>
      </c>
      <c r="F229" s="111">
        <v>28</v>
      </c>
      <c r="G229" s="111">
        <v>39</v>
      </c>
      <c r="H229" s="111">
        <v>67</v>
      </c>
      <c r="I229" s="111">
        <v>9</v>
      </c>
      <c r="J229" s="111">
        <v>14</v>
      </c>
      <c r="K229" s="111">
        <v>23</v>
      </c>
      <c r="L229" s="111">
        <v>98</v>
      </c>
      <c r="M229" s="111">
        <v>120</v>
      </c>
      <c r="N229" s="111">
        <v>218</v>
      </c>
    </row>
    <row r="230" spans="1:14" ht="42" x14ac:dyDescent="0.3">
      <c r="A230" s="357">
        <v>226</v>
      </c>
      <c r="B230" s="110" t="s">
        <v>354</v>
      </c>
      <c r="C230" s="111">
        <v>454</v>
      </c>
      <c r="D230" s="111">
        <v>851</v>
      </c>
      <c r="E230" s="111">
        <v>1305</v>
      </c>
      <c r="F230" s="111">
        <v>67</v>
      </c>
      <c r="G230" s="111">
        <v>116</v>
      </c>
      <c r="H230" s="111">
        <v>183</v>
      </c>
      <c r="I230" s="111">
        <v>7</v>
      </c>
      <c r="J230" s="111">
        <v>13</v>
      </c>
      <c r="K230" s="111">
        <v>20</v>
      </c>
      <c r="L230" s="111">
        <v>143</v>
      </c>
      <c r="M230" s="111">
        <v>293</v>
      </c>
      <c r="N230" s="111">
        <v>436</v>
      </c>
    </row>
    <row r="231" spans="1:14" ht="42" x14ac:dyDescent="0.3">
      <c r="A231" s="357">
        <v>227</v>
      </c>
      <c r="B231" s="110" t="s">
        <v>355</v>
      </c>
      <c r="C231" s="111">
        <v>30</v>
      </c>
      <c r="D231" s="111">
        <v>55</v>
      </c>
      <c r="E231" s="111">
        <v>85</v>
      </c>
      <c r="F231" s="111">
        <v>4</v>
      </c>
      <c r="G231" s="111">
        <v>9</v>
      </c>
      <c r="H231" s="111">
        <v>13</v>
      </c>
      <c r="I231" s="111"/>
      <c r="J231" s="111">
        <v>1</v>
      </c>
      <c r="K231" s="111">
        <v>1</v>
      </c>
      <c r="L231" s="111">
        <v>8</v>
      </c>
      <c r="M231" s="111">
        <v>20</v>
      </c>
      <c r="N231" s="111">
        <v>28</v>
      </c>
    </row>
    <row r="232" spans="1:14" ht="28" x14ac:dyDescent="0.3">
      <c r="A232" s="357">
        <v>228</v>
      </c>
      <c r="B232" s="110" t="s">
        <v>356</v>
      </c>
      <c r="C232" s="111">
        <v>65</v>
      </c>
      <c r="D232" s="111">
        <v>167</v>
      </c>
      <c r="E232" s="111">
        <v>232</v>
      </c>
      <c r="F232" s="111">
        <v>4</v>
      </c>
      <c r="G232" s="111">
        <v>16</v>
      </c>
      <c r="H232" s="111">
        <v>20</v>
      </c>
      <c r="I232" s="111"/>
      <c r="J232" s="111">
        <v>3</v>
      </c>
      <c r="K232" s="111">
        <v>3</v>
      </c>
      <c r="L232" s="111">
        <v>14</v>
      </c>
      <c r="M232" s="111">
        <v>51</v>
      </c>
      <c r="N232" s="111">
        <v>65</v>
      </c>
    </row>
    <row r="233" spans="1:14" ht="28" x14ac:dyDescent="0.3">
      <c r="A233" s="357">
        <v>229</v>
      </c>
      <c r="B233" s="110" t="s">
        <v>357</v>
      </c>
      <c r="C233" s="111">
        <v>103</v>
      </c>
      <c r="D233" s="111">
        <v>157</v>
      </c>
      <c r="E233" s="111">
        <v>260</v>
      </c>
      <c r="F233" s="111">
        <v>9</v>
      </c>
      <c r="G233" s="111">
        <v>16</v>
      </c>
      <c r="H233" s="111">
        <v>25</v>
      </c>
      <c r="I233" s="111">
        <v>9</v>
      </c>
      <c r="J233" s="111">
        <v>13</v>
      </c>
      <c r="K233" s="111">
        <v>22</v>
      </c>
      <c r="L233" s="111">
        <v>27</v>
      </c>
      <c r="M233" s="111">
        <v>50</v>
      </c>
      <c r="N233" s="111">
        <v>77</v>
      </c>
    </row>
    <row r="234" spans="1:14" x14ac:dyDescent="0.3">
      <c r="A234" s="357">
        <v>230</v>
      </c>
      <c r="B234" s="110" t="s">
        <v>358</v>
      </c>
      <c r="C234" s="111">
        <v>392524</v>
      </c>
      <c r="D234" s="111">
        <v>600375</v>
      </c>
      <c r="E234" s="111">
        <v>992899</v>
      </c>
      <c r="F234" s="111">
        <v>56952</v>
      </c>
      <c r="G234" s="111">
        <v>75850</v>
      </c>
      <c r="H234" s="111">
        <v>132802</v>
      </c>
      <c r="I234" s="111">
        <v>25104</v>
      </c>
      <c r="J234" s="111">
        <v>32485</v>
      </c>
      <c r="K234" s="111">
        <v>57589</v>
      </c>
      <c r="L234" s="111">
        <v>165725</v>
      </c>
      <c r="M234" s="111">
        <v>267673</v>
      </c>
      <c r="N234" s="111">
        <v>433398</v>
      </c>
    </row>
    <row r="235" spans="1:14" x14ac:dyDescent="0.3">
      <c r="A235" s="357">
        <v>231</v>
      </c>
      <c r="B235" s="110" t="s">
        <v>359</v>
      </c>
      <c r="C235" s="111">
        <v>1158</v>
      </c>
      <c r="D235" s="111">
        <v>1208</v>
      </c>
      <c r="E235" s="111">
        <v>2366</v>
      </c>
      <c r="F235" s="111">
        <v>109</v>
      </c>
      <c r="G235" s="111">
        <v>149</v>
      </c>
      <c r="H235" s="111">
        <v>258</v>
      </c>
      <c r="I235" s="111">
        <v>44</v>
      </c>
      <c r="J235" s="111">
        <v>44</v>
      </c>
      <c r="K235" s="111">
        <v>88</v>
      </c>
      <c r="L235" s="111">
        <v>441</v>
      </c>
      <c r="M235" s="111">
        <v>528</v>
      </c>
      <c r="N235" s="111">
        <v>969</v>
      </c>
    </row>
    <row r="236" spans="1:14" ht="28" x14ac:dyDescent="0.3">
      <c r="A236" s="357">
        <v>232</v>
      </c>
      <c r="B236" s="110" t="s">
        <v>360</v>
      </c>
      <c r="C236" s="111">
        <v>1</v>
      </c>
      <c r="D236" s="111"/>
      <c r="E236" s="111">
        <v>1</v>
      </c>
      <c r="F236" s="111"/>
      <c r="G236" s="111"/>
      <c r="H236" s="111"/>
      <c r="I236" s="111"/>
      <c r="J236" s="111"/>
      <c r="K236" s="111"/>
      <c r="L236" s="111">
        <v>1</v>
      </c>
      <c r="M236" s="111"/>
      <c r="N236" s="111">
        <v>1</v>
      </c>
    </row>
    <row r="237" spans="1:14" x14ac:dyDescent="0.3">
      <c r="A237" s="357">
        <v>233</v>
      </c>
      <c r="B237" s="110" t="s">
        <v>361</v>
      </c>
      <c r="C237" s="111">
        <v>78105</v>
      </c>
      <c r="D237" s="111">
        <v>33576</v>
      </c>
      <c r="E237" s="111">
        <v>111681</v>
      </c>
      <c r="F237" s="111">
        <v>9931</v>
      </c>
      <c r="G237" s="111">
        <v>4531</v>
      </c>
      <c r="H237" s="111">
        <v>14462</v>
      </c>
      <c r="I237" s="111">
        <v>3311</v>
      </c>
      <c r="J237" s="111">
        <v>1517</v>
      </c>
      <c r="K237" s="111">
        <v>4828</v>
      </c>
      <c r="L237" s="111">
        <v>23254</v>
      </c>
      <c r="M237" s="111">
        <v>10977</v>
      </c>
      <c r="N237" s="111">
        <v>34231</v>
      </c>
    </row>
    <row r="238" spans="1:14" ht="28" x14ac:dyDescent="0.3">
      <c r="A238" s="357">
        <v>234</v>
      </c>
      <c r="B238" s="110" t="s">
        <v>362</v>
      </c>
      <c r="C238" s="111">
        <v>188</v>
      </c>
      <c r="D238" s="111">
        <v>71</v>
      </c>
      <c r="E238" s="111">
        <v>259</v>
      </c>
      <c r="F238" s="111">
        <v>20</v>
      </c>
      <c r="G238" s="111">
        <v>9</v>
      </c>
      <c r="H238" s="111">
        <v>29</v>
      </c>
      <c r="I238" s="111">
        <v>1</v>
      </c>
      <c r="J238" s="111"/>
      <c r="K238" s="111">
        <v>1</v>
      </c>
      <c r="L238" s="111">
        <v>43</v>
      </c>
      <c r="M238" s="111">
        <v>17</v>
      </c>
      <c r="N238" s="111">
        <v>60</v>
      </c>
    </row>
    <row r="239" spans="1:14" x14ac:dyDescent="0.3">
      <c r="A239" s="357">
        <v>235</v>
      </c>
      <c r="B239" s="110" t="s">
        <v>363</v>
      </c>
      <c r="C239" s="111">
        <v>73</v>
      </c>
      <c r="D239" s="111">
        <v>46</v>
      </c>
      <c r="E239" s="111">
        <v>119</v>
      </c>
      <c r="F239" s="111">
        <v>10</v>
      </c>
      <c r="G239" s="111">
        <v>2</v>
      </c>
      <c r="H239" s="111">
        <v>12</v>
      </c>
      <c r="I239" s="111">
        <v>1</v>
      </c>
      <c r="J239" s="111"/>
      <c r="K239" s="111">
        <v>1</v>
      </c>
      <c r="L239" s="111">
        <v>16</v>
      </c>
      <c r="M239" s="111">
        <v>7</v>
      </c>
      <c r="N239" s="111">
        <v>23</v>
      </c>
    </row>
    <row r="240" spans="1:14" x14ac:dyDescent="0.3">
      <c r="A240" s="357">
        <v>236</v>
      </c>
      <c r="B240" s="110" t="s">
        <v>364</v>
      </c>
      <c r="C240" s="111">
        <v>309</v>
      </c>
      <c r="D240" s="111">
        <v>285</v>
      </c>
      <c r="E240" s="111">
        <v>594</v>
      </c>
      <c r="F240" s="111">
        <v>54</v>
      </c>
      <c r="G240" s="111">
        <v>25</v>
      </c>
      <c r="H240" s="111">
        <v>79</v>
      </c>
      <c r="I240" s="111">
        <v>19</v>
      </c>
      <c r="J240" s="111">
        <v>6</v>
      </c>
      <c r="K240" s="111">
        <v>25</v>
      </c>
      <c r="L240" s="111">
        <v>95</v>
      </c>
      <c r="M240" s="111">
        <v>84</v>
      </c>
      <c r="N240" s="111">
        <v>179</v>
      </c>
    </row>
    <row r="241" spans="1:14" ht="28" x14ac:dyDescent="0.35">
      <c r="A241" s="357">
        <v>237</v>
      </c>
      <c r="B241" s="112" t="s">
        <v>365</v>
      </c>
      <c r="C241" s="111">
        <v>2649</v>
      </c>
      <c r="D241" s="111">
        <v>2136</v>
      </c>
      <c r="E241" s="111">
        <v>4785</v>
      </c>
      <c r="F241" s="111">
        <v>299</v>
      </c>
      <c r="G241" s="111">
        <v>203</v>
      </c>
      <c r="H241" s="111">
        <v>502</v>
      </c>
      <c r="I241" s="111">
        <v>187</v>
      </c>
      <c r="J241" s="111">
        <v>255</v>
      </c>
      <c r="K241" s="111">
        <v>442</v>
      </c>
      <c r="L241" s="111">
        <v>826</v>
      </c>
      <c r="M241" s="111">
        <v>722</v>
      </c>
      <c r="N241" s="111">
        <v>1548</v>
      </c>
    </row>
    <row r="242" spans="1:14" x14ac:dyDescent="0.35">
      <c r="A242" s="357">
        <v>238</v>
      </c>
      <c r="B242" s="112" t="s">
        <v>366</v>
      </c>
      <c r="C242" s="111">
        <v>927</v>
      </c>
      <c r="D242" s="111">
        <v>1088</v>
      </c>
      <c r="E242" s="111">
        <v>2015</v>
      </c>
      <c r="F242" s="111">
        <v>111</v>
      </c>
      <c r="G242" s="111">
        <v>89</v>
      </c>
      <c r="H242" s="111">
        <v>200</v>
      </c>
      <c r="I242" s="111">
        <v>70</v>
      </c>
      <c r="J242" s="111">
        <v>54</v>
      </c>
      <c r="K242" s="111">
        <v>124</v>
      </c>
      <c r="L242" s="111">
        <v>248</v>
      </c>
      <c r="M242" s="111">
        <v>332</v>
      </c>
      <c r="N242" s="111">
        <v>580</v>
      </c>
    </row>
    <row r="243" spans="1:14" ht="42" x14ac:dyDescent="0.35">
      <c r="A243" s="357">
        <v>239</v>
      </c>
      <c r="B243" s="112" t="s">
        <v>367</v>
      </c>
      <c r="C243" s="111">
        <v>1288</v>
      </c>
      <c r="D243" s="111">
        <v>870</v>
      </c>
      <c r="E243" s="111">
        <v>2158</v>
      </c>
      <c r="F243" s="111">
        <v>205</v>
      </c>
      <c r="G243" s="111">
        <v>75</v>
      </c>
      <c r="H243" s="111">
        <v>280</v>
      </c>
      <c r="I243" s="111">
        <v>47</v>
      </c>
      <c r="J243" s="111">
        <v>15</v>
      </c>
      <c r="K243" s="111">
        <v>62</v>
      </c>
      <c r="L243" s="111">
        <v>417</v>
      </c>
      <c r="M243" s="111">
        <v>142</v>
      </c>
      <c r="N243" s="111">
        <v>559</v>
      </c>
    </row>
    <row r="244" spans="1:14" x14ac:dyDescent="0.35">
      <c r="A244" s="357">
        <v>240</v>
      </c>
      <c r="B244" s="112" t="s">
        <v>368</v>
      </c>
      <c r="C244" s="111">
        <v>799</v>
      </c>
      <c r="D244" s="111">
        <v>814</v>
      </c>
      <c r="E244" s="111">
        <v>1613</v>
      </c>
      <c r="F244" s="111">
        <v>118</v>
      </c>
      <c r="G244" s="111">
        <v>96</v>
      </c>
      <c r="H244" s="111">
        <v>214</v>
      </c>
      <c r="I244" s="111">
        <v>51</v>
      </c>
      <c r="J244" s="111">
        <v>39</v>
      </c>
      <c r="K244" s="111">
        <v>90</v>
      </c>
      <c r="L244" s="111">
        <v>242</v>
      </c>
      <c r="M244" s="111">
        <v>286</v>
      </c>
      <c r="N244" s="111">
        <v>528</v>
      </c>
    </row>
    <row r="245" spans="1:14" x14ac:dyDescent="0.35">
      <c r="A245" s="357">
        <v>241</v>
      </c>
      <c r="B245" s="112" t="s">
        <v>369</v>
      </c>
      <c r="C245" s="111">
        <v>85</v>
      </c>
      <c r="D245" s="111">
        <v>73</v>
      </c>
      <c r="E245" s="111">
        <v>158</v>
      </c>
      <c r="F245" s="111">
        <v>13</v>
      </c>
      <c r="G245" s="111">
        <v>8</v>
      </c>
      <c r="H245" s="111">
        <v>21</v>
      </c>
      <c r="I245" s="111">
        <v>1</v>
      </c>
      <c r="J245" s="111">
        <v>2</v>
      </c>
      <c r="K245" s="111">
        <v>3</v>
      </c>
      <c r="L245" s="111">
        <v>15</v>
      </c>
      <c r="M245" s="111">
        <v>11</v>
      </c>
      <c r="N245" s="111">
        <v>26</v>
      </c>
    </row>
    <row r="246" spans="1:14" ht="28" x14ac:dyDescent="0.35">
      <c r="A246" s="357">
        <v>242</v>
      </c>
      <c r="B246" s="112" t="s">
        <v>370</v>
      </c>
      <c r="C246" s="111">
        <v>1680</v>
      </c>
      <c r="D246" s="111">
        <v>1131</v>
      </c>
      <c r="E246" s="111">
        <v>2811</v>
      </c>
      <c r="F246" s="111">
        <v>352</v>
      </c>
      <c r="G246" s="111">
        <v>226</v>
      </c>
      <c r="H246" s="111">
        <v>578</v>
      </c>
      <c r="I246" s="111">
        <v>183</v>
      </c>
      <c r="J246" s="111">
        <v>149</v>
      </c>
      <c r="K246" s="111">
        <v>332</v>
      </c>
      <c r="L246" s="111">
        <v>314</v>
      </c>
      <c r="M246" s="111">
        <v>238</v>
      </c>
      <c r="N246" s="111">
        <v>552</v>
      </c>
    </row>
    <row r="247" spans="1:14" ht="28" x14ac:dyDescent="0.35">
      <c r="A247" s="357">
        <v>243</v>
      </c>
      <c r="B247" s="112" t="s">
        <v>371</v>
      </c>
      <c r="C247" s="111">
        <v>511</v>
      </c>
      <c r="D247" s="111">
        <v>283</v>
      </c>
      <c r="E247" s="111">
        <v>794</v>
      </c>
      <c r="F247" s="111">
        <v>107</v>
      </c>
      <c r="G247" s="111">
        <v>30</v>
      </c>
      <c r="H247" s="111">
        <v>137</v>
      </c>
      <c r="I247" s="111">
        <v>24</v>
      </c>
      <c r="J247" s="111">
        <v>19</v>
      </c>
      <c r="K247" s="111">
        <v>43</v>
      </c>
      <c r="L247" s="111">
        <v>188</v>
      </c>
      <c r="M247" s="111">
        <v>97</v>
      </c>
      <c r="N247" s="111">
        <v>285</v>
      </c>
    </row>
    <row r="248" spans="1:14" ht="28" x14ac:dyDescent="0.35">
      <c r="A248" s="357">
        <v>244</v>
      </c>
      <c r="B248" s="112" t="s">
        <v>372</v>
      </c>
      <c r="C248" s="111">
        <v>28</v>
      </c>
      <c r="D248" s="111">
        <v>11</v>
      </c>
      <c r="E248" s="111">
        <v>39</v>
      </c>
      <c r="F248" s="111">
        <v>1</v>
      </c>
      <c r="G248" s="111"/>
      <c r="H248" s="111">
        <v>1</v>
      </c>
      <c r="I248" s="111">
        <v>1</v>
      </c>
      <c r="J248" s="111">
        <v>1</v>
      </c>
      <c r="K248" s="111">
        <v>2</v>
      </c>
      <c r="L248" s="111">
        <v>6</v>
      </c>
      <c r="M248" s="111">
        <v>4</v>
      </c>
      <c r="N248" s="111">
        <v>10</v>
      </c>
    </row>
    <row r="249" spans="1:14" ht="28" x14ac:dyDescent="0.35">
      <c r="A249" s="357">
        <v>245</v>
      </c>
      <c r="B249" s="112" t="s">
        <v>373</v>
      </c>
      <c r="C249" s="111">
        <v>357</v>
      </c>
      <c r="D249" s="111">
        <v>165</v>
      </c>
      <c r="E249" s="111">
        <v>522</v>
      </c>
      <c r="F249" s="111">
        <v>2</v>
      </c>
      <c r="G249" s="111"/>
      <c r="H249" s="111">
        <v>2</v>
      </c>
      <c r="I249" s="111"/>
      <c r="J249" s="111"/>
      <c r="K249" s="111"/>
      <c r="L249" s="111">
        <v>10</v>
      </c>
      <c r="M249" s="111">
        <v>11</v>
      </c>
      <c r="N249" s="111">
        <v>21</v>
      </c>
    </row>
    <row r="250" spans="1:14" ht="28" x14ac:dyDescent="0.35">
      <c r="A250" s="357">
        <v>246</v>
      </c>
      <c r="B250" s="112" t="s">
        <v>374</v>
      </c>
      <c r="C250" s="111">
        <v>12404</v>
      </c>
      <c r="D250" s="111">
        <v>7890</v>
      </c>
      <c r="E250" s="111">
        <v>20294</v>
      </c>
      <c r="F250" s="111">
        <v>784</v>
      </c>
      <c r="G250" s="111">
        <v>524</v>
      </c>
      <c r="H250" s="111">
        <v>1308</v>
      </c>
      <c r="I250" s="111">
        <v>449</v>
      </c>
      <c r="J250" s="111">
        <v>421</v>
      </c>
      <c r="K250" s="111">
        <v>870</v>
      </c>
      <c r="L250" s="111">
        <v>2166</v>
      </c>
      <c r="M250" s="111">
        <v>1249</v>
      </c>
      <c r="N250" s="111">
        <v>3415</v>
      </c>
    </row>
    <row r="251" spans="1:14" ht="28" x14ac:dyDescent="0.35">
      <c r="A251" s="357">
        <v>247</v>
      </c>
      <c r="B251" s="112" t="s">
        <v>375</v>
      </c>
      <c r="C251" s="111">
        <v>2705</v>
      </c>
      <c r="D251" s="111">
        <v>1786</v>
      </c>
      <c r="E251" s="111">
        <v>4491</v>
      </c>
      <c r="F251" s="111">
        <v>497</v>
      </c>
      <c r="G251" s="111">
        <v>366</v>
      </c>
      <c r="H251" s="111">
        <v>863</v>
      </c>
      <c r="I251" s="111">
        <v>279</v>
      </c>
      <c r="J251" s="111">
        <v>250</v>
      </c>
      <c r="K251" s="111">
        <v>529</v>
      </c>
      <c r="L251" s="111">
        <v>691</v>
      </c>
      <c r="M251" s="111">
        <v>360</v>
      </c>
      <c r="N251" s="111">
        <v>1051</v>
      </c>
    </row>
    <row r="252" spans="1:14" x14ac:dyDescent="0.35">
      <c r="A252" s="357">
        <v>248</v>
      </c>
      <c r="B252" s="112" t="s">
        <v>376</v>
      </c>
      <c r="C252" s="111">
        <v>46</v>
      </c>
      <c r="D252" s="111">
        <v>40</v>
      </c>
      <c r="E252" s="111">
        <v>86</v>
      </c>
      <c r="F252" s="111">
        <v>4</v>
      </c>
      <c r="G252" s="111">
        <v>2</v>
      </c>
      <c r="H252" s="111">
        <v>6</v>
      </c>
      <c r="I252" s="111">
        <v>1</v>
      </c>
      <c r="J252" s="111">
        <v>1</v>
      </c>
      <c r="K252" s="111">
        <v>2</v>
      </c>
      <c r="L252" s="111">
        <v>12</v>
      </c>
      <c r="M252" s="111">
        <v>10</v>
      </c>
      <c r="N252" s="111">
        <v>22</v>
      </c>
    </row>
    <row r="253" spans="1:14" x14ac:dyDescent="0.35">
      <c r="A253" s="357">
        <v>249</v>
      </c>
      <c r="B253" s="112" t="s">
        <v>377</v>
      </c>
      <c r="C253" s="111">
        <v>167126</v>
      </c>
      <c r="D253" s="111">
        <v>167638</v>
      </c>
      <c r="E253" s="111">
        <v>334764</v>
      </c>
      <c r="F253" s="111">
        <v>18715</v>
      </c>
      <c r="G253" s="111">
        <v>14922</v>
      </c>
      <c r="H253" s="111">
        <v>33637</v>
      </c>
      <c r="I253" s="111">
        <v>7248</v>
      </c>
      <c r="J253" s="111">
        <v>6595</v>
      </c>
      <c r="K253" s="111">
        <v>13843</v>
      </c>
      <c r="L253" s="111">
        <v>47082</v>
      </c>
      <c r="M253" s="111">
        <v>47128</v>
      </c>
      <c r="N253" s="111">
        <v>94210</v>
      </c>
    </row>
    <row r="254" spans="1:14" x14ac:dyDescent="0.35">
      <c r="A254" s="357">
        <v>250</v>
      </c>
      <c r="B254" s="112" t="s">
        <v>378</v>
      </c>
      <c r="C254" s="111">
        <v>16791</v>
      </c>
      <c r="D254" s="111">
        <v>26742</v>
      </c>
      <c r="E254" s="111">
        <v>43533</v>
      </c>
      <c r="F254" s="111">
        <v>1734</v>
      </c>
      <c r="G254" s="111">
        <v>3166</v>
      </c>
      <c r="H254" s="111">
        <v>4900</v>
      </c>
      <c r="I254" s="111">
        <v>574</v>
      </c>
      <c r="J254" s="111">
        <v>795</v>
      </c>
      <c r="K254" s="111">
        <v>1369</v>
      </c>
      <c r="L254" s="111">
        <v>7439</v>
      </c>
      <c r="M254" s="111">
        <v>12647</v>
      </c>
      <c r="N254" s="111">
        <v>20086</v>
      </c>
    </row>
    <row r="255" spans="1:14" x14ac:dyDescent="0.35">
      <c r="A255" s="357">
        <v>251</v>
      </c>
      <c r="B255" s="112" t="s">
        <v>379</v>
      </c>
      <c r="C255" s="111">
        <v>19</v>
      </c>
      <c r="D255" s="111">
        <v>25</v>
      </c>
      <c r="E255" s="111">
        <v>44</v>
      </c>
      <c r="F255" s="111">
        <v>2</v>
      </c>
      <c r="G255" s="111">
        <v>6</v>
      </c>
      <c r="H255" s="111">
        <v>8</v>
      </c>
      <c r="I255" s="111">
        <v>1</v>
      </c>
      <c r="J255" s="111">
        <v>1</v>
      </c>
      <c r="K255" s="111">
        <v>2</v>
      </c>
      <c r="L255" s="111">
        <v>4</v>
      </c>
      <c r="M255" s="111">
        <v>3</v>
      </c>
      <c r="N255" s="111">
        <v>7</v>
      </c>
    </row>
    <row r="256" spans="1:14" ht="28" x14ac:dyDescent="0.35">
      <c r="A256" s="357">
        <v>252</v>
      </c>
      <c r="B256" s="112" t="s">
        <v>380</v>
      </c>
      <c r="C256" s="111">
        <v>2052</v>
      </c>
      <c r="D256" s="111">
        <v>6873</v>
      </c>
      <c r="E256" s="111">
        <v>8925</v>
      </c>
      <c r="F256" s="111">
        <v>433</v>
      </c>
      <c r="G256" s="111">
        <v>1408</v>
      </c>
      <c r="H256" s="111">
        <v>1841</v>
      </c>
      <c r="I256" s="111">
        <v>249</v>
      </c>
      <c r="J256" s="111">
        <v>1060</v>
      </c>
      <c r="K256" s="111">
        <v>1309</v>
      </c>
      <c r="L256" s="111">
        <v>651</v>
      </c>
      <c r="M256" s="111">
        <v>2280</v>
      </c>
      <c r="N256" s="111">
        <v>2931</v>
      </c>
    </row>
    <row r="257" spans="1:14" x14ac:dyDescent="0.35">
      <c r="A257" s="357">
        <v>253</v>
      </c>
      <c r="B257" s="112" t="s">
        <v>381</v>
      </c>
      <c r="C257" s="111">
        <v>102257</v>
      </c>
      <c r="D257" s="111">
        <v>91332</v>
      </c>
      <c r="E257" s="111">
        <v>193589</v>
      </c>
      <c r="F257" s="111">
        <v>13166</v>
      </c>
      <c r="G257" s="111">
        <v>12072</v>
      </c>
      <c r="H257" s="111">
        <v>25238</v>
      </c>
      <c r="I257" s="111">
        <v>6745</v>
      </c>
      <c r="J257" s="111">
        <v>7295</v>
      </c>
      <c r="K257" s="111">
        <v>14040</v>
      </c>
      <c r="L257" s="111">
        <v>29978</v>
      </c>
      <c r="M257" s="111">
        <v>28136</v>
      </c>
      <c r="N257" s="111">
        <v>58114</v>
      </c>
    </row>
    <row r="258" spans="1:14" ht="28" x14ac:dyDescent="0.35">
      <c r="A258" s="357">
        <v>254</v>
      </c>
      <c r="B258" s="112" t="s">
        <v>382</v>
      </c>
      <c r="C258" s="111">
        <v>70</v>
      </c>
      <c r="D258" s="111">
        <v>53</v>
      </c>
      <c r="E258" s="111">
        <v>123</v>
      </c>
      <c r="F258" s="111">
        <v>8</v>
      </c>
      <c r="G258" s="111">
        <v>6</v>
      </c>
      <c r="H258" s="111">
        <v>14</v>
      </c>
      <c r="I258" s="111">
        <v>38</v>
      </c>
      <c r="J258" s="111">
        <v>16</v>
      </c>
      <c r="K258" s="111">
        <v>54</v>
      </c>
      <c r="L258" s="111">
        <v>19</v>
      </c>
      <c r="M258" s="111">
        <v>25</v>
      </c>
      <c r="N258" s="111">
        <v>44</v>
      </c>
    </row>
    <row r="259" spans="1:14" x14ac:dyDescent="0.35">
      <c r="A259" s="357">
        <v>255</v>
      </c>
      <c r="B259" s="112" t="s">
        <v>383</v>
      </c>
      <c r="C259" s="111">
        <v>36368</v>
      </c>
      <c r="D259" s="111">
        <v>20431</v>
      </c>
      <c r="E259" s="111">
        <v>56799</v>
      </c>
      <c r="F259" s="111">
        <v>3373</v>
      </c>
      <c r="G259" s="111">
        <v>3956</v>
      </c>
      <c r="H259" s="111">
        <v>7329</v>
      </c>
      <c r="I259" s="111">
        <v>1346</v>
      </c>
      <c r="J259" s="111">
        <v>1674</v>
      </c>
      <c r="K259" s="111">
        <v>3020</v>
      </c>
      <c r="L259" s="111">
        <v>7873</v>
      </c>
      <c r="M259" s="111">
        <v>7415</v>
      </c>
      <c r="N259" s="111">
        <v>15288</v>
      </c>
    </row>
    <row r="260" spans="1:14" x14ac:dyDescent="0.35">
      <c r="A260" s="357">
        <v>256</v>
      </c>
      <c r="B260" s="112" t="s">
        <v>384</v>
      </c>
      <c r="C260" s="111">
        <v>140</v>
      </c>
      <c r="D260" s="111">
        <v>62</v>
      </c>
      <c r="E260" s="111">
        <v>202</v>
      </c>
      <c r="F260" s="111">
        <v>8</v>
      </c>
      <c r="G260" s="111">
        <v>6</v>
      </c>
      <c r="H260" s="111">
        <v>14</v>
      </c>
      <c r="I260" s="111">
        <v>2</v>
      </c>
      <c r="J260" s="111">
        <v>2</v>
      </c>
      <c r="K260" s="111">
        <v>4</v>
      </c>
      <c r="L260" s="111">
        <v>55</v>
      </c>
      <c r="M260" s="111">
        <v>24</v>
      </c>
      <c r="N260" s="111">
        <v>79</v>
      </c>
    </row>
    <row r="261" spans="1:14" x14ac:dyDescent="0.35">
      <c r="A261" s="357">
        <v>257</v>
      </c>
      <c r="B261" s="112" t="s">
        <v>385</v>
      </c>
      <c r="C261" s="111">
        <v>3876</v>
      </c>
      <c r="D261" s="111">
        <v>4527</v>
      </c>
      <c r="E261" s="111">
        <v>8403</v>
      </c>
      <c r="F261" s="111">
        <v>451</v>
      </c>
      <c r="G261" s="111">
        <v>780</v>
      </c>
      <c r="H261" s="111">
        <v>1231</v>
      </c>
      <c r="I261" s="111">
        <v>351</v>
      </c>
      <c r="J261" s="111">
        <v>671</v>
      </c>
      <c r="K261" s="111">
        <v>1022</v>
      </c>
      <c r="L261" s="111">
        <v>1080</v>
      </c>
      <c r="M261" s="111">
        <v>1865</v>
      </c>
      <c r="N261" s="111">
        <v>2945</v>
      </c>
    </row>
    <row r="262" spans="1:14" x14ac:dyDescent="0.35">
      <c r="A262" s="357">
        <v>258</v>
      </c>
      <c r="B262" s="112" t="s">
        <v>386</v>
      </c>
      <c r="C262" s="111">
        <v>1027</v>
      </c>
      <c r="D262" s="111">
        <v>2080</v>
      </c>
      <c r="E262" s="111">
        <v>3107</v>
      </c>
      <c r="F262" s="111">
        <v>76</v>
      </c>
      <c r="G262" s="111">
        <v>178</v>
      </c>
      <c r="H262" s="111">
        <v>254</v>
      </c>
      <c r="I262" s="111">
        <v>26</v>
      </c>
      <c r="J262" s="111">
        <v>47</v>
      </c>
      <c r="K262" s="111">
        <v>73</v>
      </c>
      <c r="L262" s="111">
        <v>392</v>
      </c>
      <c r="M262" s="111">
        <v>732</v>
      </c>
      <c r="N262" s="111">
        <v>1124</v>
      </c>
    </row>
    <row r="263" spans="1:14" x14ac:dyDescent="0.35">
      <c r="A263" s="357">
        <v>259</v>
      </c>
      <c r="B263" s="112" t="s">
        <v>387</v>
      </c>
      <c r="C263" s="111">
        <v>86</v>
      </c>
      <c r="D263" s="111">
        <v>13</v>
      </c>
      <c r="E263" s="111">
        <v>99</v>
      </c>
      <c r="F263" s="111">
        <v>4</v>
      </c>
      <c r="G263" s="111">
        <v>3</v>
      </c>
      <c r="H263" s="111">
        <v>7</v>
      </c>
      <c r="I263" s="111">
        <v>1</v>
      </c>
      <c r="J263" s="111"/>
      <c r="K263" s="111">
        <v>1</v>
      </c>
      <c r="L263" s="111">
        <v>13</v>
      </c>
      <c r="M263" s="111">
        <v>3</v>
      </c>
      <c r="N263" s="111">
        <v>16</v>
      </c>
    </row>
    <row r="264" spans="1:14" x14ac:dyDescent="0.35">
      <c r="A264" s="357">
        <v>260</v>
      </c>
      <c r="B264" s="112" t="s">
        <v>388</v>
      </c>
      <c r="C264" s="111"/>
      <c r="D264" s="111">
        <v>1</v>
      </c>
      <c r="E264" s="111">
        <v>1</v>
      </c>
      <c r="F264" s="111"/>
      <c r="G264" s="111"/>
      <c r="H264" s="111"/>
      <c r="I264" s="111"/>
      <c r="J264" s="111">
        <v>1</v>
      </c>
      <c r="K264" s="111">
        <v>1</v>
      </c>
      <c r="L264" s="111"/>
      <c r="M264" s="111"/>
      <c r="N264" s="111"/>
    </row>
    <row r="265" spans="1:14" x14ac:dyDescent="0.35">
      <c r="A265" s="357">
        <v>261</v>
      </c>
      <c r="B265" s="112" t="s">
        <v>389</v>
      </c>
      <c r="C265" s="111">
        <v>952</v>
      </c>
      <c r="D265" s="111">
        <v>449</v>
      </c>
      <c r="E265" s="111">
        <v>1401</v>
      </c>
      <c r="F265" s="111">
        <v>98</v>
      </c>
      <c r="G265" s="111">
        <v>50</v>
      </c>
      <c r="H265" s="111">
        <v>148</v>
      </c>
      <c r="I265" s="111">
        <v>34</v>
      </c>
      <c r="J265" s="111">
        <v>13</v>
      </c>
      <c r="K265" s="111">
        <v>47</v>
      </c>
      <c r="L265" s="111">
        <v>133</v>
      </c>
      <c r="M265" s="111">
        <v>114</v>
      </c>
      <c r="N265" s="111">
        <v>247</v>
      </c>
    </row>
    <row r="266" spans="1:14" x14ac:dyDescent="0.35">
      <c r="A266" s="357">
        <v>262</v>
      </c>
      <c r="B266" s="112" t="s">
        <v>390</v>
      </c>
      <c r="C266" s="111">
        <v>55</v>
      </c>
      <c r="D266" s="111">
        <v>42</v>
      </c>
      <c r="E266" s="111">
        <v>97</v>
      </c>
      <c r="F266" s="111">
        <v>29</v>
      </c>
      <c r="G266" s="111">
        <v>31</v>
      </c>
      <c r="H266" s="111">
        <v>60</v>
      </c>
      <c r="I266" s="111"/>
      <c r="J266" s="111"/>
      <c r="K266" s="111"/>
      <c r="L266" s="111">
        <v>1</v>
      </c>
      <c r="M266" s="111"/>
      <c r="N266" s="111">
        <v>1</v>
      </c>
    </row>
    <row r="267" spans="1:14" x14ac:dyDescent="0.35">
      <c r="A267" s="357">
        <v>263</v>
      </c>
      <c r="B267" s="112" t="s">
        <v>391</v>
      </c>
      <c r="C267" s="111">
        <v>9</v>
      </c>
      <c r="D267" s="111">
        <v>7</v>
      </c>
      <c r="E267" s="111">
        <v>16</v>
      </c>
      <c r="F267" s="111">
        <v>1</v>
      </c>
      <c r="G267" s="111">
        <v>1</v>
      </c>
      <c r="H267" s="111">
        <v>2</v>
      </c>
      <c r="I267" s="111"/>
      <c r="J267" s="111">
        <v>1</v>
      </c>
      <c r="K267" s="111">
        <v>1</v>
      </c>
      <c r="L267" s="111">
        <v>5</v>
      </c>
      <c r="M267" s="111"/>
      <c r="N267" s="111">
        <v>5</v>
      </c>
    </row>
    <row r="268" spans="1:14" ht="30" customHeight="1" x14ac:dyDescent="0.35">
      <c r="A268" s="741" t="s">
        <v>46</v>
      </c>
      <c r="B268" s="741"/>
      <c r="C268" s="109">
        <v>22304054</v>
      </c>
      <c r="D268" s="109">
        <v>21966794</v>
      </c>
      <c r="E268" s="109">
        <v>44270848</v>
      </c>
      <c r="F268" s="109">
        <v>3410368</v>
      </c>
      <c r="G268" s="109">
        <v>3443669</v>
      </c>
      <c r="H268" s="109">
        <v>6854037</v>
      </c>
      <c r="I268" s="109">
        <v>1354711</v>
      </c>
      <c r="J268" s="109">
        <v>1484527</v>
      </c>
      <c r="K268" s="109">
        <v>2839238</v>
      </c>
      <c r="L268" s="109">
        <v>8872578</v>
      </c>
      <c r="M268" s="109">
        <v>8823921</v>
      </c>
      <c r="N268" s="109">
        <v>17696499</v>
      </c>
    </row>
    <row r="270" spans="1:14" ht="14.5" x14ac:dyDescent="0.35"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</row>
    <row r="271" spans="1:14" ht="14.5" x14ac:dyDescent="0.35"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</row>
    <row r="273" spans="3:3" x14ac:dyDescent="0.35">
      <c r="C273" s="115"/>
    </row>
  </sheetData>
  <mergeCells count="8">
    <mergeCell ref="A1:N1"/>
    <mergeCell ref="A268:B268"/>
    <mergeCell ref="A2:A3"/>
    <mergeCell ref="B2:B3"/>
    <mergeCell ref="C2:E2"/>
    <mergeCell ref="F2:H2"/>
    <mergeCell ref="I2:K2"/>
    <mergeCell ref="L2:N2"/>
  </mergeCells>
  <pageMargins left="0.51181102362204722" right="0.15748031496062992" top="0.39370078740157483" bottom="0.39370078740157483" header="0.31496062992125984" footer="0.19685039370078741"/>
  <pageSetup paperSize="9" scale="50" firstPageNumber="28" orientation="portrait" r:id="rId1"/>
  <headerFooter>
    <oddFooter>&amp;L&amp;"Arial,Italic"&amp;9AISHE 2023-24&amp;RT-11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85AB-7B9E-4D1A-84A1-F86822C64BF0}">
  <dimension ref="A1:N273"/>
  <sheetViews>
    <sheetView view="pageBreakPreview" zoomScaleNormal="100" zoomScaleSheetLayoutView="100" workbookViewId="0">
      <selection activeCell="B16" sqref="B16:M16"/>
    </sheetView>
  </sheetViews>
  <sheetFormatPr defaultColWidth="9.453125" defaultRowHeight="14" x14ac:dyDescent="0.35"/>
  <cols>
    <col min="1" max="1" width="7.54296875" style="130" bestFit="1" customWidth="1"/>
    <col min="2" max="2" width="31.1796875" style="108" customWidth="1"/>
    <col min="3" max="3" width="13.1796875" style="106" bestFit="1" customWidth="1"/>
    <col min="4" max="4" width="13.81640625" style="106" customWidth="1"/>
    <col min="5" max="5" width="13.54296875" style="106" customWidth="1"/>
    <col min="6" max="11" width="12.453125" style="106" customWidth="1"/>
    <col min="12" max="13" width="11.54296875" style="106" customWidth="1"/>
    <col min="14" max="14" width="14.26953125" style="106" customWidth="1"/>
    <col min="15" max="16384" width="9.453125" style="106"/>
  </cols>
  <sheetData>
    <row r="1" spans="1:14" s="116" customFormat="1" ht="40.5" customHeight="1" x14ac:dyDescent="0.35">
      <c r="A1" s="746" t="s">
        <v>996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</row>
    <row r="2" spans="1:14" s="117" customFormat="1" ht="18" customHeight="1" x14ac:dyDescent="0.35">
      <c r="A2" s="748" t="s">
        <v>48</v>
      </c>
      <c r="B2" s="750" t="s">
        <v>124</v>
      </c>
      <c r="C2" s="711" t="s">
        <v>125</v>
      </c>
      <c r="D2" s="711"/>
      <c r="E2" s="711"/>
      <c r="F2" s="711" t="s">
        <v>126</v>
      </c>
      <c r="G2" s="711"/>
      <c r="H2" s="711"/>
      <c r="I2" s="711" t="s">
        <v>127</v>
      </c>
      <c r="J2" s="711"/>
      <c r="K2" s="711"/>
      <c r="L2" s="711" t="s">
        <v>128</v>
      </c>
      <c r="M2" s="711"/>
      <c r="N2" s="711"/>
    </row>
    <row r="3" spans="1:14" s="118" customFormat="1" ht="18" customHeight="1" x14ac:dyDescent="0.35">
      <c r="A3" s="749"/>
      <c r="B3" s="750"/>
      <c r="C3" s="23" t="s">
        <v>103</v>
      </c>
      <c r="D3" s="23" t="s">
        <v>104</v>
      </c>
      <c r="E3" s="23" t="s">
        <v>89</v>
      </c>
      <c r="F3" s="23" t="s">
        <v>103</v>
      </c>
      <c r="G3" s="23" t="s">
        <v>104</v>
      </c>
      <c r="H3" s="23" t="s">
        <v>89</v>
      </c>
      <c r="I3" s="23" t="s">
        <v>103</v>
      </c>
      <c r="J3" s="23" t="s">
        <v>104</v>
      </c>
      <c r="K3" s="23" t="s">
        <v>89</v>
      </c>
      <c r="L3" s="23" t="s">
        <v>103</v>
      </c>
      <c r="M3" s="23" t="s">
        <v>104</v>
      </c>
      <c r="N3" s="23" t="s">
        <v>89</v>
      </c>
    </row>
    <row r="4" spans="1:14" s="354" customFormat="1" ht="12" x14ac:dyDescent="0.35">
      <c r="A4" s="353">
        <v>1</v>
      </c>
      <c r="B4" s="353">
        <v>2</v>
      </c>
      <c r="C4" s="353">
        <v>3</v>
      </c>
      <c r="D4" s="353">
        <v>4</v>
      </c>
      <c r="E4" s="353">
        <v>5</v>
      </c>
      <c r="F4" s="353">
        <v>6</v>
      </c>
      <c r="G4" s="353">
        <v>7</v>
      </c>
      <c r="H4" s="353">
        <v>8</v>
      </c>
      <c r="I4" s="353">
        <v>9</v>
      </c>
      <c r="J4" s="353">
        <v>10</v>
      </c>
      <c r="K4" s="353">
        <v>11</v>
      </c>
      <c r="L4" s="353">
        <v>12</v>
      </c>
      <c r="M4" s="353">
        <v>13</v>
      </c>
      <c r="N4" s="353">
        <v>14</v>
      </c>
    </row>
    <row r="5" spans="1:14" ht="31" x14ac:dyDescent="0.35">
      <c r="A5" s="357">
        <v>1</v>
      </c>
      <c r="B5" s="119" t="s">
        <v>129</v>
      </c>
      <c r="C5" s="27">
        <v>1851</v>
      </c>
      <c r="D5" s="27">
        <v>108196</v>
      </c>
      <c r="E5" s="27">
        <v>110047</v>
      </c>
      <c r="F5" s="27">
        <v>642</v>
      </c>
      <c r="G5" s="27">
        <v>30817</v>
      </c>
      <c r="H5" s="27">
        <v>31459</v>
      </c>
      <c r="I5" s="27">
        <v>135</v>
      </c>
      <c r="J5" s="27">
        <v>17721</v>
      </c>
      <c r="K5" s="27">
        <v>17856</v>
      </c>
      <c r="L5" s="27">
        <v>554</v>
      </c>
      <c r="M5" s="27">
        <v>34147</v>
      </c>
      <c r="N5" s="27">
        <v>34701</v>
      </c>
    </row>
    <row r="6" spans="1:14" ht="15.5" x14ac:dyDescent="0.35">
      <c r="A6" s="357">
        <v>2</v>
      </c>
      <c r="B6" s="119" t="s">
        <v>130</v>
      </c>
      <c r="C6" s="27">
        <v>12150</v>
      </c>
      <c r="D6" s="27">
        <v>5985</v>
      </c>
      <c r="E6" s="27">
        <v>18135</v>
      </c>
      <c r="F6" s="27">
        <v>546</v>
      </c>
      <c r="G6" s="27">
        <v>801</v>
      </c>
      <c r="H6" s="27">
        <v>1347</v>
      </c>
      <c r="I6" s="27">
        <v>209</v>
      </c>
      <c r="J6" s="27">
        <v>325</v>
      </c>
      <c r="K6" s="27">
        <v>534</v>
      </c>
      <c r="L6" s="27">
        <v>1704</v>
      </c>
      <c r="M6" s="27">
        <v>1927</v>
      </c>
      <c r="N6" s="27">
        <v>3631</v>
      </c>
    </row>
    <row r="7" spans="1:14" ht="15.5" x14ac:dyDescent="0.35">
      <c r="A7" s="357">
        <v>3</v>
      </c>
      <c r="B7" s="119" t="s">
        <v>131</v>
      </c>
      <c r="C7" s="27">
        <v>46</v>
      </c>
      <c r="D7" s="27"/>
      <c r="E7" s="27">
        <v>46</v>
      </c>
      <c r="F7" s="27">
        <v>2</v>
      </c>
      <c r="G7" s="27"/>
      <c r="H7" s="27">
        <v>2</v>
      </c>
      <c r="I7" s="27"/>
      <c r="J7" s="27"/>
      <c r="K7" s="27"/>
      <c r="L7" s="27">
        <v>6</v>
      </c>
      <c r="M7" s="27"/>
      <c r="N7" s="27">
        <v>6</v>
      </c>
    </row>
    <row r="8" spans="1:14" ht="15.5" x14ac:dyDescent="0.35">
      <c r="A8" s="357">
        <v>4</v>
      </c>
      <c r="B8" s="119" t="s">
        <v>132</v>
      </c>
      <c r="C8" s="27">
        <v>361</v>
      </c>
      <c r="D8" s="27">
        <v>233</v>
      </c>
      <c r="E8" s="27">
        <v>594</v>
      </c>
      <c r="F8" s="27">
        <v>95</v>
      </c>
      <c r="G8" s="27">
        <v>70</v>
      </c>
      <c r="H8" s="27">
        <v>165</v>
      </c>
      <c r="I8" s="27">
        <v>57</v>
      </c>
      <c r="J8" s="27">
        <v>34</v>
      </c>
      <c r="K8" s="27">
        <v>91</v>
      </c>
      <c r="L8" s="27">
        <v>81</v>
      </c>
      <c r="M8" s="27">
        <v>53</v>
      </c>
      <c r="N8" s="27">
        <v>134</v>
      </c>
    </row>
    <row r="9" spans="1:14" ht="31" x14ac:dyDescent="0.35">
      <c r="A9" s="357">
        <v>5</v>
      </c>
      <c r="B9" s="119" t="s">
        <v>133</v>
      </c>
      <c r="C9" s="27">
        <v>544</v>
      </c>
      <c r="D9" s="27">
        <v>679</v>
      </c>
      <c r="E9" s="27">
        <v>1223</v>
      </c>
      <c r="F9" s="27">
        <v>50</v>
      </c>
      <c r="G9" s="27">
        <v>65</v>
      </c>
      <c r="H9" s="27">
        <v>115</v>
      </c>
      <c r="I9" s="27">
        <v>22</v>
      </c>
      <c r="J9" s="27">
        <v>24</v>
      </c>
      <c r="K9" s="27">
        <v>46</v>
      </c>
      <c r="L9" s="27">
        <v>130</v>
      </c>
      <c r="M9" s="27">
        <v>129</v>
      </c>
      <c r="N9" s="27">
        <v>259</v>
      </c>
    </row>
    <row r="10" spans="1:14" ht="21" customHeight="1" x14ac:dyDescent="0.35">
      <c r="A10" s="357">
        <v>6</v>
      </c>
      <c r="B10" s="119" t="s">
        <v>134</v>
      </c>
      <c r="C10" s="27">
        <v>7630</v>
      </c>
      <c r="D10" s="27">
        <v>10963</v>
      </c>
      <c r="E10" s="27">
        <v>18593</v>
      </c>
      <c r="F10" s="27">
        <v>828</v>
      </c>
      <c r="G10" s="27">
        <v>1270</v>
      </c>
      <c r="H10" s="27">
        <v>2098</v>
      </c>
      <c r="I10" s="27">
        <v>453</v>
      </c>
      <c r="J10" s="27">
        <v>627</v>
      </c>
      <c r="K10" s="27">
        <v>1080</v>
      </c>
      <c r="L10" s="27">
        <v>3210</v>
      </c>
      <c r="M10" s="27">
        <v>4685</v>
      </c>
      <c r="N10" s="27">
        <v>7895</v>
      </c>
    </row>
    <row r="11" spans="1:14" ht="31" x14ac:dyDescent="0.35">
      <c r="A11" s="357">
        <v>7</v>
      </c>
      <c r="B11" s="119" t="s">
        <v>135</v>
      </c>
      <c r="C11" s="27">
        <v>39248</v>
      </c>
      <c r="D11" s="27">
        <v>57563</v>
      </c>
      <c r="E11" s="27">
        <v>96811</v>
      </c>
      <c r="F11" s="27">
        <v>8617</v>
      </c>
      <c r="G11" s="27">
        <v>10699</v>
      </c>
      <c r="H11" s="27">
        <v>19316</v>
      </c>
      <c r="I11" s="27">
        <v>6042</v>
      </c>
      <c r="J11" s="27">
        <v>6702</v>
      </c>
      <c r="K11" s="27">
        <v>12744</v>
      </c>
      <c r="L11" s="27">
        <v>15360</v>
      </c>
      <c r="M11" s="27">
        <v>23600</v>
      </c>
      <c r="N11" s="27">
        <v>38960</v>
      </c>
    </row>
    <row r="12" spans="1:14" ht="31" x14ac:dyDescent="0.35">
      <c r="A12" s="357">
        <v>8</v>
      </c>
      <c r="B12" s="119" t="s">
        <v>136</v>
      </c>
      <c r="C12" s="27">
        <v>110709</v>
      </c>
      <c r="D12" s="27">
        <v>89146</v>
      </c>
      <c r="E12" s="27">
        <v>199855</v>
      </c>
      <c r="F12" s="27">
        <v>15517</v>
      </c>
      <c r="G12" s="27">
        <v>12997</v>
      </c>
      <c r="H12" s="27">
        <v>28514</v>
      </c>
      <c r="I12" s="27">
        <v>4375</v>
      </c>
      <c r="J12" s="27">
        <v>3587</v>
      </c>
      <c r="K12" s="27">
        <v>7962</v>
      </c>
      <c r="L12" s="27">
        <v>32709</v>
      </c>
      <c r="M12" s="27">
        <v>22424</v>
      </c>
      <c r="N12" s="27">
        <v>55133</v>
      </c>
    </row>
    <row r="13" spans="1:14" ht="31" x14ac:dyDescent="0.35">
      <c r="A13" s="357">
        <v>9</v>
      </c>
      <c r="B13" s="119" t="s">
        <v>137</v>
      </c>
      <c r="C13" s="27">
        <v>1100</v>
      </c>
      <c r="D13" s="27">
        <v>1028</v>
      </c>
      <c r="E13" s="27">
        <v>2128</v>
      </c>
      <c r="F13" s="27">
        <v>319</v>
      </c>
      <c r="G13" s="27">
        <v>220</v>
      </c>
      <c r="H13" s="27">
        <v>539</v>
      </c>
      <c r="I13" s="27">
        <v>18</v>
      </c>
      <c r="J13" s="27">
        <v>22</v>
      </c>
      <c r="K13" s="27">
        <v>40</v>
      </c>
      <c r="L13" s="27">
        <v>282</v>
      </c>
      <c r="M13" s="27">
        <v>239</v>
      </c>
      <c r="N13" s="27">
        <v>521</v>
      </c>
    </row>
    <row r="14" spans="1:14" ht="31" x14ac:dyDescent="0.35">
      <c r="A14" s="357">
        <v>10</v>
      </c>
      <c r="B14" s="119" t="s">
        <v>138</v>
      </c>
      <c r="C14" s="27">
        <v>755364</v>
      </c>
      <c r="D14" s="27">
        <v>1114974</v>
      </c>
      <c r="E14" s="27">
        <v>1870338</v>
      </c>
      <c r="F14" s="27">
        <v>127730</v>
      </c>
      <c r="G14" s="27">
        <v>163746</v>
      </c>
      <c r="H14" s="27">
        <v>291476</v>
      </c>
      <c r="I14" s="27">
        <v>91304</v>
      </c>
      <c r="J14" s="27">
        <v>116980</v>
      </c>
      <c r="K14" s="27">
        <v>208284</v>
      </c>
      <c r="L14" s="27">
        <v>318950</v>
      </c>
      <c r="M14" s="27">
        <v>442785</v>
      </c>
      <c r="N14" s="27">
        <v>761735</v>
      </c>
    </row>
    <row r="15" spans="1:14" ht="15.5" x14ac:dyDescent="0.35">
      <c r="A15" s="357">
        <v>11</v>
      </c>
      <c r="B15" s="119" t="s">
        <v>139</v>
      </c>
      <c r="C15" s="27">
        <v>3963912</v>
      </c>
      <c r="D15" s="27">
        <v>4994459</v>
      </c>
      <c r="E15" s="27">
        <v>8958371</v>
      </c>
      <c r="F15" s="27">
        <v>841018</v>
      </c>
      <c r="G15" s="27">
        <v>1004565</v>
      </c>
      <c r="H15" s="27">
        <v>1845583</v>
      </c>
      <c r="I15" s="27">
        <v>379218</v>
      </c>
      <c r="J15" s="27">
        <v>433400</v>
      </c>
      <c r="K15" s="27">
        <v>812618</v>
      </c>
      <c r="L15" s="27">
        <v>1660608</v>
      </c>
      <c r="M15" s="27">
        <v>2097083</v>
      </c>
      <c r="N15" s="27">
        <v>3757691</v>
      </c>
    </row>
    <row r="16" spans="1:14" ht="31" x14ac:dyDescent="0.35">
      <c r="A16" s="357">
        <v>12</v>
      </c>
      <c r="B16" s="119" t="s">
        <v>140</v>
      </c>
      <c r="C16" s="27">
        <v>3124</v>
      </c>
      <c r="D16" s="27">
        <v>4228</v>
      </c>
      <c r="E16" s="27">
        <v>7352</v>
      </c>
      <c r="F16" s="27">
        <v>262</v>
      </c>
      <c r="G16" s="27">
        <v>391</v>
      </c>
      <c r="H16" s="27">
        <v>653</v>
      </c>
      <c r="I16" s="27">
        <v>101</v>
      </c>
      <c r="J16" s="27">
        <v>159</v>
      </c>
      <c r="K16" s="27">
        <v>260</v>
      </c>
      <c r="L16" s="27">
        <v>1296</v>
      </c>
      <c r="M16" s="27">
        <v>1670</v>
      </c>
      <c r="N16" s="27">
        <v>2966</v>
      </c>
    </row>
    <row r="17" spans="1:14" ht="31" x14ac:dyDescent="0.35">
      <c r="A17" s="357">
        <v>13</v>
      </c>
      <c r="B17" s="119" t="s">
        <v>141</v>
      </c>
      <c r="C17" s="27">
        <v>38525</v>
      </c>
      <c r="D17" s="27">
        <v>50583</v>
      </c>
      <c r="E17" s="27">
        <v>89108</v>
      </c>
      <c r="F17" s="27">
        <v>3779</v>
      </c>
      <c r="G17" s="27">
        <v>5018</v>
      </c>
      <c r="H17" s="27">
        <v>8797</v>
      </c>
      <c r="I17" s="27">
        <v>1659</v>
      </c>
      <c r="J17" s="27">
        <v>2273</v>
      </c>
      <c r="K17" s="27">
        <v>3932</v>
      </c>
      <c r="L17" s="27">
        <v>16703</v>
      </c>
      <c r="M17" s="27">
        <v>20251</v>
      </c>
      <c r="N17" s="27">
        <v>36954</v>
      </c>
    </row>
    <row r="18" spans="1:14" ht="46.5" x14ac:dyDescent="0.35">
      <c r="A18" s="357">
        <v>14</v>
      </c>
      <c r="B18" s="119" t="s">
        <v>142</v>
      </c>
      <c r="C18" s="27">
        <v>1114</v>
      </c>
      <c r="D18" s="27">
        <v>2990</v>
      </c>
      <c r="E18" s="27">
        <v>4104</v>
      </c>
      <c r="F18" s="27">
        <v>106</v>
      </c>
      <c r="G18" s="27">
        <v>156</v>
      </c>
      <c r="H18" s="27">
        <v>262</v>
      </c>
      <c r="I18" s="27">
        <v>34</v>
      </c>
      <c r="J18" s="27">
        <v>64</v>
      </c>
      <c r="K18" s="27">
        <v>98</v>
      </c>
      <c r="L18" s="27">
        <v>473</v>
      </c>
      <c r="M18" s="27">
        <v>1668</v>
      </c>
      <c r="N18" s="27">
        <v>2141</v>
      </c>
    </row>
    <row r="19" spans="1:14" ht="15.5" x14ac:dyDescent="0.35">
      <c r="A19" s="357">
        <v>15</v>
      </c>
      <c r="B19" s="119" t="s">
        <v>143</v>
      </c>
      <c r="C19" s="27">
        <v>129343</v>
      </c>
      <c r="D19" s="27">
        <v>47515</v>
      </c>
      <c r="E19" s="27">
        <v>176858</v>
      </c>
      <c r="F19" s="27">
        <v>17936</v>
      </c>
      <c r="G19" s="27">
        <v>6929</v>
      </c>
      <c r="H19" s="27">
        <v>24865</v>
      </c>
      <c r="I19" s="27">
        <v>5895</v>
      </c>
      <c r="J19" s="27">
        <v>3503</v>
      </c>
      <c r="K19" s="27">
        <v>9398</v>
      </c>
      <c r="L19" s="27">
        <v>63111</v>
      </c>
      <c r="M19" s="27">
        <v>20931</v>
      </c>
      <c r="N19" s="27">
        <v>84042</v>
      </c>
    </row>
    <row r="20" spans="1:14" ht="15.5" x14ac:dyDescent="0.35">
      <c r="A20" s="357">
        <v>16</v>
      </c>
      <c r="B20" s="119" t="s">
        <v>144</v>
      </c>
      <c r="C20" s="27">
        <v>29754</v>
      </c>
      <c r="D20" s="27">
        <v>34842</v>
      </c>
      <c r="E20" s="27">
        <v>64596</v>
      </c>
      <c r="F20" s="27">
        <v>1957</v>
      </c>
      <c r="G20" s="27">
        <v>1961</v>
      </c>
      <c r="H20" s="27">
        <v>3918</v>
      </c>
      <c r="I20" s="27">
        <v>587</v>
      </c>
      <c r="J20" s="27">
        <v>543</v>
      </c>
      <c r="K20" s="27">
        <v>1130</v>
      </c>
      <c r="L20" s="27">
        <v>11116</v>
      </c>
      <c r="M20" s="27">
        <v>11580</v>
      </c>
      <c r="N20" s="27">
        <v>22696</v>
      </c>
    </row>
    <row r="21" spans="1:14" ht="31" x14ac:dyDescent="0.35">
      <c r="A21" s="357">
        <v>17</v>
      </c>
      <c r="B21" s="119" t="s">
        <v>145</v>
      </c>
      <c r="C21" s="27">
        <v>11017</v>
      </c>
      <c r="D21" s="27">
        <v>7261</v>
      </c>
      <c r="E21" s="27">
        <v>18278</v>
      </c>
      <c r="F21" s="27">
        <v>709</v>
      </c>
      <c r="G21" s="27">
        <v>545</v>
      </c>
      <c r="H21" s="27">
        <v>1254</v>
      </c>
      <c r="I21" s="27">
        <v>278</v>
      </c>
      <c r="J21" s="27">
        <v>217</v>
      </c>
      <c r="K21" s="27">
        <v>495</v>
      </c>
      <c r="L21" s="27">
        <v>1926</v>
      </c>
      <c r="M21" s="27">
        <v>1413</v>
      </c>
      <c r="N21" s="27">
        <v>3339</v>
      </c>
    </row>
    <row r="22" spans="1:14" ht="31" x14ac:dyDescent="0.35">
      <c r="A22" s="357">
        <v>18</v>
      </c>
      <c r="B22" s="119" t="s">
        <v>146</v>
      </c>
      <c r="C22" s="27">
        <v>472438</v>
      </c>
      <c r="D22" s="27">
        <v>313297</v>
      </c>
      <c r="E22" s="27">
        <v>785735</v>
      </c>
      <c r="F22" s="27">
        <v>43893</v>
      </c>
      <c r="G22" s="27">
        <v>32190</v>
      </c>
      <c r="H22" s="27">
        <v>76083</v>
      </c>
      <c r="I22" s="27">
        <v>11330</v>
      </c>
      <c r="J22" s="27">
        <v>7588</v>
      </c>
      <c r="K22" s="27">
        <v>18918</v>
      </c>
      <c r="L22" s="27">
        <v>166854</v>
      </c>
      <c r="M22" s="27">
        <v>111967</v>
      </c>
      <c r="N22" s="27">
        <v>278821</v>
      </c>
    </row>
    <row r="23" spans="1:14" ht="46.5" x14ac:dyDescent="0.35">
      <c r="A23" s="357">
        <v>19</v>
      </c>
      <c r="B23" s="119" t="s">
        <v>147</v>
      </c>
      <c r="C23" s="27">
        <v>92</v>
      </c>
      <c r="D23" s="27">
        <v>64</v>
      </c>
      <c r="E23" s="27">
        <v>156</v>
      </c>
      <c r="F23" s="27">
        <v>27</v>
      </c>
      <c r="G23" s="27">
        <v>13</v>
      </c>
      <c r="H23" s="27">
        <v>40</v>
      </c>
      <c r="I23" s="27"/>
      <c r="J23" s="27"/>
      <c r="K23" s="27"/>
      <c r="L23" s="27">
        <v>34</v>
      </c>
      <c r="M23" s="27">
        <v>18</v>
      </c>
      <c r="N23" s="27">
        <v>52</v>
      </c>
    </row>
    <row r="24" spans="1:14" ht="15.5" x14ac:dyDescent="0.35">
      <c r="A24" s="357">
        <v>20</v>
      </c>
      <c r="B24" s="119" t="s">
        <v>148</v>
      </c>
      <c r="C24" s="27">
        <v>1898</v>
      </c>
      <c r="D24" s="27">
        <v>1742</v>
      </c>
      <c r="E24" s="27">
        <v>3640</v>
      </c>
      <c r="F24" s="27">
        <v>114</v>
      </c>
      <c r="G24" s="27">
        <v>100</v>
      </c>
      <c r="H24" s="27">
        <v>214</v>
      </c>
      <c r="I24" s="27">
        <v>22</v>
      </c>
      <c r="J24" s="27">
        <v>20</v>
      </c>
      <c r="K24" s="27">
        <v>42</v>
      </c>
      <c r="L24" s="27">
        <v>379</v>
      </c>
      <c r="M24" s="27">
        <v>376</v>
      </c>
      <c r="N24" s="27">
        <v>755</v>
      </c>
    </row>
    <row r="25" spans="1:14" ht="46.5" x14ac:dyDescent="0.35">
      <c r="A25" s="357">
        <v>21</v>
      </c>
      <c r="B25" s="119" t="s">
        <v>149</v>
      </c>
      <c r="C25" s="27">
        <v>17982</v>
      </c>
      <c r="D25" s="27">
        <v>15998</v>
      </c>
      <c r="E25" s="27">
        <v>33980</v>
      </c>
      <c r="F25" s="27">
        <v>1168</v>
      </c>
      <c r="G25" s="27">
        <v>983</v>
      </c>
      <c r="H25" s="27">
        <v>2151</v>
      </c>
      <c r="I25" s="27">
        <v>390</v>
      </c>
      <c r="J25" s="27">
        <v>326</v>
      </c>
      <c r="K25" s="27">
        <v>716</v>
      </c>
      <c r="L25" s="27">
        <v>3689</v>
      </c>
      <c r="M25" s="27">
        <v>3289</v>
      </c>
      <c r="N25" s="27">
        <v>6978</v>
      </c>
    </row>
    <row r="26" spans="1:14" ht="31" x14ac:dyDescent="0.35">
      <c r="A26" s="357">
        <v>22</v>
      </c>
      <c r="B26" s="119" t="s">
        <v>150</v>
      </c>
      <c r="C26" s="27">
        <v>12038</v>
      </c>
      <c r="D26" s="27">
        <v>7859</v>
      </c>
      <c r="E26" s="27">
        <v>19897</v>
      </c>
      <c r="F26" s="27">
        <v>804</v>
      </c>
      <c r="G26" s="27">
        <v>704</v>
      </c>
      <c r="H26" s="27">
        <v>1508</v>
      </c>
      <c r="I26" s="27">
        <v>248</v>
      </c>
      <c r="J26" s="27">
        <v>164</v>
      </c>
      <c r="K26" s="27">
        <v>412</v>
      </c>
      <c r="L26" s="27">
        <v>3303</v>
      </c>
      <c r="M26" s="27">
        <v>2569</v>
      </c>
      <c r="N26" s="27">
        <v>5872</v>
      </c>
    </row>
    <row r="27" spans="1:14" ht="31" x14ac:dyDescent="0.35">
      <c r="A27" s="357">
        <v>23</v>
      </c>
      <c r="B27" s="119" t="s">
        <v>151</v>
      </c>
      <c r="C27" s="27">
        <v>386</v>
      </c>
      <c r="D27" s="27">
        <v>161</v>
      </c>
      <c r="E27" s="27">
        <v>547</v>
      </c>
      <c r="F27" s="27">
        <v>46</v>
      </c>
      <c r="G27" s="27">
        <v>7</v>
      </c>
      <c r="H27" s="27">
        <v>53</v>
      </c>
      <c r="I27" s="27">
        <v>2</v>
      </c>
      <c r="J27" s="27"/>
      <c r="K27" s="27">
        <v>2</v>
      </c>
      <c r="L27" s="27">
        <v>69</v>
      </c>
      <c r="M27" s="27">
        <v>16</v>
      </c>
      <c r="N27" s="27">
        <v>85</v>
      </c>
    </row>
    <row r="28" spans="1:14" ht="31" x14ac:dyDescent="0.35">
      <c r="A28" s="357">
        <v>24</v>
      </c>
      <c r="B28" s="119" t="s">
        <v>152</v>
      </c>
      <c r="C28" s="27">
        <v>10202</v>
      </c>
      <c r="D28" s="27">
        <v>7719</v>
      </c>
      <c r="E28" s="27">
        <v>17921</v>
      </c>
      <c r="F28" s="27">
        <v>1107</v>
      </c>
      <c r="G28" s="27">
        <v>981</v>
      </c>
      <c r="H28" s="27">
        <v>2088</v>
      </c>
      <c r="I28" s="27">
        <v>368</v>
      </c>
      <c r="J28" s="27">
        <v>334</v>
      </c>
      <c r="K28" s="27">
        <v>702</v>
      </c>
      <c r="L28" s="27">
        <v>3559</v>
      </c>
      <c r="M28" s="27">
        <v>3214</v>
      </c>
      <c r="N28" s="27">
        <v>6773</v>
      </c>
    </row>
    <row r="29" spans="1:14" ht="31" x14ac:dyDescent="0.35">
      <c r="A29" s="357">
        <v>25</v>
      </c>
      <c r="B29" s="119" t="s">
        <v>153</v>
      </c>
      <c r="C29" s="27">
        <v>534496</v>
      </c>
      <c r="D29" s="27">
        <v>330914</v>
      </c>
      <c r="E29" s="27">
        <v>865410</v>
      </c>
      <c r="F29" s="27">
        <v>57854</v>
      </c>
      <c r="G29" s="27">
        <v>40247</v>
      </c>
      <c r="H29" s="27">
        <v>98101</v>
      </c>
      <c r="I29" s="27">
        <v>14344</v>
      </c>
      <c r="J29" s="27">
        <v>8631</v>
      </c>
      <c r="K29" s="27">
        <v>22975</v>
      </c>
      <c r="L29" s="27">
        <v>218060</v>
      </c>
      <c r="M29" s="27">
        <v>142653</v>
      </c>
      <c r="N29" s="27">
        <v>360713</v>
      </c>
    </row>
    <row r="30" spans="1:14" ht="31" x14ac:dyDescent="0.35">
      <c r="A30" s="357">
        <v>26</v>
      </c>
      <c r="B30" s="119" t="s">
        <v>154</v>
      </c>
      <c r="C30" s="27">
        <v>817</v>
      </c>
      <c r="D30" s="27">
        <v>123</v>
      </c>
      <c r="E30" s="27">
        <v>940</v>
      </c>
      <c r="F30" s="27">
        <v>199</v>
      </c>
      <c r="G30" s="27">
        <v>24</v>
      </c>
      <c r="H30" s="27">
        <v>223</v>
      </c>
      <c r="I30" s="27">
        <v>32</v>
      </c>
      <c r="J30" s="27">
        <v>9</v>
      </c>
      <c r="K30" s="27">
        <v>41</v>
      </c>
      <c r="L30" s="27">
        <v>135</v>
      </c>
      <c r="M30" s="27">
        <v>11</v>
      </c>
      <c r="N30" s="27">
        <v>146</v>
      </c>
    </row>
    <row r="31" spans="1:14" ht="31" x14ac:dyDescent="0.35">
      <c r="A31" s="357">
        <v>27</v>
      </c>
      <c r="B31" s="119" t="s">
        <v>155</v>
      </c>
      <c r="C31" s="27">
        <v>449</v>
      </c>
      <c r="D31" s="27">
        <v>154</v>
      </c>
      <c r="E31" s="27">
        <v>603</v>
      </c>
      <c r="F31" s="27">
        <v>62</v>
      </c>
      <c r="G31" s="27">
        <v>29</v>
      </c>
      <c r="H31" s="27">
        <v>91</v>
      </c>
      <c r="I31" s="27">
        <v>26</v>
      </c>
      <c r="J31" s="27">
        <v>12</v>
      </c>
      <c r="K31" s="27">
        <v>38</v>
      </c>
      <c r="L31" s="27">
        <v>127</v>
      </c>
      <c r="M31" s="27">
        <v>49</v>
      </c>
      <c r="N31" s="27">
        <v>176</v>
      </c>
    </row>
    <row r="32" spans="1:14" ht="31" x14ac:dyDescent="0.35">
      <c r="A32" s="357">
        <v>28</v>
      </c>
      <c r="B32" s="119" t="s">
        <v>156</v>
      </c>
      <c r="C32" s="27">
        <v>615</v>
      </c>
      <c r="D32" s="27">
        <v>169</v>
      </c>
      <c r="E32" s="27">
        <v>784</v>
      </c>
      <c r="F32" s="27">
        <v>103</v>
      </c>
      <c r="G32" s="27">
        <v>31</v>
      </c>
      <c r="H32" s="27">
        <v>134</v>
      </c>
      <c r="I32" s="27">
        <v>28</v>
      </c>
      <c r="J32" s="27">
        <v>11</v>
      </c>
      <c r="K32" s="27">
        <v>39</v>
      </c>
      <c r="L32" s="27">
        <v>192</v>
      </c>
      <c r="M32" s="27">
        <v>53</v>
      </c>
      <c r="N32" s="27">
        <v>245</v>
      </c>
    </row>
    <row r="33" spans="1:14" ht="39" customHeight="1" x14ac:dyDescent="0.35">
      <c r="A33" s="357">
        <v>29</v>
      </c>
      <c r="B33" s="119" t="s">
        <v>157</v>
      </c>
      <c r="C33" s="27">
        <v>39</v>
      </c>
      <c r="D33" s="27">
        <v>122</v>
      </c>
      <c r="E33" s="27">
        <v>161</v>
      </c>
      <c r="F33" s="27">
        <v>13</v>
      </c>
      <c r="G33" s="27">
        <v>12</v>
      </c>
      <c r="H33" s="27">
        <v>25</v>
      </c>
      <c r="I33" s="27">
        <v>2</v>
      </c>
      <c r="J33" s="27">
        <v>2</v>
      </c>
      <c r="K33" s="27">
        <v>4</v>
      </c>
      <c r="L33" s="27">
        <v>5</v>
      </c>
      <c r="M33" s="27">
        <v>14</v>
      </c>
      <c r="N33" s="27">
        <v>19</v>
      </c>
    </row>
    <row r="34" spans="1:14" ht="39" customHeight="1" x14ac:dyDescent="0.35">
      <c r="A34" s="357">
        <v>30</v>
      </c>
      <c r="B34" s="119" t="s">
        <v>158</v>
      </c>
      <c r="C34" s="27">
        <v>301</v>
      </c>
      <c r="D34" s="27">
        <v>350</v>
      </c>
      <c r="E34" s="27">
        <v>651</v>
      </c>
      <c r="F34" s="27">
        <v>100</v>
      </c>
      <c r="G34" s="27">
        <v>113</v>
      </c>
      <c r="H34" s="27">
        <v>213</v>
      </c>
      <c r="I34" s="27"/>
      <c r="J34" s="27">
        <v>1</v>
      </c>
      <c r="K34" s="27">
        <v>1</v>
      </c>
      <c r="L34" s="27">
        <v>71</v>
      </c>
      <c r="M34" s="27">
        <v>99</v>
      </c>
      <c r="N34" s="27">
        <v>170</v>
      </c>
    </row>
    <row r="35" spans="1:14" ht="31" x14ac:dyDescent="0.35">
      <c r="A35" s="357">
        <v>31</v>
      </c>
      <c r="B35" s="119" t="s">
        <v>159</v>
      </c>
      <c r="C35" s="27">
        <v>92545</v>
      </c>
      <c r="D35" s="27">
        <v>78136</v>
      </c>
      <c r="E35" s="27">
        <v>170681</v>
      </c>
      <c r="F35" s="27">
        <v>11940</v>
      </c>
      <c r="G35" s="27">
        <v>9984</v>
      </c>
      <c r="H35" s="27">
        <v>21924</v>
      </c>
      <c r="I35" s="27">
        <v>4050</v>
      </c>
      <c r="J35" s="27">
        <v>3539</v>
      </c>
      <c r="K35" s="27">
        <v>7589</v>
      </c>
      <c r="L35" s="27">
        <v>28632</v>
      </c>
      <c r="M35" s="27">
        <v>24403</v>
      </c>
      <c r="N35" s="27">
        <v>53035</v>
      </c>
    </row>
    <row r="36" spans="1:14" ht="15.5" x14ac:dyDescent="0.35">
      <c r="A36" s="357">
        <v>32</v>
      </c>
      <c r="B36" s="119" t="s">
        <v>160</v>
      </c>
      <c r="C36" s="27">
        <v>1730752</v>
      </c>
      <c r="D36" s="27">
        <v>1679338</v>
      </c>
      <c r="E36" s="27">
        <v>3410090</v>
      </c>
      <c r="F36" s="27">
        <v>223120</v>
      </c>
      <c r="G36" s="27">
        <v>219352</v>
      </c>
      <c r="H36" s="27">
        <v>442472</v>
      </c>
      <c r="I36" s="27">
        <v>72606</v>
      </c>
      <c r="J36" s="27">
        <v>65087</v>
      </c>
      <c r="K36" s="27">
        <v>137693</v>
      </c>
      <c r="L36" s="27">
        <v>728851</v>
      </c>
      <c r="M36" s="27">
        <v>731566</v>
      </c>
      <c r="N36" s="27">
        <v>1460417</v>
      </c>
    </row>
    <row r="37" spans="1:14" ht="31" x14ac:dyDescent="0.35">
      <c r="A37" s="357">
        <v>33</v>
      </c>
      <c r="B37" s="119" t="s">
        <v>161</v>
      </c>
      <c r="C37" s="27">
        <v>7987</v>
      </c>
      <c r="D37" s="27">
        <v>7623</v>
      </c>
      <c r="E37" s="27">
        <v>15610</v>
      </c>
      <c r="F37" s="27">
        <v>934</v>
      </c>
      <c r="G37" s="27">
        <v>829</v>
      </c>
      <c r="H37" s="27">
        <v>1763</v>
      </c>
      <c r="I37" s="27">
        <v>143</v>
      </c>
      <c r="J37" s="27">
        <v>168</v>
      </c>
      <c r="K37" s="27">
        <v>311</v>
      </c>
      <c r="L37" s="27">
        <v>2250</v>
      </c>
      <c r="M37" s="27">
        <v>2066</v>
      </c>
      <c r="N37" s="27">
        <v>4316</v>
      </c>
    </row>
    <row r="38" spans="1:14" ht="31" x14ac:dyDescent="0.35">
      <c r="A38" s="357">
        <v>34</v>
      </c>
      <c r="B38" s="119" t="s">
        <v>162</v>
      </c>
      <c r="C38" s="27">
        <v>26188</v>
      </c>
      <c r="D38" s="27">
        <v>74058</v>
      </c>
      <c r="E38" s="27">
        <v>100246</v>
      </c>
      <c r="F38" s="27">
        <v>3321</v>
      </c>
      <c r="G38" s="27">
        <v>8707</v>
      </c>
      <c r="H38" s="27">
        <v>12028</v>
      </c>
      <c r="I38" s="27">
        <v>978</v>
      </c>
      <c r="J38" s="27">
        <v>2363</v>
      </c>
      <c r="K38" s="27">
        <v>3341</v>
      </c>
      <c r="L38" s="27">
        <v>9520</v>
      </c>
      <c r="M38" s="27">
        <v>28619</v>
      </c>
      <c r="N38" s="27">
        <v>38139</v>
      </c>
    </row>
    <row r="39" spans="1:14" ht="15.5" x14ac:dyDescent="0.35">
      <c r="A39" s="357">
        <v>35</v>
      </c>
      <c r="B39" s="119" t="s">
        <v>163</v>
      </c>
      <c r="C39" s="27">
        <v>3</v>
      </c>
      <c r="D39" s="27">
        <v>60</v>
      </c>
      <c r="E39" s="27">
        <v>63</v>
      </c>
      <c r="F39" s="27"/>
      <c r="G39" s="27">
        <v>6</v>
      </c>
      <c r="H39" s="27">
        <v>6</v>
      </c>
      <c r="I39" s="27"/>
      <c r="J39" s="27">
        <v>1</v>
      </c>
      <c r="K39" s="27">
        <v>1</v>
      </c>
      <c r="L39" s="27">
        <v>2</v>
      </c>
      <c r="M39" s="27">
        <v>41</v>
      </c>
      <c r="N39" s="27">
        <v>43</v>
      </c>
    </row>
    <row r="40" spans="1:14" ht="15.5" x14ac:dyDescent="0.35">
      <c r="A40" s="357">
        <v>36</v>
      </c>
      <c r="B40" s="119" t="s">
        <v>164</v>
      </c>
      <c r="C40" s="27">
        <v>51</v>
      </c>
      <c r="D40" s="27">
        <v>143</v>
      </c>
      <c r="E40" s="27">
        <v>194</v>
      </c>
      <c r="F40" s="27">
        <v>5</v>
      </c>
      <c r="G40" s="27">
        <v>3</v>
      </c>
      <c r="H40" s="27">
        <v>8</v>
      </c>
      <c r="I40" s="27">
        <v>1</v>
      </c>
      <c r="J40" s="27">
        <v>6</v>
      </c>
      <c r="K40" s="27">
        <v>7</v>
      </c>
      <c r="L40" s="27">
        <v>22</v>
      </c>
      <c r="M40" s="27">
        <v>30</v>
      </c>
      <c r="N40" s="27">
        <v>52</v>
      </c>
    </row>
    <row r="41" spans="1:14" ht="15.5" x14ac:dyDescent="0.35">
      <c r="A41" s="357">
        <v>37</v>
      </c>
      <c r="B41" s="119" t="s">
        <v>165</v>
      </c>
      <c r="C41" s="27">
        <v>15998</v>
      </c>
      <c r="D41" s="27">
        <v>40722</v>
      </c>
      <c r="E41" s="27">
        <v>56720</v>
      </c>
      <c r="F41" s="27">
        <v>1595</v>
      </c>
      <c r="G41" s="27">
        <v>6134</v>
      </c>
      <c r="H41" s="27">
        <v>7729</v>
      </c>
      <c r="I41" s="27">
        <v>543</v>
      </c>
      <c r="J41" s="27">
        <v>2212</v>
      </c>
      <c r="K41" s="27">
        <v>2755</v>
      </c>
      <c r="L41" s="27">
        <v>3044</v>
      </c>
      <c r="M41" s="27">
        <v>5727</v>
      </c>
      <c r="N41" s="27">
        <v>8771</v>
      </c>
    </row>
    <row r="42" spans="1:14" ht="31" x14ac:dyDescent="0.35">
      <c r="A42" s="357">
        <v>38</v>
      </c>
      <c r="B42" s="119" t="s">
        <v>166</v>
      </c>
      <c r="C42" s="27">
        <v>142</v>
      </c>
      <c r="D42" s="27">
        <v>412</v>
      </c>
      <c r="E42" s="27">
        <v>554</v>
      </c>
      <c r="F42" s="27">
        <v>4</v>
      </c>
      <c r="G42" s="27">
        <v>55</v>
      </c>
      <c r="H42" s="27">
        <v>59</v>
      </c>
      <c r="I42" s="27">
        <v>5</v>
      </c>
      <c r="J42" s="27">
        <v>35</v>
      </c>
      <c r="K42" s="27">
        <v>40</v>
      </c>
      <c r="L42" s="27">
        <v>28</v>
      </c>
      <c r="M42" s="27">
        <v>42</v>
      </c>
      <c r="N42" s="27">
        <v>70</v>
      </c>
    </row>
    <row r="43" spans="1:14" ht="15.5" x14ac:dyDescent="0.35">
      <c r="A43" s="357">
        <v>39</v>
      </c>
      <c r="B43" s="119" t="s">
        <v>167</v>
      </c>
      <c r="C43" s="27">
        <v>908571</v>
      </c>
      <c r="D43" s="27">
        <v>421522</v>
      </c>
      <c r="E43" s="27">
        <v>1330093</v>
      </c>
      <c r="F43" s="27">
        <v>102102</v>
      </c>
      <c r="G43" s="27">
        <v>52376</v>
      </c>
      <c r="H43" s="27">
        <v>154478</v>
      </c>
      <c r="I43" s="27">
        <v>20735</v>
      </c>
      <c r="J43" s="27">
        <v>10502</v>
      </c>
      <c r="K43" s="27">
        <v>31237</v>
      </c>
      <c r="L43" s="27">
        <v>464002</v>
      </c>
      <c r="M43" s="27">
        <v>230808</v>
      </c>
      <c r="N43" s="27">
        <v>694810</v>
      </c>
    </row>
    <row r="44" spans="1:14" ht="31" x14ac:dyDescent="0.35">
      <c r="A44" s="357">
        <v>40</v>
      </c>
      <c r="B44" s="119" t="s">
        <v>168</v>
      </c>
      <c r="C44" s="27">
        <v>1385</v>
      </c>
      <c r="D44" s="27">
        <v>1821</v>
      </c>
      <c r="E44" s="27">
        <v>3206</v>
      </c>
      <c r="F44" s="27">
        <v>207</v>
      </c>
      <c r="G44" s="27">
        <v>217</v>
      </c>
      <c r="H44" s="27">
        <v>424</v>
      </c>
      <c r="I44" s="27">
        <v>129</v>
      </c>
      <c r="J44" s="27">
        <v>133</v>
      </c>
      <c r="K44" s="27">
        <v>262</v>
      </c>
      <c r="L44" s="27">
        <v>456</v>
      </c>
      <c r="M44" s="27">
        <v>529</v>
      </c>
      <c r="N44" s="27">
        <v>985</v>
      </c>
    </row>
    <row r="45" spans="1:14" ht="15.5" x14ac:dyDescent="0.35">
      <c r="A45" s="357">
        <v>41</v>
      </c>
      <c r="B45" s="119" t="s">
        <v>169</v>
      </c>
      <c r="C45" s="27">
        <v>539301</v>
      </c>
      <c r="D45" s="27">
        <v>1012910</v>
      </c>
      <c r="E45" s="27">
        <v>1552211</v>
      </c>
      <c r="F45" s="27">
        <v>105731</v>
      </c>
      <c r="G45" s="27">
        <v>168512</v>
      </c>
      <c r="H45" s="27">
        <v>274243</v>
      </c>
      <c r="I45" s="27">
        <v>49027</v>
      </c>
      <c r="J45" s="27">
        <v>74220</v>
      </c>
      <c r="K45" s="27">
        <v>123247</v>
      </c>
      <c r="L45" s="27">
        <v>198928</v>
      </c>
      <c r="M45" s="27">
        <v>379916</v>
      </c>
      <c r="N45" s="27">
        <v>578844</v>
      </c>
    </row>
    <row r="46" spans="1:14" ht="31" x14ac:dyDescent="0.35">
      <c r="A46" s="357">
        <v>42</v>
      </c>
      <c r="B46" s="119" t="s">
        <v>170</v>
      </c>
      <c r="C46" s="27">
        <v>3417</v>
      </c>
      <c r="D46" s="27">
        <v>7213</v>
      </c>
      <c r="E46" s="27">
        <v>10630</v>
      </c>
      <c r="F46" s="27">
        <v>780</v>
      </c>
      <c r="G46" s="27">
        <v>1239</v>
      </c>
      <c r="H46" s="27">
        <v>2019</v>
      </c>
      <c r="I46" s="27">
        <v>62</v>
      </c>
      <c r="J46" s="27">
        <v>109</v>
      </c>
      <c r="K46" s="27">
        <v>171</v>
      </c>
      <c r="L46" s="27">
        <v>1548</v>
      </c>
      <c r="M46" s="27">
        <v>3087</v>
      </c>
      <c r="N46" s="27">
        <v>4635</v>
      </c>
    </row>
    <row r="47" spans="1:14" ht="15.5" x14ac:dyDescent="0.35">
      <c r="A47" s="357">
        <v>43</v>
      </c>
      <c r="B47" s="119" t="s">
        <v>171</v>
      </c>
      <c r="C47" s="27">
        <v>13020</v>
      </c>
      <c r="D47" s="27">
        <v>15332</v>
      </c>
      <c r="E47" s="27">
        <v>28352</v>
      </c>
      <c r="F47" s="27">
        <v>2480</v>
      </c>
      <c r="G47" s="27">
        <v>1817</v>
      </c>
      <c r="H47" s="27">
        <v>4297</v>
      </c>
      <c r="I47" s="27">
        <v>1058</v>
      </c>
      <c r="J47" s="27">
        <v>688</v>
      </c>
      <c r="K47" s="27">
        <v>1746</v>
      </c>
      <c r="L47" s="27">
        <v>4473</v>
      </c>
      <c r="M47" s="27">
        <v>4459</v>
      </c>
      <c r="N47" s="27">
        <v>8932</v>
      </c>
    </row>
    <row r="48" spans="1:14" ht="31" x14ac:dyDescent="0.35">
      <c r="A48" s="357">
        <v>44</v>
      </c>
      <c r="B48" s="119" t="s">
        <v>172</v>
      </c>
      <c r="C48" s="27">
        <v>2541</v>
      </c>
      <c r="D48" s="27">
        <v>2469</v>
      </c>
      <c r="E48" s="27">
        <v>5010</v>
      </c>
      <c r="F48" s="27">
        <v>388</v>
      </c>
      <c r="G48" s="27">
        <v>358</v>
      </c>
      <c r="H48" s="27">
        <v>746</v>
      </c>
      <c r="I48" s="27">
        <v>202</v>
      </c>
      <c r="J48" s="27">
        <v>246</v>
      </c>
      <c r="K48" s="27">
        <v>448</v>
      </c>
      <c r="L48" s="27">
        <v>1175</v>
      </c>
      <c r="M48" s="27">
        <v>1168</v>
      </c>
      <c r="N48" s="27">
        <v>2343</v>
      </c>
    </row>
    <row r="49" spans="1:14" ht="31" x14ac:dyDescent="0.35">
      <c r="A49" s="357">
        <v>45</v>
      </c>
      <c r="B49" s="119" t="s">
        <v>173</v>
      </c>
      <c r="C49" s="27">
        <v>535</v>
      </c>
      <c r="D49" s="27">
        <v>2404</v>
      </c>
      <c r="E49" s="27">
        <v>2939</v>
      </c>
      <c r="F49" s="27">
        <v>96</v>
      </c>
      <c r="G49" s="27">
        <v>310</v>
      </c>
      <c r="H49" s="27">
        <v>406</v>
      </c>
      <c r="I49" s="27">
        <v>15</v>
      </c>
      <c r="J49" s="27">
        <v>140</v>
      </c>
      <c r="K49" s="27">
        <v>155</v>
      </c>
      <c r="L49" s="27">
        <v>121</v>
      </c>
      <c r="M49" s="27">
        <v>665</v>
      </c>
      <c r="N49" s="27">
        <v>786</v>
      </c>
    </row>
    <row r="50" spans="1:14" ht="20.25" customHeight="1" x14ac:dyDescent="0.35">
      <c r="A50" s="357">
        <v>46</v>
      </c>
      <c r="B50" s="119" t="s">
        <v>174</v>
      </c>
      <c r="C50" s="27">
        <v>1002</v>
      </c>
      <c r="D50" s="27">
        <v>951</v>
      </c>
      <c r="E50" s="27">
        <v>1953</v>
      </c>
      <c r="F50" s="27">
        <v>135</v>
      </c>
      <c r="G50" s="27">
        <v>120</v>
      </c>
      <c r="H50" s="27">
        <v>255</v>
      </c>
      <c r="I50" s="27">
        <v>27</v>
      </c>
      <c r="J50" s="27">
        <v>24</v>
      </c>
      <c r="K50" s="27">
        <v>51</v>
      </c>
      <c r="L50" s="27">
        <v>255</v>
      </c>
      <c r="M50" s="27">
        <v>201</v>
      </c>
      <c r="N50" s="27">
        <v>456</v>
      </c>
    </row>
    <row r="51" spans="1:14" ht="31" x14ac:dyDescent="0.35">
      <c r="A51" s="357">
        <v>47</v>
      </c>
      <c r="B51" s="119" t="s">
        <v>175</v>
      </c>
      <c r="C51" s="27">
        <v>2634</v>
      </c>
      <c r="D51" s="27">
        <v>3326</v>
      </c>
      <c r="E51" s="27">
        <v>5960</v>
      </c>
      <c r="F51" s="27">
        <v>273</v>
      </c>
      <c r="G51" s="27">
        <v>334</v>
      </c>
      <c r="H51" s="27">
        <v>607</v>
      </c>
      <c r="I51" s="27">
        <v>93</v>
      </c>
      <c r="J51" s="27">
        <v>99</v>
      </c>
      <c r="K51" s="27">
        <v>192</v>
      </c>
      <c r="L51" s="27">
        <v>511</v>
      </c>
      <c r="M51" s="27">
        <v>609</v>
      </c>
      <c r="N51" s="27">
        <v>1120</v>
      </c>
    </row>
    <row r="52" spans="1:14" ht="31" x14ac:dyDescent="0.35">
      <c r="A52" s="357">
        <v>48</v>
      </c>
      <c r="B52" s="119" t="s">
        <v>176</v>
      </c>
      <c r="C52" s="27">
        <v>22633</v>
      </c>
      <c r="D52" s="27">
        <v>7351</v>
      </c>
      <c r="E52" s="27">
        <v>29984</v>
      </c>
      <c r="F52" s="27">
        <v>4480</v>
      </c>
      <c r="G52" s="27">
        <v>1903</v>
      </c>
      <c r="H52" s="27">
        <v>6383</v>
      </c>
      <c r="I52" s="27">
        <v>2007</v>
      </c>
      <c r="J52" s="27">
        <v>1234</v>
      </c>
      <c r="K52" s="27">
        <v>3241</v>
      </c>
      <c r="L52" s="27">
        <v>4364</v>
      </c>
      <c r="M52" s="27">
        <v>853</v>
      </c>
      <c r="N52" s="27">
        <v>5217</v>
      </c>
    </row>
    <row r="53" spans="1:14" ht="46.5" x14ac:dyDescent="0.35">
      <c r="A53" s="357">
        <v>49</v>
      </c>
      <c r="B53" s="119" t="s">
        <v>177</v>
      </c>
      <c r="C53" s="27">
        <v>16434</v>
      </c>
      <c r="D53" s="27">
        <v>4340</v>
      </c>
      <c r="E53" s="27">
        <v>20774</v>
      </c>
      <c r="F53" s="27">
        <v>2871</v>
      </c>
      <c r="G53" s="27">
        <v>1058</v>
      </c>
      <c r="H53" s="27">
        <v>3929</v>
      </c>
      <c r="I53" s="27">
        <v>381</v>
      </c>
      <c r="J53" s="27">
        <v>117</v>
      </c>
      <c r="K53" s="27">
        <v>498</v>
      </c>
      <c r="L53" s="27">
        <v>4175</v>
      </c>
      <c r="M53" s="27">
        <v>828</v>
      </c>
      <c r="N53" s="27">
        <v>5003</v>
      </c>
    </row>
    <row r="54" spans="1:14" ht="46.5" x14ac:dyDescent="0.35">
      <c r="A54" s="357">
        <v>50</v>
      </c>
      <c r="B54" s="119" t="s">
        <v>178</v>
      </c>
      <c r="C54" s="27">
        <v>25832</v>
      </c>
      <c r="D54" s="27">
        <v>39882</v>
      </c>
      <c r="E54" s="27">
        <v>65714</v>
      </c>
      <c r="F54" s="27">
        <v>2721</v>
      </c>
      <c r="G54" s="27">
        <v>4369</v>
      </c>
      <c r="H54" s="27">
        <v>7090</v>
      </c>
      <c r="I54" s="27">
        <v>1180</v>
      </c>
      <c r="J54" s="27">
        <v>1694</v>
      </c>
      <c r="K54" s="27">
        <v>2874</v>
      </c>
      <c r="L54" s="27">
        <v>11193</v>
      </c>
      <c r="M54" s="27">
        <v>16743</v>
      </c>
      <c r="N54" s="27">
        <v>27936</v>
      </c>
    </row>
    <row r="55" spans="1:14" ht="35.25" customHeight="1" x14ac:dyDescent="0.35">
      <c r="A55" s="357">
        <v>51</v>
      </c>
      <c r="B55" s="119" t="s">
        <v>179</v>
      </c>
      <c r="C55" s="27">
        <v>2655</v>
      </c>
      <c r="D55" s="27">
        <v>1910</v>
      </c>
      <c r="E55" s="27">
        <v>4565</v>
      </c>
      <c r="F55" s="27">
        <v>545</v>
      </c>
      <c r="G55" s="27">
        <v>502</v>
      </c>
      <c r="H55" s="27">
        <v>1047</v>
      </c>
      <c r="I55" s="27">
        <v>840</v>
      </c>
      <c r="J55" s="27">
        <v>669</v>
      </c>
      <c r="K55" s="27">
        <v>1509</v>
      </c>
      <c r="L55" s="27">
        <v>456</v>
      </c>
      <c r="M55" s="27">
        <v>238</v>
      </c>
      <c r="N55" s="27">
        <v>694</v>
      </c>
    </row>
    <row r="56" spans="1:14" ht="31" x14ac:dyDescent="0.35">
      <c r="A56" s="357">
        <v>52</v>
      </c>
      <c r="B56" s="119" t="s">
        <v>180</v>
      </c>
      <c r="C56" s="27">
        <v>1291</v>
      </c>
      <c r="D56" s="27">
        <v>1394</v>
      </c>
      <c r="E56" s="27">
        <v>2685</v>
      </c>
      <c r="F56" s="27">
        <v>161</v>
      </c>
      <c r="G56" s="27">
        <v>177</v>
      </c>
      <c r="H56" s="27">
        <v>338</v>
      </c>
      <c r="I56" s="27">
        <v>17</v>
      </c>
      <c r="J56" s="27">
        <v>22</v>
      </c>
      <c r="K56" s="27">
        <v>39</v>
      </c>
      <c r="L56" s="27">
        <v>375</v>
      </c>
      <c r="M56" s="27">
        <v>321</v>
      </c>
      <c r="N56" s="27">
        <v>696</v>
      </c>
    </row>
    <row r="57" spans="1:14" ht="31" x14ac:dyDescent="0.35">
      <c r="A57" s="357">
        <v>53</v>
      </c>
      <c r="B57" s="119" t="s">
        <v>181</v>
      </c>
      <c r="C57" s="27">
        <v>1335</v>
      </c>
      <c r="D57" s="27">
        <v>860</v>
      </c>
      <c r="E57" s="27">
        <v>2195</v>
      </c>
      <c r="F57" s="27">
        <v>300</v>
      </c>
      <c r="G57" s="27">
        <v>156</v>
      </c>
      <c r="H57" s="27">
        <v>456</v>
      </c>
      <c r="I57" s="27">
        <v>192</v>
      </c>
      <c r="J57" s="27">
        <v>196</v>
      </c>
      <c r="K57" s="27">
        <v>388</v>
      </c>
      <c r="L57" s="27">
        <v>203</v>
      </c>
      <c r="M57" s="27">
        <v>103</v>
      </c>
      <c r="N57" s="27">
        <v>306</v>
      </c>
    </row>
    <row r="58" spans="1:14" ht="30" customHeight="1" x14ac:dyDescent="0.35">
      <c r="A58" s="357">
        <v>54</v>
      </c>
      <c r="B58" s="119" t="s">
        <v>182</v>
      </c>
      <c r="C58" s="27">
        <v>1062</v>
      </c>
      <c r="D58" s="27">
        <v>79</v>
      </c>
      <c r="E58" s="27">
        <v>1141</v>
      </c>
      <c r="F58" s="27">
        <v>4</v>
      </c>
      <c r="G58" s="27">
        <v>3</v>
      </c>
      <c r="H58" s="27">
        <v>7</v>
      </c>
      <c r="I58" s="27">
        <v>2</v>
      </c>
      <c r="J58" s="27">
        <v>1</v>
      </c>
      <c r="K58" s="27">
        <v>3</v>
      </c>
      <c r="L58" s="27">
        <v>15</v>
      </c>
      <c r="M58" s="27">
        <v>15</v>
      </c>
      <c r="N58" s="27">
        <v>30</v>
      </c>
    </row>
    <row r="59" spans="1:14" ht="31" x14ac:dyDescent="0.35">
      <c r="A59" s="357">
        <v>55</v>
      </c>
      <c r="B59" s="119" t="s">
        <v>183</v>
      </c>
      <c r="C59" s="27">
        <v>350</v>
      </c>
      <c r="D59" s="27">
        <v>466</v>
      </c>
      <c r="E59" s="27">
        <v>816</v>
      </c>
      <c r="F59" s="27">
        <v>29</v>
      </c>
      <c r="G59" s="27">
        <v>38</v>
      </c>
      <c r="H59" s="27">
        <v>67</v>
      </c>
      <c r="I59" s="27">
        <v>2</v>
      </c>
      <c r="J59" s="27">
        <v>1</v>
      </c>
      <c r="K59" s="27">
        <v>3</v>
      </c>
      <c r="L59" s="27">
        <v>210</v>
      </c>
      <c r="M59" s="27">
        <v>284</v>
      </c>
      <c r="N59" s="27">
        <v>494</v>
      </c>
    </row>
    <row r="60" spans="1:14" ht="15.5" x14ac:dyDescent="0.35">
      <c r="A60" s="357">
        <v>56</v>
      </c>
      <c r="B60" s="119" t="s">
        <v>184</v>
      </c>
      <c r="C60" s="27">
        <v>1040</v>
      </c>
      <c r="D60" s="27">
        <v>929</v>
      </c>
      <c r="E60" s="27">
        <v>1969</v>
      </c>
      <c r="F60" s="27">
        <v>172</v>
      </c>
      <c r="G60" s="27">
        <v>81</v>
      </c>
      <c r="H60" s="27">
        <v>253</v>
      </c>
      <c r="I60" s="27">
        <v>72</v>
      </c>
      <c r="J60" s="27">
        <v>19</v>
      </c>
      <c r="K60" s="27">
        <v>91</v>
      </c>
      <c r="L60" s="27">
        <v>214</v>
      </c>
      <c r="M60" s="27">
        <v>119</v>
      </c>
      <c r="N60" s="27">
        <v>333</v>
      </c>
    </row>
    <row r="61" spans="1:14" ht="30" customHeight="1" x14ac:dyDescent="0.35">
      <c r="A61" s="357">
        <v>57</v>
      </c>
      <c r="B61" s="119" t="s">
        <v>185</v>
      </c>
      <c r="C61" s="27">
        <v>9152</v>
      </c>
      <c r="D61" s="27">
        <v>10367</v>
      </c>
      <c r="E61" s="27">
        <v>19519</v>
      </c>
      <c r="F61" s="27">
        <v>1350</v>
      </c>
      <c r="G61" s="27">
        <v>1126</v>
      </c>
      <c r="H61" s="27">
        <v>2476</v>
      </c>
      <c r="I61" s="27">
        <v>485</v>
      </c>
      <c r="J61" s="27">
        <v>272</v>
      </c>
      <c r="K61" s="27">
        <v>757</v>
      </c>
      <c r="L61" s="27">
        <v>1476</v>
      </c>
      <c r="M61" s="27">
        <v>1435</v>
      </c>
      <c r="N61" s="27">
        <v>2911</v>
      </c>
    </row>
    <row r="62" spans="1:14" ht="15.5" x14ac:dyDescent="0.35">
      <c r="A62" s="357">
        <v>58</v>
      </c>
      <c r="B62" s="119" t="s">
        <v>186</v>
      </c>
      <c r="C62" s="27">
        <v>47857</v>
      </c>
      <c r="D62" s="27">
        <v>32420</v>
      </c>
      <c r="E62" s="27">
        <v>80277</v>
      </c>
      <c r="F62" s="27">
        <v>6813</v>
      </c>
      <c r="G62" s="27">
        <v>4672</v>
      </c>
      <c r="H62" s="27">
        <v>11485</v>
      </c>
      <c r="I62" s="27">
        <v>1072</v>
      </c>
      <c r="J62" s="27">
        <v>792</v>
      </c>
      <c r="K62" s="27">
        <v>1864</v>
      </c>
      <c r="L62" s="27">
        <v>15308</v>
      </c>
      <c r="M62" s="27">
        <v>9531</v>
      </c>
      <c r="N62" s="27">
        <v>24839</v>
      </c>
    </row>
    <row r="63" spans="1:14" ht="31" x14ac:dyDescent="0.35">
      <c r="A63" s="357">
        <v>59</v>
      </c>
      <c r="B63" s="119" t="s">
        <v>187</v>
      </c>
      <c r="C63" s="27">
        <v>9587</v>
      </c>
      <c r="D63" s="27">
        <v>7854</v>
      </c>
      <c r="E63" s="27">
        <v>17441</v>
      </c>
      <c r="F63" s="27">
        <v>1251</v>
      </c>
      <c r="G63" s="27">
        <v>956</v>
      </c>
      <c r="H63" s="27">
        <v>2207</v>
      </c>
      <c r="I63" s="27">
        <v>295</v>
      </c>
      <c r="J63" s="27">
        <v>321</v>
      </c>
      <c r="K63" s="27">
        <v>616</v>
      </c>
      <c r="L63" s="27">
        <v>4352</v>
      </c>
      <c r="M63" s="27">
        <v>3428</v>
      </c>
      <c r="N63" s="27">
        <v>7780</v>
      </c>
    </row>
    <row r="64" spans="1:14" ht="31" x14ac:dyDescent="0.35">
      <c r="A64" s="357">
        <v>60</v>
      </c>
      <c r="B64" s="119" t="s">
        <v>188</v>
      </c>
      <c r="C64" s="27">
        <v>3169</v>
      </c>
      <c r="D64" s="27">
        <v>3263</v>
      </c>
      <c r="E64" s="27">
        <v>6432</v>
      </c>
      <c r="F64" s="27">
        <v>600</v>
      </c>
      <c r="G64" s="27">
        <v>536</v>
      </c>
      <c r="H64" s="27">
        <v>1136</v>
      </c>
      <c r="I64" s="27">
        <v>311</v>
      </c>
      <c r="J64" s="27">
        <v>210</v>
      </c>
      <c r="K64" s="27">
        <v>521</v>
      </c>
      <c r="L64" s="27">
        <v>1010</v>
      </c>
      <c r="M64" s="27">
        <v>1250</v>
      </c>
      <c r="N64" s="27">
        <v>2260</v>
      </c>
    </row>
    <row r="65" spans="1:14" ht="15.5" x14ac:dyDescent="0.35">
      <c r="A65" s="357">
        <v>61</v>
      </c>
      <c r="B65" s="119" t="s">
        <v>189</v>
      </c>
      <c r="C65" s="27">
        <v>1603</v>
      </c>
      <c r="D65" s="27">
        <v>2698</v>
      </c>
      <c r="E65" s="27">
        <v>4301</v>
      </c>
      <c r="F65" s="27">
        <v>469</v>
      </c>
      <c r="G65" s="27">
        <v>690</v>
      </c>
      <c r="H65" s="27">
        <v>1159</v>
      </c>
      <c r="I65" s="27">
        <v>84</v>
      </c>
      <c r="J65" s="27">
        <v>90</v>
      </c>
      <c r="K65" s="27">
        <v>174</v>
      </c>
      <c r="L65" s="27">
        <v>877</v>
      </c>
      <c r="M65" s="27">
        <v>1682</v>
      </c>
      <c r="N65" s="27">
        <v>2559</v>
      </c>
    </row>
    <row r="66" spans="1:14" ht="31" x14ac:dyDescent="0.35">
      <c r="A66" s="357">
        <v>62</v>
      </c>
      <c r="B66" s="119" t="s">
        <v>190</v>
      </c>
      <c r="C66" s="27">
        <v>13447</v>
      </c>
      <c r="D66" s="27">
        <v>12143</v>
      </c>
      <c r="E66" s="27">
        <v>25590</v>
      </c>
      <c r="F66" s="27">
        <v>1807</v>
      </c>
      <c r="G66" s="27">
        <v>1738</v>
      </c>
      <c r="H66" s="27">
        <v>3545</v>
      </c>
      <c r="I66" s="27">
        <v>1148</v>
      </c>
      <c r="J66" s="27">
        <v>1120</v>
      </c>
      <c r="K66" s="27">
        <v>2268</v>
      </c>
      <c r="L66" s="27">
        <v>5309</v>
      </c>
      <c r="M66" s="27">
        <v>5354</v>
      </c>
      <c r="N66" s="27">
        <v>10663</v>
      </c>
    </row>
    <row r="67" spans="1:14" ht="18.75" customHeight="1" x14ac:dyDescent="0.35">
      <c r="A67" s="357">
        <v>63</v>
      </c>
      <c r="B67" s="119" t="s">
        <v>191</v>
      </c>
      <c r="C67" s="27">
        <v>1575</v>
      </c>
      <c r="D67" s="27">
        <v>1408</v>
      </c>
      <c r="E67" s="27">
        <v>2983</v>
      </c>
      <c r="F67" s="27">
        <v>254</v>
      </c>
      <c r="G67" s="27">
        <v>169</v>
      </c>
      <c r="H67" s="27">
        <v>423</v>
      </c>
      <c r="I67" s="27">
        <v>59</v>
      </c>
      <c r="J67" s="27">
        <v>58</v>
      </c>
      <c r="K67" s="27">
        <v>117</v>
      </c>
      <c r="L67" s="27">
        <v>503</v>
      </c>
      <c r="M67" s="27">
        <v>371</v>
      </c>
      <c r="N67" s="27">
        <v>874</v>
      </c>
    </row>
    <row r="68" spans="1:14" ht="31" x14ac:dyDescent="0.35">
      <c r="A68" s="357">
        <v>64</v>
      </c>
      <c r="B68" s="119" t="s">
        <v>192</v>
      </c>
      <c r="C68" s="27">
        <v>35918</v>
      </c>
      <c r="D68" s="27">
        <v>28826</v>
      </c>
      <c r="E68" s="27">
        <v>64744</v>
      </c>
      <c r="F68" s="27">
        <v>2327</v>
      </c>
      <c r="G68" s="27">
        <v>2205</v>
      </c>
      <c r="H68" s="27">
        <v>4532</v>
      </c>
      <c r="I68" s="27">
        <v>395</v>
      </c>
      <c r="J68" s="27">
        <v>304</v>
      </c>
      <c r="K68" s="27">
        <v>699</v>
      </c>
      <c r="L68" s="27">
        <v>4515</v>
      </c>
      <c r="M68" s="27">
        <v>3600</v>
      </c>
      <c r="N68" s="27">
        <v>8115</v>
      </c>
    </row>
    <row r="69" spans="1:14" ht="15.5" x14ac:dyDescent="0.35">
      <c r="A69" s="357">
        <v>65</v>
      </c>
      <c r="B69" s="119" t="s">
        <v>193</v>
      </c>
      <c r="C69" s="27">
        <v>758</v>
      </c>
      <c r="D69" s="27">
        <v>934</v>
      </c>
      <c r="E69" s="27">
        <v>1692</v>
      </c>
      <c r="F69" s="27">
        <v>77</v>
      </c>
      <c r="G69" s="27">
        <v>122</v>
      </c>
      <c r="H69" s="27">
        <v>199</v>
      </c>
      <c r="I69" s="27">
        <v>258</v>
      </c>
      <c r="J69" s="27">
        <v>187</v>
      </c>
      <c r="K69" s="27">
        <v>445</v>
      </c>
      <c r="L69" s="27">
        <v>148</v>
      </c>
      <c r="M69" s="27">
        <v>283</v>
      </c>
      <c r="N69" s="27">
        <v>431</v>
      </c>
    </row>
    <row r="70" spans="1:14" ht="31" x14ac:dyDescent="0.35">
      <c r="A70" s="357">
        <v>66</v>
      </c>
      <c r="B70" s="119" t="s">
        <v>194</v>
      </c>
      <c r="C70" s="27">
        <v>4451</v>
      </c>
      <c r="D70" s="27">
        <v>7280</v>
      </c>
      <c r="E70" s="27">
        <v>11731</v>
      </c>
      <c r="F70" s="27">
        <v>747</v>
      </c>
      <c r="G70" s="27">
        <v>1522</v>
      </c>
      <c r="H70" s="27">
        <v>2269</v>
      </c>
      <c r="I70" s="27">
        <v>150</v>
      </c>
      <c r="J70" s="27">
        <v>184</v>
      </c>
      <c r="K70" s="27">
        <v>334</v>
      </c>
      <c r="L70" s="27">
        <v>2038</v>
      </c>
      <c r="M70" s="27">
        <v>3929</v>
      </c>
      <c r="N70" s="27">
        <v>5967</v>
      </c>
    </row>
    <row r="71" spans="1:14" ht="46.5" x14ac:dyDescent="0.35">
      <c r="A71" s="357">
        <v>67</v>
      </c>
      <c r="B71" s="119" t="s">
        <v>195</v>
      </c>
      <c r="C71" s="27">
        <v>600</v>
      </c>
      <c r="D71" s="27">
        <v>908</v>
      </c>
      <c r="E71" s="27">
        <v>1508</v>
      </c>
      <c r="F71" s="27">
        <v>42</v>
      </c>
      <c r="G71" s="27">
        <v>91</v>
      </c>
      <c r="H71" s="27">
        <v>133</v>
      </c>
      <c r="I71" s="27">
        <v>30</v>
      </c>
      <c r="J71" s="27">
        <v>46</v>
      </c>
      <c r="K71" s="27">
        <v>76</v>
      </c>
      <c r="L71" s="27">
        <v>275</v>
      </c>
      <c r="M71" s="27">
        <v>332</v>
      </c>
      <c r="N71" s="27">
        <v>607</v>
      </c>
    </row>
    <row r="72" spans="1:14" ht="31" x14ac:dyDescent="0.35">
      <c r="A72" s="357">
        <v>68</v>
      </c>
      <c r="B72" s="119" t="s">
        <v>196</v>
      </c>
      <c r="C72" s="27">
        <v>441</v>
      </c>
      <c r="D72" s="27">
        <v>850</v>
      </c>
      <c r="E72" s="27">
        <v>1291</v>
      </c>
      <c r="F72" s="27">
        <v>48</v>
      </c>
      <c r="G72" s="27">
        <v>185</v>
      </c>
      <c r="H72" s="27">
        <v>233</v>
      </c>
      <c r="I72" s="27">
        <v>50</v>
      </c>
      <c r="J72" s="27">
        <v>71</v>
      </c>
      <c r="K72" s="27">
        <v>121</v>
      </c>
      <c r="L72" s="27">
        <v>98</v>
      </c>
      <c r="M72" s="27">
        <v>289</v>
      </c>
      <c r="N72" s="27">
        <v>387</v>
      </c>
    </row>
    <row r="73" spans="1:14" ht="31" x14ac:dyDescent="0.35">
      <c r="A73" s="357">
        <v>69</v>
      </c>
      <c r="B73" s="119" t="s">
        <v>197</v>
      </c>
      <c r="C73" s="27">
        <v>2530</v>
      </c>
      <c r="D73" s="27">
        <v>4098</v>
      </c>
      <c r="E73" s="27">
        <v>6628</v>
      </c>
      <c r="F73" s="27">
        <v>268</v>
      </c>
      <c r="G73" s="27">
        <v>382</v>
      </c>
      <c r="H73" s="27">
        <v>650</v>
      </c>
      <c r="I73" s="27">
        <v>55</v>
      </c>
      <c r="J73" s="27">
        <v>69</v>
      </c>
      <c r="K73" s="27">
        <v>124</v>
      </c>
      <c r="L73" s="27">
        <v>936</v>
      </c>
      <c r="M73" s="27">
        <v>1632</v>
      </c>
      <c r="N73" s="27">
        <v>2568</v>
      </c>
    </row>
    <row r="74" spans="1:14" ht="31" x14ac:dyDescent="0.35">
      <c r="A74" s="357">
        <v>70</v>
      </c>
      <c r="B74" s="119" t="s">
        <v>198</v>
      </c>
      <c r="C74" s="27">
        <v>3875</v>
      </c>
      <c r="D74" s="27">
        <v>5651</v>
      </c>
      <c r="E74" s="27">
        <v>9526</v>
      </c>
      <c r="F74" s="27">
        <v>323</v>
      </c>
      <c r="G74" s="27">
        <v>481</v>
      </c>
      <c r="H74" s="27">
        <v>804</v>
      </c>
      <c r="I74" s="27">
        <v>146</v>
      </c>
      <c r="J74" s="27">
        <v>279</v>
      </c>
      <c r="K74" s="27">
        <v>425</v>
      </c>
      <c r="L74" s="27">
        <v>1048</v>
      </c>
      <c r="M74" s="27">
        <v>2078</v>
      </c>
      <c r="N74" s="27">
        <v>3126</v>
      </c>
    </row>
    <row r="75" spans="1:14" ht="31" x14ac:dyDescent="0.35">
      <c r="A75" s="357">
        <v>71</v>
      </c>
      <c r="B75" s="119" t="s">
        <v>199</v>
      </c>
      <c r="C75" s="27">
        <v>4655</v>
      </c>
      <c r="D75" s="27">
        <v>4803</v>
      </c>
      <c r="E75" s="27">
        <v>9458</v>
      </c>
      <c r="F75" s="27">
        <v>668</v>
      </c>
      <c r="G75" s="27">
        <v>529</v>
      </c>
      <c r="H75" s="27">
        <v>1197</v>
      </c>
      <c r="I75" s="27">
        <v>196</v>
      </c>
      <c r="J75" s="27">
        <v>217</v>
      </c>
      <c r="K75" s="27">
        <v>413</v>
      </c>
      <c r="L75" s="27">
        <v>1552</v>
      </c>
      <c r="M75" s="27">
        <v>1438</v>
      </c>
      <c r="N75" s="27">
        <v>2990</v>
      </c>
    </row>
    <row r="76" spans="1:14" ht="31" x14ac:dyDescent="0.35">
      <c r="A76" s="357">
        <v>72</v>
      </c>
      <c r="B76" s="119" t="s">
        <v>200</v>
      </c>
      <c r="C76" s="27">
        <v>17030</v>
      </c>
      <c r="D76" s="27">
        <v>5931</v>
      </c>
      <c r="E76" s="27">
        <v>22961</v>
      </c>
      <c r="F76" s="27">
        <v>3150</v>
      </c>
      <c r="G76" s="27">
        <v>1011</v>
      </c>
      <c r="H76" s="27">
        <v>4161</v>
      </c>
      <c r="I76" s="27">
        <v>1283</v>
      </c>
      <c r="J76" s="27">
        <v>542</v>
      </c>
      <c r="K76" s="27">
        <v>1825</v>
      </c>
      <c r="L76" s="27">
        <v>5096</v>
      </c>
      <c r="M76" s="27">
        <v>1938</v>
      </c>
      <c r="N76" s="27">
        <v>7034</v>
      </c>
    </row>
    <row r="77" spans="1:14" ht="31" x14ac:dyDescent="0.35">
      <c r="A77" s="357">
        <v>73</v>
      </c>
      <c r="B77" s="119" t="s">
        <v>201</v>
      </c>
      <c r="C77" s="27">
        <v>993</v>
      </c>
      <c r="D77" s="27">
        <v>261</v>
      </c>
      <c r="E77" s="27">
        <v>1254</v>
      </c>
      <c r="F77" s="27">
        <v>113</v>
      </c>
      <c r="G77" s="27">
        <v>36</v>
      </c>
      <c r="H77" s="27">
        <v>149</v>
      </c>
      <c r="I77" s="27">
        <v>68</v>
      </c>
      <c r="J77" s="27">
        <v>15</v>
      </c>
      <c r="K77" s="27">
        <v>83</v>
      </c>
      <c r="L77" s="27">
        <v>368</v>
      </c>
      <c r="M77" s="27">
        <v>90</v>
      </c>
      <c r="N77" s="27">
        <v>458</v>
      </c>
    </row>
    <row r="78" spans="1:14" ht="31" x14ac:dyDescent="0.35">
      <c r="A78" s="357">
        <v>74</v>
      </c>
      <c r="B78" s="119" t="s">
        <v>202</v>
      </c>
      <c r="C78" s="27">
        <v>38221</v>
      </c>
      <c r="D78" s="27">
        <v>17851</v>
      </c>
      <c r="E78" s="27">
        <v>56072</v>
      </c>
      <c r="F78" s="27">
        <v>6044</v>
      </c>
      <c r="G78" s="27">
        <v>2838</v>
      </c>
      <c r="H78" s="27">
        <v>8882</v>
      </c>
      <c r="I78" s="27">
        <v>2605</v>
      </c>
      <c r="J78" s="27">
        <v>1473</v>
      </c>
      <c r="K78" s="27">
        <v>4078</v>
      </c>
      <c r="L78" s="27">
        <v>12191</v>
      </c>
      <c r="M78" s="27">
        <v>6087</v>
      </c>
      <c r="N78" s="27">
        <v>18278</v>
      </c>
    </row>
    <row r="79" spans="1:14" ht="31" x14ac:dyDescent="0.35">
      <c r="A79" s="357">
        <v>75</v>
      </c>
      <c r="B79" s="119" t="s">
        <v>203</v>
      </c>
      <c r="C79" s="27">
        <v>160</v>
      </c>
      <c r="D79" s="27">
        <v>173</v>
      </c>
      <c r="E79" s="27">
        <v>333</v>
      </c>
      <c r="F79" s="27">
        <v>22</v>
      </c>
      <c r="G79" s="27">
        <v>25</v>
      </c>
      <c r="H79" s="27">
        <v>47</v>
      </c>
      <c r="I79" s="27">
        <v>3</v>
      </c>
      <c r="J79" s="27">
        <v>4</v>
      </c>
      <c r="K79" s="27">
        <v>7</v>
      </c>
      <c r="L79" s="27">
        <v>44</v>
      </c>
      <c r="M79" s="27">
        <v>40</v>
      </c>
      <c r="N79" s="27">
        <v>84</v>
      </c>
    </row>
    <row r="80" spans="1:14" ht="31" x14ac:dyDescent="0.35">
      <c r="A80" s="357">
        <v>76</v>
      </c>
      <c r="B80" s="119" t="s">
        <v>204</v>
      </c>
      <c r="C80" s="27">
        <v>262</v>
      </c>
      <c r="D80" s="27">
        <v>293</v>
      </c>
      <c r="E80" s="27">
        <v>555</v>
      </c>
      <c r="F80" s="27">
        <v>10</v>
      </c>
      <c r="G80" s="27">
        <v>10</v>
      </c>
      <c r="H80" s="27">
        <v>20</v>
      </c>
      <c r="I80" s="27">
        <v>54</v>
      </c>
      <c r="J80" s="27">
        <v>47</v>
      </c>
      <c r="K80" s="27">
        <v>101</v>
      </c>
      <c r="L80" s="27">
        <v>60</v>
      </c>
      <c r="M80" s="27">
        <v>84</v>
      </c>
      <c r="N80" s="27">
        <v>144</v>
      </c>
    </row>
    <row r="81" spans="1:14" ht="19.5" customHeight="1" x14ac:dyDescent="0.35">
      <c r="A81" s="357">
        <v>77</v>
      </c>
      <c r="B81" s="119" t="s">
        <v>205</v>
      </c>
      <c r="C81" s="27">
        <v>43405</v>
      </c>
      <c r="D81" s="27">
        <v>73034</v>
      </c>
      <c r="E81" s="27">
        <v>116439</v>
      </c>
      <c r="F81" s="27">
        <v>5438</v>
      </c>
      <c r="G81" s="27">
        <v>8648</v>
      </c>
      <c r="H81" s="27">
        <v>14086</v>
      </c>
      <c r="I81" s="27">
        <v>1919</v>
      </c>
      <c r="J81" s="27">
        <v>2756</v>
      </c>
      <c r="K81" s="27">
        <v>4675</v>
      </c>
      <c r="L81" s="27">
        <v>16076</v>
      </c>
      <c r="M81" s="27">
        <v>26035</v>
      </c>
      <c r="N81" s="27">
        <v>42111</v>
      </c>
    </row>
    <row r="82" spans="1:14" ht="31" x14ac:dyDescent="0.35">
      <c r="A82" s="357">
        <v>78</v>
      </c>
      <c r="B82" s="119" t="s">
        <v>206</v>
      </c>
      <c r="C82" s="27">
        <v>369</v>
      </c>
      <c r="D82" s="27">
        <v>389</v>
      </c>
      <c r="E82" s="27">
        <v>758</v>
      </c>
      <c r="F82" s="27">
        <v>71</v>
      </c>
      <c r="G82" s="27">
        <v>68</v>
      </c>
      <c r="H82" s="27">
        <v>139</v>
      </c>
      <c r="I82" s="27">
        <v>22</v>
      </c>
      <c r="J82" s="27">
        <v>24</v>
      </c>
      <c r="K82" s="27">
        <v>46</v>
      </c>
      <c r="L82" s="27">
        <v>102</v>
      </c>
      <c r="M82" s="27">
        <v>115</v>
      </c>
      <c r="N82" s="27">
        <v>217</v>
      </c>
    </row>
    <row r="83" spans="1:14" ht="15.5" x14ac:dyDescent="0.35">
      <c r="A83" s="357">
        <v>79</v>
      </c>
      <c r="B83" s="119" t="s">
        <v>207</v>
      </c>
      <c r="C83" s="27">
        <v>358079</v>
      </c>
      <c r="D83" s="27">
        <v>232681</v>
      </c>
      <c r="E83" s="27">
        <v>590760</v>
      </c>
      <c r="F83" s="27">
        <v>39978</v>
      </c>
      <c r="G83" s="27">
        <v>29721</v>
      </c>
      <c r="H83" s="27">
        <v>69699</v>
      </c>
      <c r="I83" s="27">
        <v>10516</v>
      </c>
      <c r="J83" s="27">
        <v>8525</v>
      </c>
      <c r="K83" s="27">
        <v>19041</v>
      </c>
      <c r="L83" s="27">
        <v>153320</v>
      </c>
      <c r="M83" s="27">
        <v>103464</v>
      </c>
      <c r="N83" s="27">
        <v>256784</v>
      </c>
    </row>
    <row r="84" spans="1:14" ht="15.5" x14ac:dyDescent="0.35">
      <c r="A84" s="357">
        <v>80</v>
      </c>
      <c r="B84" s="119" t="s">
        <v>208</v>
      </c>
      <c r="C84" s="27">
        <v>689</v>
      </c>
      <c r="D84" s="27">
        <v>593</v>
      </c>
      <c r="E84" s="27">
        <v>1282</v>
      </c>
      <c r="F84" s="27">
        <v>94</v>
      </c>
      <c r="G84" s="27">
        <v>64</v>
      </c>
      <c r="H84" s="27">
        <v>158</v>
      </c>
      <c r="I84" s="27">
        <v>38</v>
      </c>
      <c r="J84" s="27">
        <v>34</v>
      </c>
      <c r="K84" s="27">
        <v>72</v>
      </c>
      <c r="L84" s="27">
        <v>209</v>
      </c>
      <c r="M84" s="27">
        <v>209</v>
      </c>
      <c r="N84" s="27">
        <v>418</v>
      </c>
    </row>
    <row r="85" spans="1:14" ht="15.5" x14ac:dyDescent="0.35">
      <c r="A85" s="357">
        <v>81</v>
      </c>
      <c r="B85" s="119" t="s">
        <v>209</v>
      </c>
      <c r="C85" s="27">
        <v>4150</v>
      </c>
      <c r="D85" s="27">
        <v>1431</v>
      </c>
      <c r="E85" s="27">
        <v>5581</v>
      </c>
      <c r="F85" s="27">
        <v>373</v>
      </c>
      <c r="G85" s="27">
        <v>202</v>
      </c>
      <c r="H85" s="27">
        <v>575</v>
      </c>
      <c r="I85" s="27">
        <v>805</v>
      </c>
      <c r="J85" s="27">
        <v>604</v>
      </c>
      <c r="K85" s="27">
        <v>1409</v>
      </c>
      <c r="L85" s="27">
        <v>1657</v>
      </c>
      <c r="M85" s="27">
        <v>413</v>
      </c>
      <c r="N85" s="27">
        <v>2070</v>
      </c>
    </row>
    <row r="86" spans="1:14" ht="31" x14ac:dyDescent="0.35">
      <c r="A86" s="357">
        <v>82</v>
      </c>
      <c r="B86" s="119" t="s">
        <v>210</v>
      </c>
      <c r="C86" s="27">
        <v>6315</v>
      </c>
      <c r="D86" s="27">
        <v>5653</v>
      </c>
      <c r="E86" s="27">
        <v>11968</v>
      </c>
      <c r="F86" s="27">
        <v>849</v>
      </c>
      <c r="G86" s="27">
        <v>814</v>
      </c>
      <c r="H86" s="27">
        <v>1663</v>
      </c>
      <c r="I86" s="27">
        <v>342</v>
      </c>
      <c r="J86" s="27">
        <v>287</v>
      </c>
      <c r="K86" s="27">
        <v>629</v>
      </c>
      <c r="L86" s="27">
        <v>1670</v>
      </c>
      <c r="M86" s="27">
        <v>1762</v>
      </c>
      <c r="N86" s="27">
        <v>3432</v>
      </c>
    </row>
    <row r="87" spans="1:14" ht="62" x14ac:dyDescent="0.35">
      <c r="A87" s="357">
        <v>83</v>
      </c>
      <c r="B87" s="119" t="s">
        <v>211</v>
      </c>
      <c r="C87" s="27">
        <v>1491</v>
      </c>
      <c r="D87" s="27">
        <v>2465</v>
      </c>
      <c r="E87" s="27">
        <v>3956</v>
      </c>
      <c r="F87" s="27">
        <v>191</v>
      </c>
      <c r="G87" s="27">
        <v>320</v>
      </c>
      <c r="H87" s="27">
        <v>511</v>
      </c>
      <c r="I87" s="27">
        <v>48</v>
      </c>
      <c r="J87" s="27">
        <v>43</v>
      </c>
      <c r="K87" s="27">
        <v>91</v>
      </c>
      <c r="L87" s="27">
        <v>575</v>
      </c>
      <c r="M87" s="27">
        <v>1541</v>
      </c>
      <c r="N87" s="27">
        <v>2116</v>
      </c>
    </row>
    <row r="88" spans="1:14" ht="31" x14ac:dyDescent="0.35">
      <c r="A88" s="357">
        <v>84</v>
      </c>
      <c r="B88" s="119" t="s">
        <v>212</v>
      </c>
      <c r="C88" s="27">
        <v>643</v>
      </c>
      <c r="D88" s="27">
        <v>2650</v>
      </c>
      <c r="E88" s="27">
        <v>3293</v>
      </c>
      <c r="F88" s="27">
        <v>147</v>
      </c>
      <c r="G88" s="27">
        <v>530</v>
      </c>
      <c r="H88" s="27">
        <v>677</v>
      </c>
      <c r="I88" s="27">
        <v>12</v>
      </c>
      <c r="J88" s="27">
        <v>35</v>
      </c>
      <c r="K88" s="27">
        <v>47</v>
      </c>
      <c r="L88" s="27">
        <v>445</v>
      </c>
      <c r="M88" s="27">
        <v>1942</v>
      </c>
      <c r="N88" s="27">
        <v>2387</v>
      </c>
    </row>
    <row r="89" spans="1:14" ht="31" x14ac:dyDescent="0.35">
      <c r="A89" s="357">
        <v>85</v>
      </c>
      <c r="B89" s="119" t="s">
        <v>213</v>
      </c>
      <c r="C89" s="27">
        <v>673</v>
      </c>
      <c r="D89" s="27">
        <v>1102</v>
      </c>
      <c r="E89" s="27">
        <v>1775</v>
      </c>
      <c r="F89" s="27">
        <v>136</v>
      </c>
      <c r="G89" s="27">
        <v>228</v>
      </c>
      <c r="H89" s="27">
        <v>364</v>
      </c>
      <c r="I89" s="27">
        <v>12</v>
      </c>
      <c r="J89" s="27">
        <v>15</v>
      </c>
      <c r="K89" s="27">
        <v>27</v>
      </c>
      <c r="L89" s="27">
        <v>279</v>
      </c>
      <c r="M89" s="27">
        <v>430</v>
      </c>
      <c r="N89" s="27">
        <v>709</v>
      </c>
    </row>
    <row r="90" spans="1:14" ht="15.5" x14ac:dyDescent="0.35">
      <c r="A90" s="357">
        <v>86</v>
      </c>
      <c r="B90" s="119" t="s">
        <v>214</v>
      </c>
      <c r="C90" s="27">
        <v>11504</v>
      </c>
      <c r="D90" s="27">
        <v>11777</v>
      </c>
      <c r="E90" s="27">
        <v>23281</v>
      </c>
      <c r="F90" s="27">
        <v>2514</v>
      </c>
      <c r="G90" s="27">
        <v>2162</v>
      </c>
      <c r="H90" s="27">
        <v>4676</v>
      </c>
      <c r="I90" s="27">
        <v>2131</v>
      </c>
      <c r="J90" s="27">
        <v>2535</v>
      </c>
      <c r="K90" s="27">
        <v>4666</v>
      </c>
      <c r="L90" s="27">
        <v>4096</v>
      </c>
      <c r="M90" s="27">
        <v>4229</v>
      </c>
      <c r="N90" s="27">
        <v>8325</v>
      </c>
    </row>
    <row r="91" spans="1:14" ht="31" x14ac:dyDescent="0.35">
      <c r="A91" s="357">
        <v>87</v>
      </c>
      <c r="B91" s="119" t="s">
        <v>215</v>
      </c>
      <c r="C91" s="27">
        <v>232</v>
      </c>
      <c r="D91" s="27">
        <v>180</v>
      </c>
      <c r="E91" s="27">
        <v>412</v>
      </c>
      <c r="F91" s="27">
        <v>21</v>
      </c>
      <c r="G91" s="27">
        <v>12</v>
      </c>
      <c r="H91" s="27">
        <v>33</v>
      </c>
      <c r="I91" s="27">
        <v>6</v>
      </c>
      <c r="J91" s="27">
        <v>3</v>
      </c>
      <c r="K91" s="27">
        <v>9</v>
      </c>
      <c r="L91" s="27">
        <v>119</v>
      </c>
      <c r="M91" s="27">
        <v>74</v>
      </c>
      <c r="N91" s="27">
        <v>193</v>
      </c>
    </row>
    <row r="92" spans="1:14" ht="31" x14ac:dyDescent="0.35">
      <c r="A92" s="357">
        <v>88</v>
      </c>
      <c r="B92" s="119" t="s">
        <v>216</v>
      </c>
      <c r="C92" s="27">
        <v>1181</v>
      </c>
      <c r="D92" s="27">
        <v>1148</v>
      </c>
      <c r="E92" s="27">
        <v>2329</v>
      </c>
      <c r="F92" s="27">
        <v>110</v>
      </c>
      <c r="G92" s="27">
        <v>90</v>
      </c>
      <c r="H92" s="27">
        <v>200</v>
      </c>
      <c r="I92" s="27">
        <v>61</v>
      </c>
      <c r="J92" s="27">
        <v>56</v>
      </c>
      <c r="K92" s="27">
        <v>117</v>
      </c>
      <c r="L92" s="27">
        <v>419</v>
      </c>
      <c r="M92" s="27">
        <v>503</v>
      </c>
      <c r="N92" s="27">
        <v>922</v>
      </c>
    </row>
    <row r="93" spans="1:14" ht="31" x14ac:dyDescent="0.35">
      <c r="A93" s="357">
        <v>89</v>
      </c>
      <c r="B93" s="119" t="s">
        <v>217</v>
      </c>
      <c r="C93" s="27">
        <v>1252</v>
      </c>
      <c r="D93" s="27">
        <v>1615</v>
      </c>
      <c r="E93" s="27">
        <v>2867</v>
      </c>
      <c r="F93" s="27">
        <v>147</v>
      </c>
      <c r="G93" s="27">
        <v>187</v>
      </c>
      <c r="H93" s="27">
        <v>334</v>
      </c>
      <c r="I93" s="27">
        <v>52</v>
      </c>
      <c r="J93" s="27">
        <v>74</v>
      </c>
      <c r="K93" s="27">
        <v>126</v>
      </c>
      <c r="L93" s="27">
        <v>365</v>
      </c>
      <c r="M93" s="27">
        <v>637</v>
      </c>
      <c r="N93" s="27">
        <v>1002</v>
      </c>
    </row>
    <row r="94" spans="1:14" ht="15.5" x14ac:dyDescent="0.35">
      <c r="A94" s="357">
        <v>90</v>
      </c>
      <c r="B94" s="119" t="s">
        <v>218</v>
      </c>
      <c r="C94" s="27">
        <v>2122</v>
      </c>
      <c r="D94" s="27">
        <v>1899</v>
      </c>
      <c r="E94" s="27">
        <v>4021</v>
      </c>
      <c r="F94" s="27">
        <v>187</v>
      </c>
      <c r="G94" s="27">
        <v>112</v>
      </c>
      <c r="H94" s="27">
        <v>299</v>
      </c>
      <c r="I94" s="27">
        <v>51</v>
      </c>
      <c r="J94" s="27">
        <v>52</v>
      </c>
      <c r="K94" s="27">
        <v>103</v>
      </c>
      <c r="L94" s="27">
        <v>814</v>
      </c>
      <c r="M94" s="27">
        <v>613</v>
      </c>
      <c r="N94" s="27">
        <v>1427</v>
      </c>
    </row>
    <row r="95" spans="1:14" ht="62" x14ac:dyDescent="0.35">
      <c r="A95" s="357">
        <v>91</v>
      </c>
      <c r="B95" s="119" t="s">
        <v>219</v>
      </c>
      <c r="C95" s="27">
        <v>15</v>
      </c>
      <c r="D95" s="27">
        <v>23</v>
      </c>
      <c r="E95" s="27">
        <v>38</v>
      </c>
      <c r="F95" s="27"/>
      <c r="G95" s="27">
        <v>2</v>
      </c>
      <c r="H95" s="27">
        <v>2</v>
      </c>
      <c r="I95" s="27"/>
      <c r="J95" s="27"/>
      <c r="K95" s="27"/>
      <c r="L95" s="27">
        <v>1</v>
      </c>
      <c r="M95" s="27">
        <v>5</v>
      </c>
      <c r="N95" s="27">
        <v>6</v>
      </c>
    </row>
    <row r="96" spans="1:14" ht="31" x14ac:dyDescent="0.35">
      <c r="A96" s="357">
        <v>92</v>
      </c>
      <c r="B96" s="119" t="s">
        <v>220</v>
      </c>
      <c r="C96" s="27">
        <v>34656</v>
      </c>
      <c r="D96" s="27">
        <v>40659</v>
      </c>
      <c r="E96" s="27">
        <v>75315</v>
      </c>
      <c r="F96" s="27">
        <v>6427</v>
      </c>
      <c r="G96" s="27">
        <v>7200</v>
      </c>
      <c r="H96" s="27">
        <v>13627</v>
      </c>
      <c r="I96" s="27">
        <v>6329</v>
      </c>
      <c r="J96" s="27">
        <v>5646</v>
      </c>
      <c r="K96" s="27">
        <v>11975</v>
      </c>
      <c r="L96" s="27">
        <v>13995</v>
      </c>
      <c r="M96" s="27">
        <v>16758</v>
      </c>
      <c r="N96" s="27">
        <v>30753</v>
      </c>
    </row>
    <row r="97" spans="1:14" ht="31" x14ac:dyDescent="0.35">
      <c r="A97" s="357">
        <v>93</v>
      </c>
      <c r="B97" s="119" t="s">
        <v>221</v>
      </c>
      <c r="C97" s="27">
        <v>1938</v>
      </c>
      <c r="D97" s="27">
        <v>539</v>
      </c>
      <c r="E97" s="27">
        <v>2477</v>
      </c>
      <c r="F97" s="27">
        <v>375</v>
      </c>
      <c r="G97" s="27">
        <v>109</v>
      </c>
      <c r="H97" s="27">
        <v>484</v>
      </c>
      <c r="I97" s="27">
        <v>67</v>
      </c>
      <c r="J97" s="27">
        <v>49</v>
      </c>
      <c r="K97" s="27">
        <v>116</v>
      </c>
      <c r="L97" s="27">
        <v>391</v>
      </c>
      <c r="M97" s="27">
        <v>72</v>
      </c>
      <c r="N97" s="27">
        <v>463</v>
      </c>
    </row>
    <row r="98" spans="1:14" ht="46.5" x14ac:dyDescent="0.35">
      <c r="A98" s="357">
        <v>94</v>
      </c>
      <c r="B98" s="119" t="s">
        <v>222</v>
      </c>
      <c r="C98" s="27">
        <v>322</v>
      </c>
      <c r="D98" s="27">
        <v>221</v>
      </c>
      <c r="E98" s="27">
        <v>543</v>
      </c>
      <c r="F98" s="27">
        <v>31</v>
      </c>
      <c r="G98" s="27">
        <v>29</v>
      </c>
      <c r="H98" s="27">
        <v>60</v>
      </c>
      <c r="I98" s="27">
        <v>25</v>
      </c>
      <c r="J98" s="27">
        <v>14</v>
      </c>
      <c r="K98" s="27">
        <v>39</v>
      </c>
      <c r="L98" s="27">
        <v>77</v>
      </c>
      <c r="M98" s="27">
        <v>42</v>
      </c>
      <c r="N98" s="27">
        <v>119</v>
      </c>
    </row>
    <row r="99" spans="1:14" ht="46.5" x14ac:dyDescent="0.35">
      <c r="A99" s="357">
        <v>95</v>
      </c>
      <c r="B99" s="119" t="s">
        <v>223</v>
      </c>
      <c r="C99" s="27">
        <v>1</v>
      </c>
      <c r="D99" s="27"/>
      <c r="E99" s="27">
        <v>1</v>
      </c>
      <c r="F99" s="27">
        <v>1</v>
      </c>
      <c r="G99" s="27"/>
      <c r="H99" s="27">
        <v>1</v>
      </c>
      <c r="I99" s="27"/>
      <c r="J99" s="27"/>
      <c r="K99" s="27"/>
      <c r="L99" s="27"/>
      <c r="M99" s="27"/>
      <c r="N99" s="27"/>
    </row>
    <row r="100" spans="1:14" ht="31" x14ac:dyDescent="0.35">
      <c r="A100" s="357">
        <v>96</v>
      </c>
      <c r="B100" s="119" t="s">
        <v>224</v>
      </c>
      <c r="C100" s="27">
        <v>323584</v>
      </c>
      <c r="D100" s="27">
        <v>314153</v>
      </c>
      <c r="E100" s="27">
        <v>637737</v>
      </c>
      <c r="F100" s="27">
        <v>46223</v>
      </c>
      <c r="G100" s="27">
        <v>38702</v>
      </c>
      <c r="H100" s="27">
        <v>84925</v>
      </c>
      <c r="I100" s="27">
        <v>19598</v>
      </c>
      <c r="J100" s="27">
        <v>19090</v>
      </c>
      <c r="K100" s="27">
        <v>38688</v>
      </c>
      <c r="L100" s="27">
        <v>147291</v>
      </c>
      <c r="M100" s="27">
        <v>129946</v>
      </c>
      <c r="N100" s="27">
        <v>277237</v>
      </c>
    </row>
    <row r="101" spans="1:14" ht="31" x14ac:dyDescent="0.35">
      <c r="A101" s="357">
        <v>97</v>
      </c>
      <c r="B101" s="119" t="s">
        <v>225</v>
      </c>
      <c r="C101" s="27">
        <v>142503</v>
      </c>
      <c r="D101" s="27">
        <v>402450</v>
      </c>
      <c r="E101" s="27">
        <v>544953</v>
      </c>
      <c r="F101" s="27">
        <v>22132</v>
      </c>
      <c r="G101" s="27">
        <v>72057</v>
      </c>
      <c r="H101" s="27">
        <v>94189</v>
      </c>
      <c r="I101" s="27">
        <v>10895</v>
      </c>
      <c r="J101" s="27">
        <v>37425</v>
      </c>
      <c r="K101" s="27">
        <v>48320</v>
      </c>
      <c r="L101" s="27">
        <v>57099</v>
      </c>
      <c r="M101" s="27">
        <v>143027</v>
      </c>
      <c r="N101" s="27">
        <v>200126</v>
      </c>
    </row>
    <row r="102" spans="1:14" ht="31" x14ac:dyDescent="0.35">
      <c r="A102" s="357">
        <v>98</v>
      </c>
      <c r="B102" s="119" t="s">
        <v>226</v>
      </c>
      <c r="C102" s="27">
        <v>9167</v>
      </c>
      <c r="D102" s="27">
        <v>39206</v>
      </c>
      <c r="E102" s="27">
        <v>48373</v>
      </c>
      <c r="F102" s="27">
        <v>1793</v>
      </c>
      <c r="G102" s="27">
        <v>7396</v>
      </c>
      <c r="H102" s="27">
        <v>9189</v>
      </c>
      <c r="I102" s="27">
        <v>929</v>
      </c>
      <c r="J102" s="27">
        <v>4556</v>
      </c>
      <c r="K102" s="27">
        <v>5485</v>
      </c>
      <c r="L102" s="27">
        <v>2695</v>
      </c>
      <c r="M102" s="27">
        <v>9912</v>
      </c>
      <c r="N102" s="27">
        <v>12607</v>
      </c>
    </row>
    <row r="103" spans="1:14" ht="46.5" x14ac:dyDescent="0.35">
      <c r="A103" s="357">
        <v>99</v>
      </c>
      <c r="B103" s="119" t="s">
        <v>227</v>
      </c>
      <c r="C103" s="27">
        <v>25</v>
      </c>
      <c r="D103" s="27">
        <v>17</v>
      </c>
      <c r="E103" s="27">
        <v>42</v>
      </c>
      <c r="F103" s="27">
        <v>3</v>
      </c>
      <c r="G103" s="27">
        <v>3</v>
      </c>
      <c r="H103" s="27">
        <v>6</v>
      </c>
      <c r="I103" s="27">
        <v>1</v>
      </c>
      <c r="J103" s="27"/>
      <c r="K103" s="27">
        <v>1</v>
      </c>
      <c r="L103" s="27">
        <v>2</v>
      </c>
      <c r="M103" s="27">
        <v>5</v>
      </c>
      <c r="N103" s="27">
        <v>7</v>
      </c>
    </row>
    <row r="104" spans="1:14" ht="31" x14ac:dyDescent="0.35">
      <c r="A104" s="357">
        <v>100</v>
      </c>
      <c r="B104" s="119" t="s">
        <v>228</v>
      </c>
      <c r="C104" s="27">
        <v>1349</v>
      </c>
      <c r="D104" s="27">
        <v>364</v>
      </c>
      <c r="E104" s="27">
        <v>1713</v>
      </c>
      <c r="F104" s="27">
        <v>154</v>
      </c>
      <c r="G104" s="27">
        <v>34</v>
      </c>
      <c r="H104" s="27">
        <v>188</v>
      </c>
      <c r="I104" s="27">
        <v>53</v>
      </c>
      <c r="J104" s="27">
        <v>29</v>
      </c>
      <c r="K104" s="27">
        <v>82</v>
      </c>
      <c r="L104" s="27">
        <v>759</v>
      </c>
      <c r="M104" s="27">
        <v>130</v>
      </c>
      <c r="N104" s="27">
        <v>889</v>
      </c>
    </row>
    <row r="105" spans="1:14" ht="15.5" x14ac:dyDescent="0.35">
      <c r="A105" s="357">
        <v>101</v>
      </c>
      <c r="B105" s="119" t="s">
        <v>229</v>
      </c>
      <c r="C105" s="27">
        <v>2066218</v>
      </c>
      <c r="D105" s="27">
        <v>2405869</v>
      </c>
      <c r="E105" s="27">
        <v>4472087</v>
      </c>
      <c r="F105" s="27">
        <v>340159</v>
      </c>
      <c r="G105" s="27">
        <v>377272</v>
      </c>
      <c r="H105" s="27">
        <v>717431</v>
      </c>
      <c r="I105" s="27">
        <v>107185</v>
      </c>
      <c r="J105" s="27">
        <v>135278</v>
      </c>
      <c r="K105" s="27">
        <v>242463</v>
      </c>
      <c r="L105" s="27">
        <v>955625</v>
      </c>
      <c r="M105" s="27">
        <v>1168142</v>
      </c>
      <c r="N105" s="27">
        <v>2123767</v>
      </c>
    </row>
    <row r="106" spans="1:14" ht="15.5" x14ac:dyDescent="0.35">
      <c r="A106" s="357">
        <v>102</v>
      </c>
      <c r="B106" s="119" t="s">
        <v>230</v>
      </c>
      <c r="C106" s="27">
        <v>1673</v>
      </c>
      <c r="D106" s="27">
        <v>987</v>
      </c>
      <c r="E106" s="27">
        <v>2660</v>
      </c>
      <c r="F106" s="27">
        <v>152</v>
      </c>
      <c r="G106" s="27">
        <v>84</v>
      </c>
      <c r="H106" s="27">
        <v>236</v>
      </c>
      <c r="I106" s="27">
        <v>111</v>
      </c>
      <c r="J106" s="27">
        <v>39</v>
      </c>
      <c r="K106" s="27">
        <v>150</v>
      </c>
      <c r="L106" s="27">
        <v>1139</v>
      </c>
      <c r="M106" s="27">
        <v>647</v>
      </c>
      <c r="N106" s="27">
        <v>1786</v>
      </c>
    </row>
    <row r="107" spans="1:14" ht="15.5" x14ac:dyDescent="0.35">
      <c r="A107" s="357">
        <v>103</v>
      </c>
      <c r="B107" s="119" t="s">
        <v>231</v>
      </c>
      <c r="C107" s="27">
        <v>2059888</v>
      </c>
      <c r="D107" s="27">
        <v>901816</v>
      </c>
      <c r="E107" s="27">
        <v>2961704</v>
      </c>
      <c r="F107" s="27">
        <v>208031</v>
      </c>
      <c r="G107" s="27">
        <v>94821</v>
      </c>
      <c r="H107" s="27">
        <v>302852</v>
      </c>
      <c r="I107" s="27">
        <v>68101</v>
      </c>
      <c r="J107" s="27">
        <v>29115</v>
      </c>
      <c r="K107" s="27">
        <v>97216</v>
      </c>
      <c r="L107" s="27">
        <v>762185</v>
      </c>
      <c r="M107" s="27">
        <v>358002</v>
      </c>
      <c r="N107" s="27">
        <v>1120187</v>
      </c>
    </row>
    <row r="108" spans="1:14" ht="46.5" x14ac:dyDescent="0.35">
      <c r="A108" s="357">
        <v>104</v>
      </c>
      <c r="B108" s="119" t="s">
        <v>232</v>
      </c>
      <c r="C108" s="27">
        <v>18875</v>
      </c>
      <c r="D108" s="27">
        <v>7415</v>
      </c>
      <c r="E108" s="27">
        <v>26290</v>
      </c>
      <c r="F108" s="27">
        <v>1975</v>
      </c>
      <c r="G108" s="27">
        <v>731</v>
      </c>
      <c r="H108" s="27">
        <v>2706</v>
      </c>
      <c r="I108" s="27">
        <v>921</v>
      </c>
      <c r="J108" s="27">
        <v>269</v>
      </c>
      <c r="K108" s="27">
        <v>1190</v>
      </c>
      <c r="L108" s="27">
        <v>6594</v>
      </c>
      <c r="M108" s="27">
        <v>2653</v>
      </c>
      <c r="N108" s="27">
        <v>9247</v>
      </c>
    </row>
    <row r="109" spans="1:14" ht="31" x14ac:dyDescent="0.35">
      <c r="A109" s="357">
        <v>105</v>
      </c>
      <c r="B109" s="119" t="s">
        <v>233</v>
      </c>
      <c r="C109" s="27">
        <v>3527</v>
      </c>
      <c r="D109" s="27">
        <v>5169</v>
      </c>
      <c r="E109" s="27">
        <v>8696</v>
      </c>
      <c r="F109" s="27">
        <v>69</v>
      </c>
      <c r="G109" s="27">
        <v>69</v>
      </c>
      <c r="H109" s="27">
        <v>138</v>
      </c>
      <c r="I109" s="27">
        <v>26</v>
      </c>
      <c r="J109" s="27">
        <v>28</v>
      </c>
      <c r="K109" s="27">
        <v>54</v>
      </c>
      <c r="L109" s="27">
        <v>1195</v>
      </c>
      <c r="M109" s="27">
        <v>1667</v>
      </c>
      <c r="N109" s="27">
        <v>2862</v>
      </c>
    </row>
    <row r="110" spans="1:14" ht="15.5" x14ac:dyDescent="0.35">
      <c r="A110" s="357">
        <v>106</v>
      </c>
      <c r="B110" s="119" t="s">
        <v>234</v>
      </c>
      <c r="C110" s="27">
        <v>1317</v>
      </c>
      <c r="D110" s="27">
        <v>1338</v>
      </c>
      <c r="E110" s="27">
        <v>2655</v>
      </c>
      <c r="F110" s="27">
        <v>158</v>
      </c>
      <c r="G110" s="27">
        <v>76</v>
      </c>
      <c r="H110" s="27">
        <v>234</v>
      </c>
      <c r="I110" s="27">
        <v>68</v>
      </c>
      <c r="J110" s="27">
        <v>30</v>
      </c>
      <c r="K110" s="27">
        <v>98</v>
      </c>
      <c r="L110" s="27">
        <v>362</v>
      </c>
      <c r="M110" s="27">
        <v>322</v>
      </c>
      <c r="N110" s="27">
        <v>684</v>
      </c>
    </row>
    <row r="111" spans="1:14" ht="46.5" x14ac:dyDescent="0.35">
      <c r="A111" s="357">
        <v>107</v>
      </c>
      <c r="B111" s="119" t="s">
        <v>235</v>
      </c>
      <c r="C111" s="27">
        <v>13096</v>
      </c>
      <c r="D111" s="27">
        <v>9298</v>
      </c>
      <c r="E111" s="27">
        <v>22394</v>
      </c>
      <c r="F111" s="27">
        <v>1759</v>
      </c>
      <c r="G111" s="27">
        <v>1184</v>
      </c>
      <c r="H111" s="27">
        <v>2943</v>
      </c>
      <c r="I111" s="27">
        <v>1028</v>
      </c>
      <c r="J111" s="27">
        <v>989</v>
      </c>
      <c r="K111" s="27">
        <v>2017</v>
      </c>
      <c r="L111" s="27">
        <v>5432</v>
      </c>
      <c r="M111" s="27">
        <v>3817</v>
      </c>
      <c r="N111" s="27">
        <v>9249</v>
      </c>
    </row>
    <row r="112" spans="1:14" ht="31" x14ac:dyDescent="0.35">
      <c r="A112" s="357">
        <v>108</v>
      </c>
      <c r="B112" s="119" t="s">
        <v>236</v>
      </c>
      <c r="C112" s="27">
        <v>3364</v>
      </c>
      <c r="D112" s="27">
        <v>2058</v>
      </c>
      <c r="E112" s="27">
        <v>5422</v>
      </c>
      <c r="F112" s="27">
        <v>342</v>
      </c>
      <c r="G112" s="27">
        <v>293</v>
      </c>
      <c r="H112" s="27">
        <v>635</v>
      </c>
      <c r="I112" s="27">
        <v>230</v>
      </c>
      <c r="J112" s="27">
        <v>179</v>
      </c>
      <c r="K112" s="27">
        <v>409</v>
      </c>
      <c r="L112" s="27">
        <v>1086</v>
      </c>
      <c r="M112" s="27">
        <v>634</v>
      </c>
      <c r="N112" s="27">
        <v>1720</v>
      </c>
    </row>
    <row r="113" spans="1:14" ht="15.5" x14ac:dyDescent="0.35">
      <c r="A113" s="357">
        <v>109</v>
      </c>
      <c r="B113" s="119" t="s">
        <v>237</v>
      </c>
      <c r="C113" s="27">
        <v>40913</v>
      </c>
      <c r="D113" s="27">
        <v>31815</v>
      </c>
      <c r="E113" s="27">
        <v>72728</v>
      </c>
      <c r="F113" s="27">
        <v>5486</v>
      </c>
      <c r="G113" s="27">
        <v>4619</v>
      </c>
      <c r="H113" s="27">
        <v>10105</v>
      </c>
      <c r="I113" s="27">
        <v>1316</v>
      </c>
      <c r="J113" s="27">
        <v>938</v>
      </c>
      <c r="K113" s="27">
        <v>2254</v>
      </c>
      <c r="L113" s="27">
        <v>13087</v>
      </c>
      <c r="M113" s="27">
        <v>9966</v>
      </c>
      <c r="N113" s="27">
        <v>23053</v>
      </c>
    </row>
    <row r="114" spans="1:14" ht="31" x14ac:dyDescent="0.35">
      <c r="A114" s="357">
        <v>110</v>
      </c>
      <c r="B114" s="119" t="s">
        <v>238</v>
      </c>
      <c r="C114" s="27">
        <v>915</v>
      </c>
      <c r="D114" s="27">
        <v>662</v>
      </c>
      <c r="E114" s="27">
        <v>1577</v>
      </c>
      <c r="F114" s="27">
        <v>138</v>
      </c>
      <c r="G114" s="27">
        <v>109</v>
      </c>
      <c r="H114" s="27">
        <v>247</v>
      </c>
      <c r="I114" s="27">
        <v>101</v>
      </c>
      <c r="J114" s="27">
        <v>74</v>
      </c>
      <c r="K114" s="27">
        <v>175</v>
      </c>
      <c r="L114" s="27">
        <v>394</v>
      </c>
      <c r="M114" s="27">
        <v>284</v>
      </c>
      <c r="N114" s="27">
        <v>678</v>
      </c>
    </row>
    <row r="115" spans="1:14" ht="31" x14ac:dyDescent="0.35">
      <c r="A115" s="357">
        <v>111</v>
      </c>
      <c r="B115" s="119" t="s">
        <v>239</v>
      </c>
      <c r="C115" s="27">
        <v>54</v>
      </c>
      <c r="D115" s="27">
        <v>657</v>
      </c>
      <c r="E115" s="27">
        <v>711</v>
      </c>
      <c r="F115" s="27">
        <v>6</v>
      </c>
      <c r="G115" s="27">
        <v>199</v>
      </c>
      <c r="H115" s="27">
        <v>205</v>
      </c>
      <c r="I115" s="27">
        <v>6</v>
      </c>
      <c r="J115" s="27">
        <v>47</v>
      </c>
      <c r="K115" s="27">
        <v>53</v>
      </c>
      <c r="L115" s="27">
        <v>23</v>
      </c>
      <c r="M115" s="27">
        <v>208</v>
      </c>
      <c r="N115" s="27">
        <v>231</v>
      </c>
    </row>
    <row r="116" spans="1:14" ht="46.5" x14ac:dyDescent="0.35">
      <c r="A116" s="357">
        <v>112</v>
      </c>
      <c r="B116" s="119" t="s">
        <v>240</v>
      </c>
      <c r="C116" s="27">
        <v>375</v>
      </c>
      <c r="D116" s="27">
        <v>218</v>
      </c>
      <c r="E116" s="27">
        <v>593</v>
      </c>
      <c r="F116" s="27">
        <v>103</v>
      </c>
      <c r="G116" s="27">
        <v>60</v>
      </c>
      <c r="H116" s="27">
        <v>163</v>
      </c>
      <c r="I116" s="27">
        <v>52</v>
      </c>
      <c r="J116" s="27">
        <v>59</v>
      </c>
      <c r="K116" s="27">
        <v>111</v>
      </c>
      <c r="L116" s="27">
        <v>37</v>
      </c>
      <c r="M116" s="27">
        <v>18</v>
      </c>
      <c r="N116" s="27">
        <v>55</v>
      </c>
    </row>
    <row r="117" spans="1:14" ht="46.5" x14ac:dyDescent="0.35">
      <c r="A117" s="357">
        <v>113</v>
      </c>
      <c r="B117" s="119" t="s">
        <v>241</v>
      </c>
      <c r="C117" s="27">
        <v>19</v>
      </c>
      <c r="D117" s="27">
        <v>16</v>
      </c>
      <c r="E117" s="27">
        <v>35</v>
      </c>
      <c r="F117" s="27">
        <v>10</v>
      </c>
      <c r="G117" s="27">
        <v>4</v>
      </c>
      <c r="H117" s="27">
        <v>14</v>
      </c>
      <c r="I117" s="27">
        <v>9</v>
      </c>
      <c r="J117" s="27">
        <v>12</v>
      </c>
      <c r="K117" s="27">
        <v>21</v>
      </c>
      <c r="L117" s="27"/>
      <c r="M117" s="27"/>
      <c r="N117" s="27"/>
    </row>
    <row r="118" spans="1:14" ht="62" x14ac:dyDescent="0.35">
      <c r="A118" s="357">
        <v>114</v>
      </c>
      <c r="B118" s="119" t="s">
        <v>242</v>
      </c>
      <c r="C118" s="27">
        <v>215</v>
      </c>
      <c r="D118" s="27">
        <v>323</v>
      </c>
      <c r="E118" s="27">
        <v>538</v>
      </c>
      <c r="F118" s="27">
        <v>8</v>
      </c>
      <c r="G118" s="27">
        <v>11</v>
      </c>
      <c r="H118" s="27">
        <v>19</v>
      </c>
      <c r="I118" s="27">
        <v>3</v>
      </c>
      <c r="J118" s="27"/>
      <c r="K118" s="27">
        <v>3</v>
      </c>
      <c r="L118" s="27">
        <v>35</v>
      </c>
      <c r="M118" s="27">
        <v>48</v>
      </c>
      <c r="N118" s="27">
        <v>83</v>
      </c>
    </row>
    <row r="119" spans="1:14" ht="15.5" x14ac:dyDescent="0.35">
      <c r="A119" s="357">
        <v>115</v>
      </c>
      <c r="B119" s="119" t="s">
        <v>243</v>
      </c>
      <c r="C119" s="27">
        <v>273</v>
      </c>
      <c r="D119" s="27">
        <v>75</v>
      </c>
      <c r="E119" s="27">
        <v>348</v>
      </c>
      <c r="F119" s="27">
        <v>53</v>
      </c>
      <c r="G119" s="27">
        <v>14</v>
      </c>
      <c r="H119" s="27">
        <v>67</v>
      </c>
      <c r="I119" s="27">
        <v>8</v>
      </c>
      <c r="J119" s="27">
        <v>5</v>
      </c>
      <c r="K119" s="27">
        <v>13</v>
      </c>
      <c r="L119" s="27">
        <v>35</v>
      </c>
      <c r="M119" s="27">
        <v>13</v>
      </c>
      <c r="N119" s="27">
        <v>48</v>
      </c>
    </row>
    <row r="120" spans="1:14" ht="31" x14ac:dyDescent="0.35">
      <c r="A120" s="357">
        <v>116</v>
      </c>
      <c r="B120" s="119" t="s">
        <v>244</v>
      </c>
      <c r="C120" s="27">
        <v>542</v>
      </c>
      <c r="D120" s="27">
        <v>427</v>
      </c>
      <c r="E120" s="27">
        <v>969</v>
      </c>
      <c r="F120" s="27">
        <v>97</v>
      </c>
      <c r="G120" s="27">
        <v>112</v>
      </c>
      <c r="H120" s="27">
        <v>209</v>
      </c>
      <c r="I120" s="27">
        <v>64</v>
      </c>
      <c r="J120" s="27">
        <v>64</v>
      </c>
      <c r="K120" s="27">
        <v>128</v>
      </c>
      <c r="L120" s="27">
        <v>118</v>
      </c>
      <c r="M120" s="27">
        <v>71</v>
      </c>
      <c r="N120" s="27">
        <v>189</v>
      </c>
    </row>
    <row r="121" spans="1:14" ht="15.5" x14ac:dyDescent="0.35">
      <c r="A121" s="357">
        <v>117</v>
      </c>
      <c r="B121" s="119" t="s">
        <v>245</v>
      </c>
      <c r="C121" s="27">
        <v>53722</v>
      </c>
      <c r="D121" s="27">
        <v>59076</v>
      </c>
      <c r="E121" s="27">
        <v>112798</v>
      </c>
      <c r="F121" s="27">
        <v>6485</v>
      </c>
      <c r="G121" s="27">
        <v>7620</v>
      </c>
      <c r="H121" s="27">
        <v>14105</v>
      </c>
      <c r="I121" s="27">
        <v>4889</v>
      </c>
      <c r="J121" s="27">
        <v>5946</v>
      </c>
      <c r="K121" s="27">
        <v>10835</v>
      </c>
      <c r="L121" s="27">
        <v>14651</v>
      </c>
      <c r="M121" s="27">
        <v>18399</v>
      </c>
      <c r="N121" s="27">
        <v>33050</v>
      </c>
    </row>
    <row r="122" spans="1:14" ht="15.5" x14ac:dyDescent="0.35">
      <c r="A122" s="357">
        <v>118</v>
      </c>
      <c r="B122" s="119" t="s">
        <v>246</v>
      </c>
      <c r="C122" s="27">
        <v>86645</v>
      </c>
      <c r="D122" s="27">
        <v>115043</v>
      </c>
      <c r="E122" s="27">
        <v>201688</v>
      </c>
      <c r="F122" s="27">
        <v>13545</v>
      </c>
      <c r="G122" s="27">
        <v>17751</v>
      </c>
      <c r="H122" s="27">
        <v>31296</v>
      </c>
      <c r="I122" s="27">
        <v>8533</v>
      </c>
      <c r="J122" s="27">
        <v>10353</v>
      </c>
      <c r="K122" s="27">
        <v>18886</v>
      </c>
      <c r="L122" s="27">
        <v>30098</v>
      </c>
      <c r="M122" s="27">
        <v>40206</v>
      </c>
      <c r="N122" s="27">
        <v>70304</v>
      </c>
    </row>
    <row r="123" spans="1:14" ht="31" x14ac:dyDescent="0.35">
      <c r="A123" s="357">
        <v>119</v>
      </c>
      <c r="B123" s="119" t="s">
        <v>247</v>
      </c>
      <c r="C123" s="27">
        <v>105619</v>
      </c>
      <c r="D123" s="27">
        <v>145496</v>
      </c>
      <c r="E123" s="27">
        <v>251115</v>
      </c>
      <c r="F123" s="27">
        <v>23262</v>
      </c>
      <c r="G123" s="27">
        <v>28504</v>
      </c>
      <c r="H123" s="27">
        <v>51766</v>
      </c>
      <c r="I123" s="27">
        <v>6737</v>
      </c>
      <c r="J123" s="27">
        <v>10444</v>
      </c>
      <c r="K123" s="27">
        <v>17181</v>
      </c>
      <c r="L123" s="27">
        <v>43699</v>
      </c>
      <c r="M123" s="27">
        <v>61241</v>
      </c>
      <c r="N123" s="27">
        <v>104940</v>
      </c>
    </row>
    <row r="124" spans="1:14" ht="22.5" customHeight="1" x14ac:dyDescent="0.35">
      <c r="A124" s="357">
        <v>120</v>
      </c>
      <c r="B124" s="119" t="s">
        <v>248</v>
      </c>
      <c r="C124" s="27">
        <v>11</v>
      </c>
      <c r="D124" s="27">
        <v>26</v>
      </c>
      <c r="E124" s="27">
        <v>37</v>
      </c>
      <c r="F124" s="27"/>
      <c r="G124" s="27"/>
      <c r="H124" s="27"/>
      <c r="I124" s="27">
        <v>1</v>
      </c>
      <c r="J124" s="27">
        <v>3</v>
      </c>
      <c r="K124" s="27">
        <v>4</v>
      </c>
      <c r="L124" s="27">
        <v>2</v>
      </c>
      <c r="M124" s="27">
        <v>17</v>
      </c>
      <c r="N124" s="27">
        <v>19</v>
      </c>
    </row>
    <row r="125" spans="1:14" ht="15.5" x14ac:dyDescent="0.35">
      <c r="A125" s="357">
        <v>121</v>
      </c>
      <c r="B125" s="119" t="s">
        <v>249</v>
      </c>
      <c r="C125" s="27">
        <v>167</v>
      </c>
      <c r="D125" s="27">
        <v>125</v>
      </c>
      <c r="E125" s="27">
        <v>292</v>
      </c>
      <c r="F125" s="27">
        <v>18</v>
      </c>
      <c r="G125" s="27">
        <v>22</v>
      </c>
      <c r="H125" s="27">
        <v>40</v>
      </c>
      <c r="I125" s="27">
        <v>10</v>
      </c>
      <c r="J125" s="27">
        <v>9</v>
      </c>
      <c r="K125" s="27">
        <v>19</v>
      </c>
      <c r="L125" s="27">
        <v>52</v>
      </c>
      <c r="M125" s="27">
        <v>36</v>
      </c>
      <c r="N125" s="27">
        <v>88</v>
      </c>
    </row>
    <row r="126" spans="1:14" ht="15.5" x14ac:dyDescent="0.35">
      <c r="A126" s="357">
        <v>122</v>
      </c>
      <c r="B126" s="119" t="s">
        <v>250</v>
      </c>
      <c r="C126" s="27">
        <v>1422</v>
      </c>
      <c r="D126" s="27">
        <v>725</v>
      </c>
      <c r="E126" s="27">
        <v>2147</v>
      </c>
      <c r="F126" s="27">
        <v>27</v>
      </c>
      <c r="G126" s="27">
        <v>29</v>
      </c>
      <c r="H126" s="27">
        <v>56</v>
      </c>
      <c r="I126" s="27">
        <v>4</v>
      </c>
      <c r="J126" s="27">
        <v>6</v>
      </c>
      <c r="K126" s="27">
        <v>10</v>
      </c>
      <c r="L126" s="27">
        <v>173</v>
      </c>
      <c r="M126" s="27">
        <v>118</v>
      </c>
      <c r="N126" s="27">
        <v>291</v>
      </c>
    </row>
    <row r="127" spans="1:14" ht="31" x14ac:dyDescent="0.35">
      <c r="A127" s="357">
        <v>123</v>
      </c>
      <c r="B127" s="119" t="s">
        <v>251</v>
      </c>
      <c r="C127" s="27">
        <v>9860</v>
      </c>
      <c r="D127" s="27">
        <v>8775</v>
      </c>
      <c r="E127" s="27">
        <v>18635</v>
      </c>
      <c r="F127" s="27">
        <v>1711</v>
      </c>
      <c r="G127" s="27">
        <v>1568</v>
      </c>
      <c r="H127" s="27">
        <v>3279</v>
      </c>
      <c r="I127" s="27">
        <v>1141</v>
      </c>
      <c r="J127" s="27">
        <v>1352</v>
      </c>
      <c r="K127" s="27">
        <v>2493</v>
      </c>
      <c r="L127" s="27">
        <v>3864</v>
      </c>
      <c r="M127" s="27">
        <v>3392</v>
      </c>
      <c r="N127" s="27">
        <v>7256</v>
      </c>
    </row>
    <row r="128" spans="1:14" ht="31" x14ac:dyDescent="0.35">
      <c r="A128" s="357">
        <v>124</v>
      </c>
      <c r="B128" s="119" t="s">
        <v>252</v>
      </c>
      <c r="C128" s="27">
        <v>216</v>
      </c>
      <c r="D128" s="27">
        <v>152</v>
      </c>
      <c r="E128" s="27">
        <v>368</v>
      </c>
      <c r="F128" s="27">
        <v>27</v>
      </c>
      <c r="G128" s="27">
        <v>18</v>
      </c>
      <c r="H128" s="27">
        <v>45</v>
      </c>
      <c r="I128" s="27">
        <v>2</v>
      </c>
      <c r="J128" s="27">
        <v>2</v>
      </c>
      <c r="K128" s="27">
        <v>4</v>
      </c>
      <c r="L128" s="27">
        <v>103</v>
      </c>
      <c r="M128" s="27">
        <v>64</v>
      </c>
      <c r="N128" s="27">
        <v>167</v>
      </c>
    </row>
    <row r="129" spans="1:14" ht="31" x14ac:dyDescent="0.35">
      <c r="A129" s="357">
        <v>125</v>
      </c>
      <c r="B129" s="119" t="s">
        <v>253</v>
      </c>
      <c r="C129" s="27">
        <v>3</v>
      </c>
      <c r="D129" s="27">
        <v>2</v>
      </c>
      <c r="E129" s="27">
        <v>5</v>
      </c>
      <c r="F129" s="27"/>
      <c r="G129" s="27"/>
      <c r="H129" s="27"/>
      <c r="I129" s="27"/>
      <c r="J129" s="27"/>
      <c r="K129" s="27"/>
      <c r="L129" s="27"/>
      <c r="M129" s="27"/>
      <c r="N129" s="27"/>
    </row>
    <row r="130" spans="1:14" ht="31" x14ac:dyDescent="0.35">
      <c r="A130" s="357">
        <v>126</v>
      </c>
      <c r="B130" s="119" t="s">
        <v>254</v>
      </c>
      <c r="C130" s="27">
        <v>2035</v>
      </c>
      <c r="D130" s="27">
        <v>1569</v>
      </c>
      <c r="E130" s="27">
        <v>3604</v>
      </c>
      <c r="F130" s="27">
        <v>427</v>
      </c>
      <c r="G130" s="27">
        <v>329</v>
      </c>
      <c r="H130" s="27">
        <v>756</v>
      </c>
      <c r="I130" s="27">
        <v>134</v>
      </c>
      <c r="J130" s="27">
        <v>151</v>
      </c>
      <c r="K130" s="27">
        <v>285</v>
      </c>
      <c r="L130" s="27">
        <v>929</v>
      </c>
      <c r="M130" s="27">
        <v>701</v>
      </c>
      <c r="N130" s="27">
        <v>1630</v>
      </c>
    </row>
    <row r="131" spans="1:14" ht="15.5" x14ac:dyDescent="0.35">
      <c r="A131" s="357">
        <v>127</v>
      </c>
      <c r="B131" s="119" t="s">
        <v>255</v>
      </c>
      <c r="C131" s="27">
        <v>177473</v>
      </c>
      <c r="D131" s="27">
        <v>82341</v>
      </c>
      <c r="E131" s="27">
        <v>259814</v>
      </c>
      <c r="F131" s="27">
        <v>22552</v>
      </c>
      <c r="G131" s="27">
        <v>10066</v>
      </c>
      <c r="H131" s="27">
        <v>32618</v>
      </c>
      <c r="I131" s="27">
        <v>5218</v>
      </c>
      <c r="J131" s="27">
        <v>3336</v>
      </c>
      <c r="K131" s="27">
        <v>8554</v>
      </c>
      <c r="L131" s="27">
        <v>77058</v>
      </c>
      <c r="M131" s="27">
        <v>32777</v>
      </c>
      <c r="N131" s="27">
        <v>109835</v>
      </c>
    </row>
    <row r="132" spans="1:14" ht="15.5" x14ac:dyDescent="0.35">
      <c r="A132" s="357">
        <v>128</v>
      </c>
      <c r="B132" s="119" t="s">
        <v>256</v>
      </c>
      <c r="C132" s="27">
        <v>672</v>
      </c>
      <c r="D132" s="27">
        <v>681</v>
      </c>
      <c r="E132" s="27">
        <v>1353</v>
      </c>
      <c r="F132" s="27">
        <v>101</v>
      </c>
      <c r="G132" s="27">
        <v>76</v>
      </c>
      <c r="H132" s="27">
        <v>177</v>
      </c>
      <c r="I132" s="27">
        <v>45</v>
      </c>
      <c r="J132" s="27">
        <v>29</v>
      </c>
      <c r="K132" s="27">
        <v>74</v>
      </c>
      <c r="L132" s="27">
        <v>165</v>
      </c>
      <c r="M132" s="27">
        <v>152</v>
      </c>
      <c r="N132" s="27">
        <v>317</v>
      </c>
    </row>
    <row r="133" spans="1:14" ht="15.5" x14ac:dyDescent="0.35">
      <c r="A133" s="357">
        <v>129</v>
      </c>
      <c r="B133" s="119" t="s">
        <v>257</v>
      </c>
      <c r="C133" s="27">
        <v>393</v>
      </c>
      <c r="D133" s="27">
        <v>384</v>
      </c>
      <c r="E133" s="27">
        <v>777</v>
      </c>
      <c r="F133" s="27">
        <v>19</v>
      </c>
      <c r="G133" s="27">
        <v>7</v>
      </c>
      <c r="H133" s="27">
        <v>26</v>
      </c>
      <c r="I133" s="27">
        <v>9</v>
      </c>
      <c r="J133" s="27">
        <v>5</v>
      </c>
      <c r="K133" s="27">
        <v>14</v>
      </c>
      <c r="L133" s="27">
        <v>29</v>
      </c>
      <c r="M133" s="27">
        <v>25</v>
      </c>
      <c r="N133" s="27">
        <v>54</v>
      </c>
    </row>
    <row r="134" spans="1:14" ht="31" x14ac:dyDescent="0.35">
      <c r="A134" s="357">
        <v>130</v>
      </c>
      <c r="B134" s="119" t="s">
        <v>258</v>
      </c>
      <c r="C134" s="27">
        <v>1093</v>
      </c>
      <c r="D134" s="27">
        <v>799</v>
      </c>
      <c r="E134" s="27">
        <v>1892</v>
      </c>
      <c r="F134" s="27">
        <v>169</v>
      </c>
      <c r="G134" s="27">
        <v>177</v>
      </c>
      <c r="H134" s="27">
        <v>346</v>
      </c>
      <c r="I134" s="27">
        <v>43</v>
      </c>
      <c r="J134" s="27">
        <v>114</v>
      </c>
      <c r="K134" s="27">
        <v>157</v>
      </c>
      <c r="L134" s="27">
        <v>291</v>
      </c>
      <c r="M134" s="27">
        <v>183</v>
      </c>
      <c r="N134" s="27">
        <v>474</v>
      </c>
    </row>
    <row r="135" spans="1:14" ht="31" x14ac:dyDescent="0.35">
      <c r="A135" s="357">
        <v>131</v>
      </c>
      <c r="B135" s="119" t="s">
        <v>259</v>
      </c>
      <c r="C135" s="27">
        <v>2142</v>
      </c>
      <c r="D135" s="27">
        <v>1350</v>
      </c>
      <c r="E135" s="27">
        <v>3492</v>
      </c>
      <c r="F135" s="27">
        <v>366</v>
      </c>
      <c r="G135" s="27">
        <v>215</v>
      </c>
      <c r="H135" s="27">
        <v>581</v>
      </c>
      <c r="I135" s="27">
        <v>200</v>
      </c>
      <c r="J135" s="27">
        <v>161</v>
      </c>
      <c r="K135" s="27">
        <v>361</v>
      </c>
      <c r="L135" s="27">
        <v>875</v>
      </c>
      <c r="M135" s="27">
        <v>561</v>
      </c>
      <c r="N135" s="27">
        <v>1436</v>
      </c>
    </row>
    <row r="136" spans="1:14" ht="15.5" x14ac:dyDescent="0.35">
      <c r="A136" s="357">
        <v>132</v>
      </c>
      <c r="B136" s="119" t="s">
        <v>260</v>
      </c>
      <c r="C136" s="27">
        <v>12</v>
      </c>
      <c r="D136" s="27">
        <v>20</v>
      </c>
      <c r="E136" s="27">
        <v>32</v>
      </c>
      <c r="F136" s="27">
        <v>3</v>
      </c>
      <c r="G136" s="27">
        <v>2</v>
      </c>
      <c r="H136" s="27">
        <v>5</v>
      </c>
      <c r="I136" s="27">
        <v>1</v>
      </c>
      <c r="J136" s="27"/>
      <c r="K136" s="27">
        <v>1</v>
      </c>
      <c r="L136" s="27">
        <v>8</v>
      </c>
      <c r="M136" s="27">
        <v>13</v>
      </c>
      <c r="N136" s="27">
        <v>21</v>
      </c>
    </row>
    <row r="137" spans="1:14" ht="15.5" x14ac:dyDescent="0.35">
      <c r="A137" s="357">
        <v>133</v>
      </c>
      <c r="B137" s="119" t="s">
        <v>261</v>
      </c>
      <c r="C137" s="27">
        <v>1455552</v>
      </c>
      <c r="D137" s="27">
        <v>447836</v>
      </c>
      <c r="E137" s="27">
        <v>1903388</v>
      </c>
      <c r="F137" s="27">
        <v>259503</v>
      </c>
      <c r="G137" s="27">
        <v>81573</v>
      </c>
      <c r="H137" s="27">
        <v>341076</v>
      </c>
      <c r="I137" s="27">
        <v>88141</v>
      </c>
      <c r="J137" s="27">
        <v>39452</v>
      </c>
      <c r="K137" s="27">
        <v>127593</v>
      </c>
      <c r="L137" s="27">
        <v>585918</v>
      </c>
      <c r="M137" s="27">
        <v>168967</v>
      </c>
      <c r="N137" s="27">
        <v>754885</v>
      </c>
    </row>
    <row r="138" spans="1:14" ht="15.5" x14ac:dyDescent="0.35">
      <c r="A138" s="357">
        <v>134</v>
      </c>
      <c r="B138" s="119" t="s">
        <v>262</v>
      </c>
      <c r="C138" s="27">
        <v>1395</v>
      </c>
      <c r="D138" s="27">
        <v>493</v>
      </c>
      <c r="E138" s="27">
        <v>1888</v>
      </c>
      <c r="F138" s="27">
        <v>47</v>
      </c>
      <c r="G138" s="27">
        <v>17</v>
      </c>
      <c r="H138" s="27">
        <v>64</v>
      </c>
      <c r="I138" s="27">
        <v>9</v>
      </c>
      <c r="J138" s="27">
        <v>4</v>
      </c>
      <c r="K138" s="27">
        <v>13</v>
      </c>
      <c r="L138" s="27">
        <v>115</v>
      </c>
      <c r="M138" s="27">
        <v>70</v>
      </c>
      <c r="N138" s="27">
        <v>185</v>
      </c>
    </row>
    <row r="139" spans="1:14" ht="15.5" x14ac:dyDescent="0.35">
      <c r="A139" s="357">
        <v>135</v>
      </c>
      <c r="B139" s="119" t="s">
        <v>263</v>
      </c>
      <c r="C139" s="27">
        <v>15</v>
      </c>
      <c r="D139" s="27">
        <v>16</v>
      </c>
      <c r="E139" s="27">
        <v>31</v>
      </c>
      <c r="F139" s="27">
        <v>3</v>
      </c>
      <c r="G139" s="27">
        <v>1</v>
      </c>
      <c r="H139" s="27">
        <v>4</v>
      </c>
      <c r="I139" s="27">
        <v>1</v>
      </c>
      <c r="J139" s="27">
        <v>1</v>
      </c>
      <c r="K139" s="27">
        <v>2</v>
      </c>
      <c r="L139" s="27">
        <v>6</v>
      </c>
      <c r="M139" s="27">
        <v>4</v>
      </c>
      <c r="N139" s="27">
        <v>10</v>
      </c>
    </row>
    <row r="140" spans="1:14" ht="15.5" x14ac:dyDescent="0.35">
      <c r="A140" s="357">
        <v>136</v>
      </c>
      <c r="B140" s="119" t="s">
        <v>264</v>
      </c>
      <c r="C140" s="27">
        <v>127</v>
      </c>
      <c r="D140" s="27">
        <v>632</v>
      </c>
      <c r="E140" s="27">
        <v>759</v>
      </c>
      <c r="F140" s="27">
        <v>12</v>
      </c>
      <c r="G140" s="27">
        <v>92</v>
      </c>
      <c r="H140" s="27">
        <v>104</v>
      </c>
      <c r="I140" s="27">
        <v>2</v>
      </c>
      <c r="J140" s="27">
        <v>53</v>
      </c>
      <c r="K140" s="27">
        <v>55</v>
      </c>
      <c r="L140" s="27">
        <v>20</v>
      </c>
      <c r="M140" s="27">
        <v>180</v>
      </c>
      <c r="N140" s="27">
        <v>200</v>
      </c>
    </row>
    <row r="141" spans="1:14" ht="15.5" x14ac:dyDescent="0.35">
      <c r="A141" s="357">
        <v>137</v>
      </c>
      <c r="B141" s="119" t="s">
        <v>265</v>
      </c>
      <c r="C141" s="27"/>
      <c r="D141" s="27">
        <v>6</v>
      </c>
      <c r="E141" s="27">
        <v>6</v>
      </c>
      <c r="F141" s="27"/>
      <c r="G141" s="27"/>
      <c r="H141" s="27"/>
      <c r="I141" s="27"/>
      <c r="J141" s="27"/>
      <c r="K141" s="27"/>
      <c r="L141" s="27"/>
      <c r="M141" s="27">
        <v>3</v>
      </c>
      <c r="N141" s="27">
        <v>3</v>
      </c>
    </row>
    <row r="142" spans="1:14" ht="31" x14ac:dyDescent="0.35">
      <c r="A142" s="357">
        <v>138</v>
      </c>
      <c r="B142" s="119" t="s">
        <v>266</v>
      </c>
      <c r="C142" s="27">
        <v>92958</v>
      </c>
      <c r="D142" s="27">
        <v>347452</v>
      </c>
      <c r="E142" s="27">
        <v>440410</v>
      </c>
      <c r="F142" s="27">
        <v>19479</v>
      </c>
      <c r="G142" s="27">
        <v>86220</v>
      </c>
      <c r="H142" s="27">
        <v>105699</v>
      </c>
      <c r="I142" s="27">
        <v>10114</v>
      </c>
      <c r="J142" s="27">
        <v>52846</v>
      </c>
      <c r="K142" s="27">
        <v>62960</v>
      </c>
      <c r="L142" s="27">
        <v>26302</v>
      </c>
      <c r="M142" s="27">
        <v>100906</v>
      </c>
      <c r="N142" s="27">
        <v>127208</v>
      </c>
    </row>
    <row r="143" spans="1:14" ht="15.5" x14ac:dyDescent="0.35">
      <c r="A143" s="357">
        <v>139</v>
      </c>
      <c r="B143" s="119" t="s">
        <v>267</v>
      </c>
      <c r="C143" s="27">
        <v>14</v>
      </c>
      <c r="D143" s="27">
        <v>26</v>
      </c>
      <c r="E143" s="27">
        <v>40</v>
      </c>
      <c r="F143" s="27"/>
      <c r="G143" s="27"/>
      <c r="H143" s="27"/>
      <c r="I143" s="27"/>
      <c r="J143" s="27"/>
      <c r="K143" s="27"/>
      <c r="L143" s="27">
        <v>7</v>
      </c>
      <c r="M143" s="27">
        <v>12</v>
      </c>
      <c r="N143" s="27">
        <v>19</v>
      </c>
    </row>
    <row r="144" spans="1:14" ht="31" x14ac:dyDescent="0.35">
      <c r="A144" s="357">
        <v>140</v>
      </c>
      <c r="B144" s="119" t="s">
        <v>268</v>
      </c>
      <c r="C144" s="27">
        <v>40</v>
      </c>
      <c r="D144" s="27"/>
      <c r="E144" s="27">
        <v>40</v>
      </c>
      <c r="F144" s="27">
        <v>2</v>
      </c>
      <c r="G144" s="27"/>
      <c r="H144" s="27">
        <v>2</v>
      </c>
      <c r="I144" s="27"/>
      <c r="J144" s="27"/>
      <c r="K144" s="27"/>
      <c r="L144" s="27">
        <v>10</v>
      </c>
      <c r="M144" s="27"/>
      <c r="N144" s="27">
        <v>10</v>
      </c>
    </row>
    <row r="145" spans="1:14" ht="62" x14ac:dyDescent="0.35">
      <c r="A145" s="357">
        <v>141</v>
      </c>
      <c r="B145" s="119" t="s">
        <v>269</v>
      </c>
      <c r="C145" s="27">
        <v>398</v>
      </c>
      <c r="D145" s="27">
        <v>288</v>
      </c>
      <c r="E145" s="27">
        <v>686</v>
      </c>
      <c r="F145" s="27">
        <v>22</v>
      </c>
      <c r="G145" s="27">
        <v>25</v>
      </c>
      <c r="H145" s="27">
        <v>47</v>
      </c>
      <c r="I145" s="27">
        <v>13</v>
      </c>
      <c r="J145" s="27">
        <v>6</v>
      </c>
      <c r="K145" s="27">
        <v>19</v>
      </c>
      <c r="L145" s="27">
        <v>42</v>
      </c>
      <c r="M145" s="27">
        <v>35</v>
      </c>
      <c r="N145" s="27">
        <v>77</v>
      </c>
    </row>
    <row r="146" spans="1:14" ht="31" x14ac:dyDescent="0.35">
      <c r="A146" s="357">
        <v>142</v>
      </c>
      <c r="B146" s="119" t="s">
        <v>270</v>
      </c>
      <c r="C146" s="27">
        <v>3441</v>
      </c>
      <c r="D146" s="27">
        <v>4985</v>
      </c>
      <c r="E146" s="27">
        <v>8426</v>
      </c>
      <c r="F146" s="27">
        <v>515</v>
      </c>
      <c r="G146" s="27">
        <v>651</v>
      </c>
      <c r="H146" s="27">
        <v>1166</v>
      </c>
      <c r="I146" s="27">
        <v>315</v>
      </c>
      <c r="J146" s="27">
        <v>296</v>
      </c>
      <c r="K146" s="27">
        <v>611</v>
      </c>
      <c r="L146" s="27">
        <v>1163</v>
      </c>
      <c r="M146" s="27">
        <v>1401</v>
      </c>
      <c r="N146" s="27">
        <v>2564</v>
      </c>
    </row>
    <row r="147" spans="1:14" ht="36.75" customHeight="1" x14ac:dyDescent="0.35">
      <c r="A147" s="357">
        <v>143</v>
      </c>
      <c r="B147" s="119" t="s">
        <v>271</v>
      </c>
      <c r="C147" s="27">
        <v>16536</v>
      </c>
      <c r="D147" s="27">
        <v>11772</v>
      </c>
      <c r="E147" s="27">
        <v>28308</v>
      </c>
      <c r="F147" s="27">
        <v>1583</v>
      </c>
      <c r="G147" s="27">
        <v>1157</v>
      </c>
      <c r="H147" s="27">
        <v>2740</v>
      </c>
      <c r="I147" s="27">
        <v>504</v>
      </c>
      <c r="J147" s="27">
        <v>378</v>
      </c>
      <c r="K147" s="27">
        <v>882</v>
      </c>
      <c r="L147" s="27">
        <v>3324</v>
      </c>
      <c r="M147" s="27">
        <v>2314</v>
      </c>
      <c r="N147" s="27">
        <v>5638</v>
      </c>
    </row>
    <row r="148" spans="1:14" ht="33.75" customHeight="1" x14ac:dyDescent="0.35">
      <c r="A148" s="357">
        <v>144</v>
      </c>
      <c r="B148" s="119" t="s">
        <v>272</v>
      </c>
      <c r="C148" s="27">
        <v>7214</v>
      </c>
      <c r="D148" s="27">
        <v>3328</v>
      </c>
      <c r="E148" s="27">
        <v>10542</v>
      </c>
      <c r="F148" s="27">
        <v>950</v>
      </c>
      <c r="G148" s="27">
        <v>537</v>
      </c>
      <c r="H148" s="27">
        <v>1487</v>
      </c>
      <c r="I148" s="27">
        <v>386</v>
      </c>
      <c r="J148" s="27">
        <v>84</v>
      </c>
      <c r="K148" s="27">
        <v>470</v>
      </c>
      <c r="L148" s="27">
        <v>2247</v>
      </c>
      <c r="M148" s="27">
        <v>928</v>
      </c>
      <c r="N148" s="27">
        <v>3175</v>
      </c>
    </row>
    <row r="149" spans="1:14" ht="31" x14ac:dyDescent="0.35">
      <c r="A149" s="357">
        <v>145</v>
      </c>
      <c r="B149" s="119" t="s">
        <v>273</v>
      </c>
      <c r="C149" s="27">
        <v>913</v>
      </c>
      <c r="D149" s="27">
        <v>1035</v>
      </c>
      <c r="E149" s="27">
        <v>1948</v>
      </c>
      <c r="F149" s="27">
        <v>104</v>
      </c>
      <c r="G149" s="27">
        <v>198</v>
      </c>
      <c r="H149" s="27">
        <v>302</v>
      </c>
      <c r="I149" s="27">
        <v>54</v>
      </c>
      <c r="J149" s="27">
        <v>26</v>
      </c>
      <c r="K149" s="27">
        <v>80</v>
      </c>
      <c r="L149" s="27">
        <v>152</v>
      </c>
      <c r="M149" s="27">
        <v>296</v>
      </c>
      <c r="N149" s="27">
        <v>448</v>
      </c>
    </row>
    <row r="150" spans="1:14" ht="31" x14ac:dyDescent="0.35">
      <c r="A150" s="357">
        <v>146</v>
      </c>
      <c r="B150" s="119" t="s">
        <v>274</v>
      </c>
      <c r="C150" s="27">
        <v>20</v>
      </c>
      <c r="D150" s="27">
        <v>47</v>
      </c>
      <c r="E150" s="27">
        <v>67</v>
      </c>
      <c r="F150" s="27">
        <v>1</v>
      </c>
      <c r="G150" s="27"/>
      <c r="H150" s="27">
        <v>1</v>
      </c>
      <c r="I150" s="27"/>
      <c r="J150" s="27"/>
      <c r="K150" s="27"/>
      <c r="L150" s="27">
        <v>2</v>
      </c>
      <c r="M150" s="27">
        <v>3</v>
      </c>
      <c r="N150" s="27">
        <v>5</v>
      </c>
    </row>
    <row r="151" spans="1:14" ht="31" x14ac:dyDescent="0.35">
      <c r="A151" s="357">
        <v>147</v>
      </c>
      <c r="B151" s="119" t="s">
        <v>275</v>
      </c>
      <c r="C151" s="27">
        <v>20695</v>
      </c>
      <c r="D151" s="27">
        <v>17617</v>
      </c>
      <c r="E151" s="27">
        <v>38312</v>
      </c>
      <c r="F151" s="27">
        <v>1895</v>
      </c>
      <c r="G151" s="27">
        <v>1753</v>
      </c>
      <c r="H151" s="27">
        <v>3648</v>
      </c>
      <c r="I151" s="27">
        <v>666</v>
      </c>
      <c r="J151" s="27">
        <v>455</v>
      </c>
      <c r="K151" s="27">
        <v>1121</v>
      </c>
      <c r="L151" s="27">
        <v>4816</v>
      </c>
      <c r="M151" s="27">
        <v>5111</v>
      </c>
      <c r="N151" s="27">
        <v>9927</v>
      </c>
    </row>
    <row r="152" spans="1:14" ht="31" x14ac:dyDescent="0.35">
      <c r="A152" s="357">
        <v>148</v>
      </c>
      <c r="B152" s="119" t="s">
        <v>276</v>
      </c>
      <c r="C152" s="27">
        <v>683</v>
      </c>
      <c r="D152" s="27">
        <v>426</v>
      </c>
      <c r="E152" s="27">
        <v>1109</v>
      </c>
      <c r="F152" s="27">
        <v>31</v>
      </c>
      <c r="G152" s="27">
        <v>12</v>
      </c>
      <c r="H152" s="27">
        <v>43</v>
      </c>
      <c r="I152" s="27">
        <v>4</v>
      </c>
      <c r="J152" s="27">
        <v>1</v>
      </c>
      <c r="K152" s="27">
        <v>5</v>
      </c>
      <c r="L152" s="27">
        <v>122</v>
      </c>
      <c r="M152" s="27">
        <v>72</v>
      </c>
      <c r="N152" s="27">
        <v>194</v>
      </c>
    </row>
    <row r="153" spans="1:14" ht="31" x14ac:dyDescent="0.35">
      <c r="A153" s="357">
        <v>149</v>
      </c>
      <c r="B153" s="119" t="s">
        <v>277</v>
      </c>
      <c r="C153" s="27">
        <v>605</v>
      </c>
      <c r="D153" s="27">
        <v>671</v>
      </c>
      <c r="E153" s="27">
        <v>1276</v>
      </c>
      <c r="F153" s="27">
        <v>25</v>
      </c>
      <c r="G153" s="27">
        <v>52</v>
      </c>
      <c r="H153" s="27">
        <v>77</v>
      </c>
      <c r="I153" s="27">
        <v>179</v>
      </c>
      <c r="J153" s="27">
        <v>217</v>
      </c>
      <c r="K153" s="27">
        <v>396</v>
      </c>
      <c r="L153" s="27">
        <v>121</v>
      </c>
      <c r="M153" s="27">
        <v>118</v>
      </c>
      <c r="N153" s="27">
        <v>239</v>
      </c>
    </row>
    <row r="154" spans="1:14" ht="21.75" customHeight="1" x14ac:dyDescent="0.35">
      <c r="A154" s="357">
        <v>150</v>
      </c>
      <c r="B154" s="119" t="s">
        <v>278</v>
      </c>
      <c r="C154" s="27">
        <v>343462</v>
      </c>
      <c r="D154" s="27">
        <v>168362</v>
      </c>
      <c r="E154" s="27">
        <v>511824</v>
      </c>
      <c r="F154" s="27">
        <v>50766</v>
      </c>
      <c r="G154" s="27">
        <v>23559</v>
      </c>
      <c r="H154" s="27">
        <v>74325</v>
      </c>
      <c r="I154" s="27">
        <v>12657</v>
      </c>
      <c r="J154" s="27">
        <v>7217</v>
      </c>
      <c r="K154" s="27">
        <v>19874</v>
      </c>
      <c r="L154" s="27">
        <v>114815</v>
      </c>
      <c r="M154" s="27">
        <v>49569</v>
      </c>
      <c r="N154" s="27">
        <v>164384</v>
      </c>
    </row>
    <row r="155" spans="1:14" ht="15.5" x14ac:dyDescent="0.35">
      <c r="A155" s="357">
        <v>151</v>
      </c>
      <c r="B155" s="119" t="s">
        <v>279</v>
      </c>
      <c r="C155" s="27">
        <v>175</v>
      </c>
      <c r="D155" s="27">
        <v>264</v>
      </c>
      <c r="E155" s="27">
        <v>439</v>
      </c>
      <c r="F155" s="27">
        <v>37</v>
      </c>
      <c r="G155" s="27">
        <v>46</v>
      </c>
      <c r="H155" s="27">
        <v>83</v>
      </c>
      <c r="I155" s="27"/>
      <c r="J155" s="27">
        <v>5</v>
      </c>
      <c r="K155" s="27">
        <v>5</v>
      </c>
      <c r="L155" s="27">
        <v>29</v>
      </c>
      <c r="M155" s="27">
        <v>30</v>
      </c>
      <c r="N155" s="27">
        <v>59</v>
      </c>
    </row>
    <row r="156" spans="1:14" ht="15.5" x14ac:dyDescent="0.35">
      <c r="A156" s="357">
        <v>152</v>
      </c>
      <c r="B156" s="119" t="s">
        <v>280</v>
      </c>
      <c r="C156" s="27">
        <v>25440</v>
      </c>
      <c r="D156" s="27">
        <v>22080</v>
      </c>
      <c r="E156" s="27">
        <v>47520</v>
      </c>
      <c r="F156" s="27">
        <v>3403</v>
      </c>
      <c r="G156" s="27">
        <v>2621</v>
      </c>
      <c r="H156" s="27">
        <v>6024</v>
      </c>
      <c r="I156" s="27">
        <v>1201</v>
      </c>
      <c r="J156" s="27">
        <v>893</v>
      </c>
      <c r="K156" s="27">
        <v>2094</v>
      </c>
      <c r="L156" s="27">
        <v>6264</v>
      </c>
      <c r="M156" s="27">
        <v>5178</v>
      </c>
      <c r="N156" s="27">
        <v>11442</v>
      </c>
    </row>
    <row r="157" spans="1:14" ht="31" x14ac:dyDescent="0.35">
      <c r="A157" s="357">
        <v>153</v>
      </c>
      <c r="B157" s="119" t="s">
        <v>281</v>
      </c>
      <c r="C157" s="27">
        <v>315</v>
      </c>
      <c r="D157" s="27">
        <v>316</v>
      </c>
      <c r="E157" s="27">
        <v>631</v>
      </c>
      <c r="F157" s="27">
        <v>59</v>
      </c>
      <c r="G157" s="27">
        <v>52</v>
      </c>
      <c r="H157" s="27">
        <v>111</v>
      </c>
      <c r="I157" s="27">
        <v>43</v>
      </c>
      <c r="J157" s="27">
        <v>30</v>
      </c>
      <c r="K157" s="27">
        <v>73</v>
      </c>
      <c r="L157" s="27">
        <v>101</v>
      </c>
      <c r="M157" s="27">
        <v>85</v>
      </c>
      <c r="N157" s="27">
        <v>186</v>
      </c>
    </row>
    <row r="158" spans="1:14" ht="31" x14ac:dyDescent="0.35">
      <c r="A158" s="357">
        <v>154</v>
      </c>
      <c r="B158" s="119" t="s">
        <v>282</v>
      </c>
      <c r="C158" s="27">
        <v>284</v>
      </c>
      <c r="D158" s="27">
        <v>714</v>
      </c>
      <c r="E158" s="27">
        <v>998</v>
      </c>
      <c r="F158" s="27">
        <v>40</v>
      </c>
      <c r="G158" s="27">
        <v>85</v>
      </c>
      <c r="H158" s="27">
        <v>125</v>
      </c>
      <c r="I158" s="27">
        <v>16</v>
      </c>
      <c r="J158" s="27">
        <v>40</v>
      </c>
      <c r="K158" s="27">
        <v>56</v>
      </c>
      <c r="L158" s="27">
        <v>100</v>
      </c>
      <c r="M158" s="27">
        <v>261</v>
      </c>
      <c r="N158" s="27">
        <v>361</v>
      </c>
    </row>
    <row r="159" spans="1:14" ht="15.5" x14ac:dyDescent="0.35">
      <c r="A159" s="357">
        <v>155</v>
      </c>
      <c r="B159" s="119" t="s">
        <v>283</v>
      </c>
      <c r="C159" s="27">
        <v>439721</v>
      </c>
      <c r="D159" s="27">
        <v>814509</v>
      </c>
      <c r="E159" s="27">
        <v>1254230</v>
      </c>
      <c r="F159" s="27">
        <v>92716</v>
      </c>
      <c r="G159" s="27">
        <v>145243</v>
      </c>
      <c r="H159" s="27">
        <v>237959</v>
      </c>
      <c r="I159" s="27">
        <v>48163</v>
      </c>
      <c r="J159" s="27">
        <v>73132</v>
      </c>
      <c r="K159" s="27">
        <v>121295</v>
      </c>
      <c r="L159" s="27">
        <v>172524</v>
      </c>
      <c r="M159" s="27">
        <v>331867</v>
      </c>
      <c r="N159" s="27">
        <v>504391</v>
      </c>
    </row>
    <row r="160" spans="1:14" ht="15.5" x14ac:dyDescent="0.35">
      <c r="A160" s="357">
        <v>156</v>
      </c>
      <c r="B160" s="119" t="s">
        <v>284</v>
      </c>
      <c r="C160" s="27">
        <v>1181</v>
      </c>
      <c r="D160" s="27">
        <v>1520</v>
      </c>
      <c r="E160" s="27">
        <v>2701</v>
      </c>
      <c r="F160" s="27">
        <v>76</v>
      </c>
      <c r="G160" s="27">
        <v>83</v>
      </c>
      <c r="H160" s="27">
        <v>159</v>
      </c>
      <c r="I160" s="27">
        <v>18</v>
      </c>
      <c r="J160" s="27">
        <v>18</v>
      </c>
      <c r="K160" s="27">
        <v>36</v>
      </c>
      <c r="L160" s="27">
        <v>424</v>
      </c>
      <c r="M160" s="27">
        <v>434</v>
      </c>
      <c r="N160" s="27">
        <v>858</v>
      </c>
    </row>
    <row r="161" spans="1:14" ht="31" x14ac:dyDescent="0.35">
      <c r="A161" s="357">
        <v>157</v>
      </c>
      <c r="B161" s="119" t="s">
        <v>285</v>
      </c>
      <c r="C161" s="27">
        <v>357138</v>
      </c>
      <c r="D161" s="27">
        <v>274749</v>
      </c>
      <c r="E161" s="27">
        <v>631887</v>
      </c>
      <c r="F161" s="27">
        <v>44064</v>
      </c>
      <c r="G161" s="27">
        <v>33190</v>
      </c>
      <c r="H161" s="27">
        <v>77254</v>
      </c>
      <c r="I161" s="27">
        <v>11958</v>
      </c>
      <c r="J161" s="27">
        <v>7826</v>
      </c>
      <c r="K161" s="27">
        <v>19784</v>
      </c>
      <c r="L161" s="27">
        <v>138860</v>
      </c>
      <c r="M161" s="27">
        <v>107190</v>
      </c>
      <c r="N161" s="27">
        <v>246050</v>
      </c>
    </row>
    <row r="162" spans="1:14" ht="46.5" x14ac:dyDescent="0.35">
      <c r="A162" s="357">
        <v>158</v>
      </c>
      <c r="B162" s="119" t="s">
        <v>286</v>
      </c>
      <c r="C162" s="27">
        <v>221</v>
      </c>
      <c r="D162" s="27">
        <v>176</v>
      </c>
      <c r="E162" s="27">
        <v>397</v>
      </c>
      <c r="F162" s="27">
        <v>35</v>
      </c>
      <c r="G162" s="27">
        <v>33</v>
      </c>
      <c r="H162" s="27">
        <v>68</v>
      </c>
      <c r="I162" s="27">
        <v>16</v>
      </c>
      <c r="J162" s="27">
        <v>17</v>
      </c>
      <c r="K162" s="27">
        <v>33</v>
      </c>
      <c r="L162" s="27">
        <v>67</v>
      </c>
      <c r="M162" s="27">
        <v>49</v>
      </c>
      <c r="N162" s="27">
        <v>116</v>
      </c>
    </row>
    <row r="163" spans="1:14" ht="46.5" x14ac:dyDescent="0.35">
      <c r="A163" s="357">
        <v>159</v>
      </c>
      <c r="B163" s="119" t="s">
        <v>287</v>
      </c>
      <c r="C163" s="27">
        <v>1507</v>
      </c>
      <c r="D163" s="27">
        <v>1124</v>
      </c>
      <c r="E163" s="27">
        <v>2631</v>
      </c>
      <c r="F163" s="27">
        <v>132</v>
      </c>
      <c r="G163" s="27">
        <v>77</v>
      </c>
      <c r="H163" s="27">
        <v>209</v>
      </c>
      <c r="I163" s="27">
        <v>50</v>
      </c>
      <c r="J163" s="27">
        <v>36</v>
      </c>
      <c r="K163" s="27">
        <v>86</v>
      </c>
      <c r="L163" s="27">
        <v>497</v>
      </c>
      <c r="M163" s="27">
        <v>361</v>
      </c>
      <c r="N163" s="27">
        <v>858</v>
      </c>
    </row>
    <row r="164" spans="1:14" ht="31" x14ac:dyDescent="0.35">
      <c r="A164" s="357">
        <v>160</v>
      </c>
      <c r="B164" s="119" t="s">
        <v>288</v>
      </c>
      <c r="C164" s="27">
        <v>202637</v>
      </c>
      <c r="D164" s="27">
        <v>202487</v>
      </c>
      <c r="E164" s="27">
        <v>405124</v>
      </c>
      <c r="F164" s="27">
        <v>21868</v>
      </c>
      <c r="G164" s="27">
        <v>20007</v>
      </c>
      <c r="H164" s="27">
        <v>41875</v>
      </c>
      <c r="I164" s="27">
        <v>11685</v>
      </c>
      <c r="J164" s="27">
        <v>11203</v>
      </c>
      <c r="K164" s="27">
        <v>22888</v>
      </c>
      <c r="L164" s="27">
        <v>65140</v>
      </c>
      <c r="M164" s="27">
        <v>65160</v>
      </c>
      <c r="N164" s="27">
        <v>130300</v>
      </c>
    </row>
    <row r="165" spans="1:14" ht="31" x14ac:dyDescent="0.35">
      <c r="A165" s="357">
        <v>161</v>
      </c>
      <c r="B165" s="119" t="s">
        <v>289</v>
      </c>
      <c r="C165" s="27">
        <v>118834</v>
      </c>
      <c r="D165" s="27">
        <v>77398</v>
      </c>
      <c r="E165" s="27">
        <v>196232</v>
      </c>
      <c r="F165" s="27">
        <v>9746</v>
      </c>
      <c r="G165" s="27">
        <v>6592</v>
      </c>
      <c r="H165" s="27">
        <v>16338</v>
      </c>
      <c r="I165" s="27">
        <v>2621</v>
      </c>
      <c r="J165" s="27">
        <v>1507</v>
      </c>
      <c r="K165" s="27">
        <v>4128</v>
      </c>
      <c r="L165" s="27">
        <v>49071</v>
      </c>
      <c r="M165" s="27">
        <v>34128</v>
      </c>
      <c r="N165" s="27">
        <v>83199</v>
      </c>
    </row>
    <row r="166" spans="1:14" ht="15.5" x14ac:dyDescent="0.35">
      <c r="A166" s="357">
        <v>162</v>
      </c>
      <c r="B166" s="119" t="s">
        <v>290</v>
      </c>
      <c r="C166" s="27">
        <v>1192</v>
      </c>
      <c r="D166" s="27">
        <v>442</v>
      </c>
      <c r="E166" s="27">
        <v>1634</v>
      </c>
      <c r="F166" s="27">
        <v>41</v>
      </c>
      <c r="G166" s="27">
        <v>28</v>
      </c>
      <c r="H166" s="27">
        <v>69</v>
      </c>
      <c r="I166" s="27">
        <v>17</v>
      </c>
      <c r="J166" s="27">
        <v>5</v>
      </c>
      <c r="K166" s="27">
        <v>22</v>
      </c>
      <c r="L166" s="27">
        <v>155</v>
      </c>
      <c r="M166" s="27">
        <v>67</v>
      </c>
      <c r="N166" s="27">
        <v>222</v>
      </c>
    </row>
    <row r="167" spans="1:14" ht="34.5" customHeight="1" x14ac:dyDescent="0.35">
      <c r="A167" s="357">
        <v>163</v>
      </c>
      <c r="B167" s="119" t="s">
        <v>291</v>
      </c>
      <c r="C167" s="27">
        <v>115</v>
      </c>
      <c r="D167" s="27">
        <v>191</v>
      </c>
      <c r="E167" s="27">
        <v>306</v>
      </c>
      <c r="F167" s="27">
        <v>14</v>
      </c>
      <c r="G167" s="27">
        <v>22</v>
      </c>
      <c r="H167" s="27">
        <v>36</v>
      </c>
      <c r="I167" s="27"/>
      <c r="J167" s="27">
        <v>1</v>
      </c>
      <c r="K167" s="27">
        <v>1</v>
      </c>
      <c r="L167" s="27">
        <v>19</v>
      </c>
      <c r="M167" s="27">
        <v>37</v>
      </c>
      <c r="N167" s="27">
        <v>56</v>
      </c>
    </row>
    <row r="168" spans="1:14" ht="15.5" x14ac:dyDescent="0.35">
      <c r="A168" s="357">
        <v>164</v>
      </c>
      <c r="B168" s="119" t="s">
        <v>292</v>
      </c>
      <c r="C168" s="27">
        <v>108679</v>
      </c>
      <c r="D168" s="27">
        <v>200714</v>
      </c>
      <c r="E168" s="27">
        <v>309393</v>
      </c>
      <c r="F168" s="27">
        <v>15215</v>
      </c>
      <c r="G168" s="27">
        <v>24675</v>
      </c>
      <c r="H168" s="27">
        <v>39890</v>
      </c>
      <c r="I168" s="27">
        <v>6706</v>
      </c>
      <c r="J168" s="27">
        <v>9412</v>
      </c>
      <c r="K168" s="27">
        <v>16118</v>
      </c>
      <c r="L168" s="27">
        <v>45694</v>
      </c>
      <c r="M168" s="27">
        <v>87468</v>
      </c>
      <c r="N168" s="27">
        <v>133162</v>
      </c>
    </row>
    <row r="169" spans="1:14" ht="15.5" x14ac:dyDescent="0.35">
      <c r="A169" s="357">
        <v>165</v>
      </c>
      <c r="B169" s="119" t="s">
        <v>293</v>
      </c>
      <c r="C169" s="27">
        <v>43079</v>
      </c>
      <c r="D169" s="27">
        <v>47479</v>
      </c>
      <c r="E169" s="27">
        <v>90558</v>
      </c>
      <c r="F169" s="27">
        <v>4532</v>
      </c>
      <c r="G169" s="27">
        <v>4694</v>
      </c>
      <c r="H169" s="27">
        <v>9226</v>
      </c>
      <c r="I169" s="27">
        <v>2073</v>
      </c>
      <c r="J169" s="27">
        <v>2097</v>
      </c>
      <c r="K169" s="27">
        <v>4170</v>
      </c>
      <c r="L169" s="27">
        <v>12412</v>
      </c>
      <c r="M169" s="27">
        <v>14170</v>
      </c>
      <c r="N169" s="27">
        <v>26582</v>
      </c>
    </row>
    <row r="170" spans="1:14" ht="21" customHeight="1" x14ac:dyDescent="0.35">
      <c r="A170" s="357">
        <v>166</v>
      </c>
      <c r="B170" s="119" t="s">
        <v>294</v>
      </c>
      <c r="C170" s="27">
        <v>5511</v>
      </c>
      <c r="D170" s="27">
        <v>12860</v>
      </c>
      <c r="E170" s="27">
        <v>18371</v>
      </c>
      <c r="F170" s="27">
        <v>421</v>
      </c>
      <c r="G170" s="27">
        <v>929</v>
      </c>
      <c r="H170" s="27">
        <v>1350</v>
      </c>
      <c r="I170" s="27">
        <v>139</v>
      </c>
      <c r="J170" s="27">
        <v>302</v>
      </c>
      <c r="K170" s="27">
        <v>441</v>
      </c>
      <c r="L170" s="27">
        <v>1677</v>
      </c>
      <c r="M170" s="27">
        <v>3819</v>
      </c>
      <c r="N170" s="27">
        <v>5496</v>
      </c>
    </row>
    <row r="171" spans="1:14" ht="15.5" x14ac:dyDescent="0.35">
      <c r="A171" s="357">
        <v>167</v>
      </c>
      <c r="B171" s="119" t="s">
        <v>295</v>
      </c>
      <c r="C171" s="27">
        <v>61</v>
      </c>
      <c r="D171" s="27">
        <v>184</v>
      </c>
      <c r="E171" s="27">
        <v>245</v>
      </c>
      <c r="F171" s="27">
        <v>5</v>
      </c>
      <c r="G171" s="27">
        <v>15</v>
      </c>
      <c r="H171" s="27">
        <v>20</v>
      </c>
      <c r="I171" s="27">
        <v>1</v>
      </c>
      <c r="J171" s="27">
        <v>4</v>
      </c>
      <c r="K171" s="27">
        <v>5</v>
      </c>
      <c r="L171" s="27">
        <v>9</v>
      </c>
      <c r="M171" s="27">
        <v>45</v>
      </c>
      <c r="N171" s="27">
        <v>54</v>
      </c>
    </row>
    <row r="172" spans="1:14" ht="15.5" x14ac:dyDescent="0.35">
      <c r="A172" s="357">
        <v>168</v>
      </c>
      <c r="B172" s="119" t="s">
        <v>296</v>
      </c>
      <c r="C172" s="27">
        <v>1776</v>
      </c>
      <c r="D172" s="27">
        <v>2723</v>
      </c>
      <c r="E172" s="27">
        <v>4499</v>
      </c>
      <c r="F172" s="27">
        <v>256</v>
      </c>
      <c r="G172" s="27">
        <v>377</v>
      </c>
      <c r="H172" s="27">
        <v>633</v>
      </c>
      <c r="I172" s="27">
        <v>66</v>
      </c>
      <c r="J172" s="27">
        <v>99</v>
      </c>
      <c r="K172" s="27">
        <v>165</v>
      </c>
      <c r="L172" s="27">
        <v>407</v>
      </c>
      <c r="M172" s="27">
        <v>450</v>
      </c>
      <c r="N172" s="27">
        <v>857</v>
      </c>
    </row>
    <row r="173" spans="1:14" ht="19.5" customHeight="1" x14ac:dyDescent="0.35">
      <c r="A173" s="357">
        <v>169</v>
      </c>
      <c r="B173" s="119" t="s">
        <v>297</v>
      </c>
      <c r="C173" s="27">
        <v>32</v>
      </c>
      <c r="D173" s="27">
        <v>61</v>
      </c>
      <c r="E173" s="27">
        <v>93</v>
      </c>
      <c r="F173" s="27">
        <v>2</v>
      </c>
      <c r="G173" s="27">
        <v>1</v>
      </c>
      <c r="H173" s="27">
        <v>3</v>
      </c>
      <c r="I173" s="27"/>
      <c r="J173" s="27"/>
      <c r="K173" s="27"/>
      <c r="L173" s="27"/>
      <c r="M173" s="27">
        <v>2</v>
      </c>
      <c r="N173" s="27">
        <v>2</v>
      </c>
    </row>
    <row r="174" spans="1:14" ht="15.5" x14ac:dyDescent="0.35">
      <c r="A174" s="357">
        <v>170</v>
      </c>
      <c r="B174" s="119" t="s">
        <v>298</v>
      </c>
      <c r="C174" s="27">
        <v>14925</v>
      </c>
      <c r="D174" s="27">
        <v>8630</v>
      </c>
      <c r="E174" s="27">
        <v>23555</v>
      </c>
      <c r="F174" s="27">
        <v>2432</v>
      </c>
      <c r="G174" s="27">
        <v>1788</v>
      </c>
      <c r="H174" s="27">
        <v>4220</v>
      </c>
      <c r="I174" s="27">
        <v>796</v>
      </c>
      <c r="J174" s="27">
        <v>331</v>
      </c>
      <c r="K174" s="27">
        <v>1127</v>
      </c>
      <c r="L174" s="27">
        <v>5976</v>
      </c>
      <c r="M174" s="27">
        <v>3886</v>
      </c>
      <c r="N174" s="27">
        <v>9862</v>
      </c>
    </row>
    <row r="175" spans="1:14" ht="15.5" x14ac:dyDescent="0.35">
      <c r="A175" s="357">
        <v>171</v>
      </c>
      <c r="B175" s="119" t="s">
        <v>299</v>
      </c>
      <c r="C175" s="27">
        <v>18901</v>
      </c>
      <c r="D175" s="27">
        <v>40826</v>
      </c>
      <c r="E175" s="27">
        <v>59727</v>
      </c>
      <c r="F175" s="27">
        <v>5072</v>
      </c>
      <c r="G175" s="27">
        <v>8981</v>
      </c>
      <c r="H175" s="27">
        <v>14053</v>
      </c>
      <c r="I175" s="27">
        <v>1799</v>
      </c>
      <c r="J175" s="27">
        <v>3358</v>
      </c>
      <c r="K175" s="27">
        <v>5157</v>
      </c>
      <c r="L175" s="27">
        <v>5638</v>
      </c>
      <c r="M175" s="27">
        <v>11830</v>
      </c>
      <c r="N175" s="27">
        <v>17468</v>
      </c>
    </row>
    <row r="176" spans="1:14" ht="15.5" x14ac:dyDescent="0.35">
      <c r="A176" s="357">
        <v>172</v>
      </c>
      <c r="B176" s="119" t="s">
        <v>300</v>
      </c>
      <c r="C176" s="27">
        <v>2309</v>
      </c>
      <c r="D176" s="27">
        <v>2661</v>
      </c>
      <c r="E176" s="27">
        <v>4970</v>
      </c>
      <c r="F176" s="27">
        <v>463</v>
      </c>
      <c r="G176" s="27">
        <v>334</v>
      </c>
      <c r="H176" s="27">
        <v>797</v>
      </c>
      <c r="I176" s="27">
        <v>100</v>
      </c>
      <c r="J176" s="27">
        <v>58</v>
      </c>
      <c r="K176" s="27">
        <v>158</v>
      </c>
      <c r="L176" s="27">
        <v>689</v>
      </c>
      <c r="M176" s="27">
        <v>793</v>
      </c>
      <c r="N176" s="27">
        <v>1482</v>
      </c>
    </row>
    <row r="177" spans="1:14" ht="31" x14ac:dyDescent="0.35">
      <c r="A177" s="357">
        <v>173</v>
      </c>
      <c r="B177" s="119" t="s">
        <v>301</v>
      </c>
      <c r="C177" s="27">
        <v>736</v>
      </c>
      <c r="D177" s="27">
        <v>516</v>
      </c>
      <c r="E177" s="27">
        <v>1252</v>
      </c>
      <c r="F177" s="27">
        <v>83</v>
      </c>
      <c r="G177" s="27">
        <v>105</v>
      </c>
      <c r="H177" s="27">
        <v>188</v>
      </c>
      <c r="I177" s="27">
        <v>61</v>
      </c>
      <c r="J177" s="27">
        <v>41</v>
      </c>
      <c r="K177" s="27">
        <v>102</v>
      </c>
      <c r="L177" s="27">
        <v>81</v>
      </c>
      <c r="M177" s="27">
        <v>44</v>
      </c>
      <c r="N177" s="27">
        <v>125</v>
      </c>
    </row>
    <row r="178" spans="1:14" ht="31" x14ac:dyDescent="0.35">
      <c r="A178" s="357">
        <v>174</v>
      </c>
      <c r="B178" s="119" t="s">
        <v>302</v>
      </c>
      <c r="C178" s="27">
        <v>130</v>
      </c>
      <c r="D178" s="27">
        <v>698</v>
      </c>
      <c r="E178" s="27">
        <v>828</v>
      </c>
      <c r="F178" s="27">
        <v>7</v>
      </c>
      <c r="G178" s="27">
        <v>48</v>
      </c>
      <c r="H178" s="27">
        <v>55</v>
      </c>
      <c r="I178" s="27">
        <v>1</v>
      </c>
      <c r="J178" s="27">
        <v>18</v>
      </c>
      <c r="K178" s="27">
        <v>19</v>
      </c>
      <c r="L178" s="27">
        <v>36</v>
      </c>
      <c r="M178" s="27">
        <v>169</v>
      </c>
      <c r="N178" s="27">
        <v>205</v>
      </c>
    </row>
    <row r="179" spans="1:14" ht="31" x14ac:dyDescent="0.35">
      <c r="A179" s="357">
        <v>175</v>
      </c>
      <c r="B179" s="119" t="s">
        <v>303</v>
      </c>
      <c r="C179" s="27">
        <v>909</v>
      </c>
      <c r="D179" s="27">
        <v>706</v>
      </c>
      <c r="E179" s="27">
        <v>1615</v>
      </c>
      <c r="F179" s="27">
        <v>123</v>
      </c>
      <c r="G179" s="27">
        <v>75</v>
      </c>
      <c r="H179" s="27">
        <v>198</v>
      </c>
      <c r="I179" s="27">
        <v>63</v>
      </c>
      <c r="J179" s="27">
        <v>65</v>
      </c>
      <c r="K179" s="27">
        <v>128</v>
      </c>
      <c r="L179" s="27">
        <v>364</v>
      </c>
      <c r="M179" s="27">
        <v>307</v>
      </c>
      <c r="N179" s="27">
        <v>671</v>
      </c>
    </row>
    <row r="180" spans="1:14" ht="31" x14ac:dyDescent="0.35">
      <c r="A180" s="357">
        <v>176</v>
      </c>
      <c r="B180" s="119" t="s">
        <v>304</v>
      </c>
      <c r="C180" s="27">
        <v>32</v>
      </c>
      <c r="D180" s="27">
        <v>166</v>
      </c>
      <c r="E180" s="27">
        <v>198</v>
      </c>
      <c r="F180" s="27">
        <v>6</v>
      </c>
      <c r="G180" s="27">
        <v>30</v>
      </c>
      <c r="H180" s="27">
        <v>36</v>
      </c>
      <c r="I180" s="27"/>
      <c r="J180" s="27">
        <v>6</v>
      </c>
      <c r="K180" s="27">
        <v>6</v>
      </c>
      <c r="L180" s="27">
        <v>2</v>
      </c>
      <c r="M180" s="27">
        <v>25</v>
      </c>
      <c r="N180" s="27">
        <v>27</v>
      </c>
    </row>
    <row r="181" spans="1:14" ht="31" x14ac:dyDescent="0.35">
      <c r="A181" s="357">
        <v>177</v>
      </c>
      <c r="B181" s="119" t="s">
        <v>305</v>
      </c>
      <c r="C181" s="27">
        <v>2214</v>
      </c>
      <c r="D181" s="27">
        <v>2799</v>
      </c>
      <c r="E181" s="27">
        <v>5013</v>
      </c>
      <c r="F181" s="27">
        <v>209</v>
      </c>
      <c r="G181" s="27">
        <v>212</v>
      </c>
      <c r="H181" s="27">
        <v>421</v>
      </c>
      <c r="I181" s="27">
        <v>72</v>
      </c>
      <c r="J181" s="27">
        <v>68</v>
      </c>
      <c r="K181" s="27">
        <v>140</v>
      </c>
      <c r="L181" s="27">
        <v>506</v>
      </c>
      <c r="M181" s="27">
        <v>737</v>
      </c>
      <c r="N181" s="27">
        <v>1243</v>
      </c>
    </row>
    <row r="182" spans="1:14" ht="46.5" x14ac:dyDescent="0.35">
      <c r="A182" s="357">
        <v>178</v>
      </c>
      <c r="B182" s="119" t="s">
        <v>306</v>
      </c>
      <c r="C182" s="27">
        <v>142</v>
      </c>
      <c r="D182" s="27">
        <v>289</v>
      </c>
      <c r="E182" s="27">
        <v>431</v>
      </c>
      <c r="F182" s="27">
        <v>7</v>
      </c>
      <c r="G182" s="27">
        <v>31</v>
      </c>
      <c r="H182" s="27">
        <v>38</v>
      </c>
      <c r="I182" s="27">
        <v>1</v>
      </c>
      <c r="J182" s="27">
        <v>5</v>
      </c>
      <c r="K182" s="27">
        <v>6</v>
      </c>
      <c r="L182" s="27">
        <v>34</v>
      </c>
      <c r="M182" s="27">
        <v>105</v>
      </c>
      <c r="N182" s="27">
        <v>139</v>
      </c>
    </row>
    <row r="183" spans="1:14" ht="31" x14ac:dyDescent="0.35">
      <c r="A183" s="357">
        <v>179</v>
      </c>
      <c r="B183" s="119" t="s">
        <v>307</v>
      </c>
      <c r="C183" s="27">
        <v>674</v>
      </c>
      <c r="D183" s="27">
        <v>927</v>
      </c>
      <c r="E183" s="27">
        <v>1601</v>
      </c>
      <c r="F183" s="27">
        <v>135</v>
      </c>
      <c r="G183" s="27">
        <v>127</v>
      </c>
      <c r="H183" s="27">
        <v>262</v>
      </c>
      <c r="I183" s="27">
        <v>69</v>
      </c>
      <c r="J183" s="27">
        <v>172</v>
      </c>
      <c r="K183" s="27">
        <v>241</v>
      </c>
      <c r="L183" s="27">
        <v>197</v>
      </c>
      <c r="M183" s="27">
        <v>249</v>
      </c>
      <c r="N183" s="27">
        <v>446</v>
      </c>
    </row>
    <row r="184" spans="1:14" ht="31" x14ac:dyDescent="0.35">
      <c r="A184" s="357">
        <v>180</v>
      </c>
      <c r="B184" s="119" t="s">
        <v>308</v>
      </c>
      <c r="C184" s="27">
        <v>531</v>
      </c>
      <c r="D184" s="27">
        <v>363</v>
      </c>
      <c r="E184" s="27">
        <v>894</v>
      </c>
      <c r="F184" s="27">
        <v>73</v>
      </c>
      <c r="G184" s="27">
        <v>39</v>
      </c>
      <c r="H184" s="27">
        <v>112</v>
      </c>
      <c r="I184" s="27">
        <v>8</v>
      </c>
      <c r="J184" s="27">
        <v>1</v>
      </c>
      <c r="K184" s="27">
        <v>9</v>
      </c>
      <c r="L184" s="27">
        <v>237</v>
      </c>
      <c r="M184" s="27">
        <v>205</v>
      </c>
      <c r="N184" s="27">
        <v>442</v>
      </c>
    </row>
    <row r="185" spans="1:14" ht="31" x14ac:dyDescent="0.35">
      <c r="A185" s="357">
        <v>181</v>
      </c>
      <c r="B185" s="119" t="s">
        <v>309</v>
      </c>
      <c r="C185" s="27">
        <v>2327</v>
      </c>
      <c r="D185" s="27">
        <v>2157</v>
      </c>
      <c r="E185" s="27">
        <v>4484</v>
      </c>
      <c r="F185" s="27">
        <v>395</v>
      </c>
      <c r="G185" s="27">
        <v>271</v>
      </c>
      <c r="H185" s="27">
        <v>666</v>
      </c>
      <c r="I185" s="27">
        <v>153</v>
      </c>
      <c r="J185" s="27">
        <v>127</v>
      </c>
      <c r="K185" s="27">
        <v>280</v>
      </c>
      <c r="L185" s="27">
        <v>653</v>
      </c>
      <c r="M185" s="27">
        <v>527</v>
      </c>
      <c r="N185" s="27">
        <v>1180</v>
      </c>
    </row>
    <row r="186" spans="1:14" ht="15.5" x14ac:dyDescent="0.35">
      <c r="A186" s="357">
        <v>182</v>
      </c>
      <c r="B186" s="119" t="s">
        <v>310</v>
      </c>
      <c r="C186" s="27">
        <v>750</v>
      </c>
      <c r="D186" s="27">
        <v>511</v>
      </c>
      <c r="E186" s="27">
        <v>1261</v>
      </c>
      <c r="F186" s="27">
        <v>182</v>
      </c>
      <c r="G186" s="27">
        <v>82</v>
      </c>
      <c r="H186" s="27">
        <v>264</v>
      </c>
      <c r="I186" s="27">
        <v>141</v>
      </c>
      <c r="J186" s="27">
        <v>49</v>
      </c>
      <c r="K186" s="27">
        <v>190</v>
      </c>
      <c r="L186" s="27">
        <v>166</v>
      </c>
      <c r="M186" s="27">
        <v>89</v>
      </c>
      <c r="N186" s="27">
        <v>255</v>
      </c>
    </row>
    <row r="187" spans="1:14" ht="15.5" x14ac:dyDescent="0.35">
      <c r="A187" s="357">
        <v>183</v>
      </c>
      <c r="B187" s="119" t="s">
        <v>311</v>
      </c>
      <c r="C187" s="27">
        <v>705</v>
      </c>
      <c r="D187" s="27">
        <v>629</v>
      </c>
      <c r="E187" s="27">
        <v>1334</v>
      </c>
      <c r="F187" s="27">
        <v>78</v>
      </c>
      <c r="G187" s="27">
        <v>60</v>
      </c>
      <c r="H187" s="27">
        <v>138</v>
      </c>
      <c r="I187" s="27">
        <v>51</v>
      </c>
      <c r="J187" s="27">
        <v>49</v>
      </c>
      <c r="K187" s="27">
        <v>100</v>
      </c>
      <c r="L187" s="27">
        <v>182</v>
      </c>
      <c r="M187" s="27">
        <v>142</v>
      </c>
      <c r="N187" s="27">
        <v>324</v>
      </c>
    </row>
    <row r="188" spans="1:14" ht="31" x14ac:dyDescent="0.35">
      <c r="A188" s="357">
        <v>184</v>
      </c>
      <c r="B188" s="119" t="s">
        <v>312</v>
      </c>
      <c r="C188" s="27">
        <v>1600</v>
      </c>
      <c r="D188" s="27">
        <v>1655</v>
      </c>
      <c r="E188" s="27">
        <v>3255</v>
      </c>
      <c r="F188" s="27">
        <v>303</v>
      </c>
      <c r="G188" s="27">
        <v>274</v>
      </c>
      <c r="H188" s="27">
        <v>577</v>
      </c>
      <c r="I188" s="27">
        <v>238</v>
      </c>
      <c r="J188" s="27">
        <v>202</v>
      </c>
      <c r="K188" s="27">
        <v>440</v>
      </c>
      <c r="L188" s="27">
        <v>610</v>
      </c>
      <c r="M188" s="27">
        <v>628</v>
      </c>
      <c r="N188" s="27">
        <v>1238</v>
      </c>
    </row>
    <row r="189" spans="1:14" ht="31" x14ac:dyDescent="0.35">
      <c r="A189" s="357">
        <v>185</v>
      </c>
      <c r="B189" s="119" t="s">
        <v>313</v>
      </c>
      <c r="C189" s="27">
        <v>2754</v>
      </c>
      <c r="D189" s="27">
        <v>2653</v>
      </c>
      <c r="E189" s="27">
        <v>5407</v>
      </c>
      <c r="F189" s="27">
        <v>711</v>
      </c>
      <c r="G189" s="27">
        <v>610</v>
      </c>
      <c r="H189" s="27">
        <v>1321</v>
      </c>
      <c r="I189" s="27">
        <v>416</v>
      </c>
      <c r="J189" s="27">
        <v>244</v>
      </c>
      <c r="K189" s="27">
        <v>660</v>
      </c>
      <c r="L189" s="27">
        <v>826</v>
      </c>
      <c r="M189" s="27">
        <v>890</v>
      </c>
      <c r="N189" s="27">
        <v>1716</v>
      </c>
    </row>
    <row r="190" spans="1:14" ht="31" x14ac:dyDescent="0.35">
      <c r="A190" s="357">
        <v>186</v>
      </c>
      <c r="B190" s="119" t="s">
        <v>314</v>
      </c>
      <c r="C190" s="27">
        <v>47</v>
      </c>
      <c r="D190" s="27">
        <v>155</v>
      </c>
      <c r="E190" s="27">
        <v>202</v>
      </c>
      <c r="F190" s="27">
        <v>8</v>
      </c>
      <c r="G190" s="27">
        <v>30</v>
      </c>
      <c r="H190" s="27">
        <v>38</v>
      </c>
      <c r="I190" s="27">
        <v>1</v>
      </c>
      <c r="J190" s="27">
        <v>10</v>
      </c>
      <c r="K190" s="27">
        <v>11</v>
      </c>
      <c r="L190" s="27">
        <v>24</v>
      </c>
      <c r="M190" s="27">
        <v>70</v>
      </c>
      <c r="N190" s="27">
        <v>94</v>
      </c>
    </row>
    <row r="191" spans="1:14" ht="31" x14ac:dyDescent="0.35">
      <c r="A191" s="357">
        <v>187</v>
      </c>
      <c r="B191" s="119" t="s">
        <v>315</v>
      </c>
      <c r="C191" s="27">
        <v>450</v>
      </c>
      <c r="D191" s="27">
        <v>595</v>
      </c>
      <c r="E191" s="27">
        <v>1045</v>
      </c>
      <c r="F191" s="27">
        <v>70</v>
      </c>
      <c r="G191" s="27">
        <v>48</v>
      </c>
      <c r="H191" s="27">
        <v>118</v>
      </c>
      <c r="I191" s="27">
        <v>14</v>
      </c>
      <c r="J191" s="27">
        <v>13</v>
      </c>
      <c r="K191" s="27">
        <v>27</v>
      </c>
      <c r="L191" s="27">
        <v>97</v>
      </c>
      <c r="M191" s="27">
        <v>107</v>
      </c>
      <c r="N191" s="27">
        <v>204</v>
      </c>
    </row>
    <row r="192" spans="1:14" ht="31" x14ac:dyDescent="0.35">
      <c r="A192" s="357">
        <v>188</v>
      </c>
      <c r="B192" s="119" t="s">
        <v>316</v>
      </c>
      <c r="C192" s="27">
        <v>2999</v>
      </c>
      <c r="D192" s="27">
        <v>2095</v>
      </c>
      <c r="E192" s="27">
        <v>5094</v>
      </c>
      <c r="F192" s="27">
        <v>255</v>
      </c>
      <c r="G192" s="27">
        <v>216</v>
      </c>
      <c r="H192" s="27">
        <v>471</v>
      </c>
      <c r="I192" s="27">
        <v>58</v>
      </c>
      <c r="J192" s="27">
        <v>24</v>
      </c>
      <c r="K192" s="27">
        <v>82</v>
      </c>
      <c r="L192" s="27">
        <v>430</v>
      </c>
      <c r="M192" s="27">
        <v>234</v>
      </c>
      <c r="N192" s="27">
        <v>664</v>
      </c>
    </row>
    <row r="193" spans="1:14" ht="15.5" x14ac:dyDescent="0.35">
      <c r="A193" s="357">
        <v>189</v>
      </c>
      <c r="B193" s="119" t="s">
        <v>317</v>
      </c>
      <c r="C193" s="27">
        <v>3298</v>
      </c>
      <c r="D193" s="27">
        <v>2127</v>
      </c>
      <c r="E193" s="27">
        <v>5425</v>
      </c>
      <c r="F193" s="27">
        <v>477</v>
      </c>
      <c r="G193" s="27">
        <v>310</v>
      </c>
      <c r="H193" s="27">
        <v>787</v>
      </c>
      <c r="I193" s="27">
        <v>255</v>
      </c>
      <c r="J193" s="27">
        <v>111</v>
      </c>
      <c r="K193" s="27">
        <v>366</v>
      </c>
      <c r="L193" s="27">
        <v>623</v>
      </c>
      <c r="M193" s="27">
        <v>448</v>
      </c>
      <c r="N193" s="27">
        <v>1071</v>
      </c>
    </row>
    <row r="194" spans="1:14" ht="31" x14ac:dyDescent="0.35">
      <c r="A194" s="357">
        <v>190</v>
      </c>
      <c r="B194" s="119" t="s">
        <v>318</v>
      </c>
      <c r="C194" s="27">
        <v>574</v>
      </c>
      <c r="D194" s="27">
        <v>302</v>
      </c>
      <c r="E194" s="27">
        <v>876</v>
      </c>
      <c r="F194" s="27">
        <v>71</v>
      </c>
      <c r="G194" s="27">
        <v>36</v>
      </c>
      <c r="H194" s="27">
        <v>107</v>
      </c>
      <c r="I194" s="27">
        <v>28</v>
      </c>
      <c r="J194" s="27">
        <v>20</v>
      </c>
      <c r="K194" s="27">
        <v>48</v>
      </c>
      <c r="L194" s="27">
        <v>246</v>
      </c>
      <c r="M194" s="27">
        <v>142</v>
      </c>
      <c r="N194" s="27">
        <v>388</v>
      </c>
    </row>
    <row r="195" spans="1:14" ht="15.5" x14ac:dyDescent="0.35">
      <c r="A195" s="357">
        <v>191</v>
      </c>
      <c r="B195" s="119" t="s">
        <v>319</v>
      </c>
      <c r="C195" s="27">
        <v>859</v>
      </c>
      <c r="D195" s="27">
        <v>1137</v>
      </c>
      <c r="E195" s="27">
        <v>1996</v>
      </c>
      <c r="F195" s="27">
        <v>180</v>
      </c>
      <c r="G195" s="27">
        <v>181</v>
      </c>
      <c r="H195" s="27">
        <v>361</v>
      </c>
      <c r="I195" s="27">
        <v>52</v>
      </c>
      <c r="J195" s="27">
        <v>40</v>
      </c>
      <c r="K195" s="27">
        <v>92</v>
      </c>
      <c r="L195" s="27">
        <v>220</v>
      </c>
      <c r="M195" s="27">
        <v>312</v>
      </c>
      <c r="N195" s="27">
        <v>532</v>
      </c>
    </row>
    <row r="196" spans="1:14" ht="31" x14ac:dyDescent="0.35">
      <c r="A196" s="357">
        <v>192</v>
      </c>
      <c r="B196" s="119" t="s">
        <v>320</v>
      </c>
      <c r="C196" s="27">
        <v>160</v>
      </c>
      <c r="D196" s="27">
        <v>74</v>
      </c>
      <c r="E196" s="27">
        <v>234</v>
      </c>
      <c r="F196" s="27"/>
      <c r="G196" s="27"/>
      <c r="H196" s="27"/>
      <c r="I196" s="27">
        <v>1</v>
      </c>
      <c r="J196" s="27"/>
      <c r="K196" s="27">
        <v>1</v>
      </c>
      <c r="L196" s="27">
        <v>10</v>
      </c>
      <c r="M196" s="27">
        <v>14</v>
      </c>
      <c r="N196" s="27">
        <v>24</v>
      </c>
    </row>
    <row r="197" spans="1:14" ht="31" x14ac:dyDescent="0.35">
      <c r="A197" s="357">
        <v>193</v>
      </c>
      <c r="B197" s="119" t="s">
        <v>321</v>
      </c>
      <c r="C197" s="27">
        <v>255</v>
      </c>
      <c r="D197" s="27">
        <v>612</v>
      </c>
      <c r="E197" s="27">
        <v>867</v>
      </c>
      <c r="F197" s="27">
        <v>25</v>
      </c>
      <c r="G197" s="27">
        <v>54</v>
      </c>
      <c r="H197" s="27">
        <v>79</v>
      </c>
      <c r="I197" s="27">
        <v>3</v>
      </c>
      <c r="J197" s="27">
        <v>23</v>
      </c>
      <c r="K197" s="27">
        <v>26</v>
      </c>
      <c r="L197" s="27">
        <v>107</v>
      </c>
      <c r="M197" s="27">
        <v>201</v>
      </c>
      <c r="N197" s="27">
        <v>308</v>
      </c>
    </row>
    <row r="198" spans="1:14" ht="22.5" customHeight="1" x14ac:dyDescent="0.35">
      <c r="A198" s="357">
        <v>194</v>
      </c>
      <c r="B198" s="119" t="s">
        <v>322</v>
      </c>
      <c r="C198" s="27">
        <v>424</v>
      </c>
      <c r="D198" s="27">
        <v>754</v>
      </c>
      <c r="E198" s="27">
        <v>1178</v>
      </c>
      <c r="F198" s="27">
        <v>25</v>
      </c>
      <c r="G198" s="27">
        <v>34</v>
      </c>
      <c r="H198" s="27">
        <v>59</v>
      </c>
      <c r="I198" s="27">
        <v>22</v>
      </c>
      <c r="J198" s="27">
        <v>25</v>
      </c>
      <c r="K198" s="27">
        <v>47</v>
      </c>
      <c r="L198" s="27">
        <v>87</v>
      </c>
      <c r="M198" s="27">
        <v>186</v>
      </c>
      <c r="N198" s="27">
        <v>273</v>
      </c>
    </row>
    <row r="199" spans="1:14" ht="31" x14ac:dyDescent="0.35">
      <c r="A199" s="357">
        <v>195</v>
      </c>
      <c r="B199" s="119" t="s">
        <v>323</v>
      </c>
      <c r="C199" s="27">
        <v>1481</v>
      </c>
      <c r="D199" s="27">
        <v>1415</v>
      </c>
      <c r="E199" s="27">
        <v>2896</v>
      </c>
      <c r="F199" s="27">
        <v>221</v>
      </c>
      <c r="G199" s="27">
        <v>142</v>
      </c>
      <c r="H199" s="27">
        <v>363</v>
      </c>
      <c r="I199" s="27">
        <v>79</v>
      </c>
      <c r="J199" s="27">
        <v>59</v>
      </c>
      <c r="K199" s="27">
        <v>138</v>
      </c>
      <c r="L199" s="27">
        <v>417</v>
      </c>
      <c r="M199" s="27">
        <v>348</v>
      </c>
      <c r="N199" s="27">
        <v>765</v>
      </c>
    </row>
    <row r="200" spans="1:14" ht="31" x14ac:dyDescent="0.35">
      <c r="A200" s="357">
        <v>196</v>
      </c>
      <c r="B200" s="119" t="s">
        <v>324</v>
      </c>
      <c r="C200" s="27">
        <v>1178</v>
      </c>
      <c r="D200" s="27">
        <v>560</v>
      </c>
      <c r="E200" s="27">
        <v>1738</v>
      </c>
      <c r="F200" s="27">
        <v>144</v>
      </c>
      <c r="G200" s="27">
        <v>74</v>
      </c>
      <c r="H200" s="27">
        <v>218</v>
      </c>
      <c r="I200" s="27">
        <v>103</v>
      </c>
      <c r="J200" s="27">
        <v>43</v>
      </c>
      <c r="K200" s="27">
        <v>146</v>
      </c>
      <c r="L200" s="27">
        <v>390</v>
      </c>
      <c r="M200" s="27">
        <v>177</v>
      </c>
      <c r="N200" s="27">
        <v>567</v>
      </c>
    </row>
    <row r="201" spans="1:14" ht="31" x14ac:dyDescent="0.35">
      <c r="A201" s="357">
        <v>197</v>
      </c>
      <c r="B201" s="119" t="s">
        <v>325</v>
      </c>
      <c r="C201" s="27">
        <v>219</v>
      </c>
      <c r="D201" s="27">
        <v>105</v>
      </c>
      <c r="E201" s="27">
        <v>324</v>
      </c>
      <c r="F201" s="27">
        <v>25</v>
      </c>
      <c r="G201" s="27">
        <v>15</v>
      </c>
      <c r="H201" s="27">
        <v>40</v>
      </c>
      <c r="I201" s="27">
        <v>19</v>
      </c>
      <c r="J201" s="27">
        <v>7</v>
      </c>
      <c r="K201" s="27">
        <v>26</v>
      </c>
      <c r="L201" s="27">
        <v>49</v>
      </c>
      <c r="M201" s="27">
        <v>31</v>
      </c>
      <c r="N201" s="27">
        <v>80</v>
      </c>
    </row>
    <row r="202" spans="1:14" ht="31" x14ac:dyDescent="0.35">
      <c r="A202" s="357">
        <v>198</v>
      </c>
      <c r="B202" s="119" t="s">
        <v>326</v>
      </c>
      <c r="C202" s="27">
        <v>8023</v>
      </c>
      <c r="D202" s="27">
        <v>3898</v>
      </c>
      <c r="E202" s="27">
        <v>11921</v>
      </c>
      <c r="F202" s="27">
        <v>1253</v>
      </c>
      <c r="G202" s="27">
        <v>667</v>
      </c>
      <c r="H202" s="27">
        <v>1920</v>
      </c>
      <c r="I202" s="27">
        <v>517</v>
      </c>
      <c r="J202" s="27">
        <v>247</v>
      </c>
      <c r="K202" s="27">
        <v>764</v>
      </c>
      <c r="L202" s="27">
        <v>2544</v>
      </c>
      <c r="M202" s="27">
        <v>1151</v>
      </c>
      <c r="N202" s="27">
        <v>3695</v>
      </c>
    </row>
    <row r="203" spans="1:14" ht="20.25" customHeight="1" x14ac:dyDescent="0.35">
      <c r="A203" s="357">
        <v>199</v>
      </c>
      <c r="B203" s="119" t="s">
        <v>327</v>
      </c>
      <c r="C203" s="27">
        <v>1373</v>
      </c>
      <c r="D203" s="27">
        <v>2088</v>
      </c>
      <c r="E203" s="27">
        <v>3461</v>
      </c>
      <c r="F203" s="27">
        <v>141</v>
      </c>
      <c r="G203" s="27">
        <v>200</v>
      </c>
      <c r="H203" s="27">
        <v>341</v>
      </c>
      <c r="I203" s="27">
        <v>74</v>
      </c>
      <c r="J203" s="27">
        <v>135</v>
      </c>
      <c r="K203" s="27">
        <v>209</v>
      </c>
      <c r="L203" s="27">
        <v>346</v>
      </c>
      <c r="M203" s="27">
        <v>584</v>
      </c>
      <c r="N203" s="27">
        <v>930</v>
      </c>
    </row>
    <row r="204" spans="1:14" ht="31" x14ac:dyDescent="0.35">
      <c r="A204" s="357">
        <v>200</v>
      </c>
      <c r="B204" s="119" t="s">
        <v>328</v>
      </c>
      <c r="C204" s="27">
        <v>17</v>
      </c>
      <c r="D204" s="27">
        <v>15</v>
      </c>
      <c r="E204" s="27">
        <v>32</v>
      </c>
      <c r="F204" s="27">
        <v>2</v>
      </c>
      <c r="G204" s="27">
        <v>1</v>
      </c>
      <c r="H204" s="27">
        <v>3</v>
      </c>
      <c r="I204" s="27">
        <v>1</v>
      </c>
      <c r="J204" s="27"/>
      <c r="K204" s="27">
        <v>1</v>
      </c>
      <c r="L204" s="27">
        <v>6</v>
      </c>
      <c r="M204" s="27">
        <v>1</v>
      </c>
      <c r="N204" s="27">
        <v>7</v>
      </c>
    </row>
    <row r="205" spans="1:14" ht="31" x14ac:dyDescent="0.35">
      <c r="A205" s="357">
        <v>201</v>
      </c>
      <c r="B205" s="119" t="s">
        <v>329</v>
      </c>
      <c r="C205" s="27">
        <v>31</v>
      </c>
      <c r="D205" s="27">
        <v>21</v>
      </c>
      <c r="E205" s="27">
        <v>52</v>
      </c>
      <c r="F205" s="27">
        <v>6</v>
      </c>
      <c r="G205" s="27">
        <v>1</v>
      </c>
      <c r="H205" s="27">
        <v>7</v>
      </c>
      <c r="I205" s="27">
        <v>1</v>
      </c>
      <c r="J205" s="27">
        <v>3</v>
      </c>
      <c r="K205" s="27">
        <v>4</v>
      </c>
      <c r="L205" s="27">
        <v>8</v>
      </c>
      <c r="M205" s="27">
        <v>5</v>
      </c>
      <c r="N205" s="27">
        <v>13</v>
      </c>
    </row>
    <row r="206" spans="1:14" ht="15.5" x14ac:dyDescent="0.35">
      <c r="A206" s="357">
        <v>202</v>
      </c>
      <c r="B206" s="119" t="s">
        <v>330</v>
      </c>
      <c r="C206" s="27">
        <v>3620</v>
      </c>
      <c r="D206" s="27">
        <v>7775</v>
      </c>
      <c r="E206" s="27">
        <v>11395</v>
      </c>
      <c r="F206" s="27">
        <v>351</v>
      </c>
      <c r="G206" s="27">
        <v>623</v>
      </c>
      <c r="H206" s="27">
        <v>974</v>
      </c>
      <c r="I206" s="27">
        <v>126</v>
      </c>
      <c r="J206" s="27">
        <v>245</v>
      </c>
      <c r="K206" s="27">
        <v>371</v>
      </c>
      <c r="L206" s="27">
        <v>1201</v>
      </c>
      <c r="M206" s="27">
        <v>2104</v>
      </c>
      <c r="N206" s="27">
        <v>3305</v>
      </c>
    </row>
    <row r="207" spans="1:14" ht="15.5" x14ac:dyDescent="0.35">
      <c r="A207" s="357">
        <v>203</v>
      </c>
      <c r="B207" s="119" t="s">
        <v>331</v>
      </c>
      <c r="C207" s="27">
        <v>24875</v>
      </c>
      <c r="D207" s="27">
        <v>25916</v>
      </c>
      <c r="E207" s="27">
        <v>50791</v>
      </c>
      <c r="F207" s="27">
        <v>2546</v>
      </c>
      <c r="G207" s="27">
        <v>3102</v>
      </c>
      <c r="H207" s="27">
        <v>5648</v>
      </c>
      <c r="I207" s="27">
        <v>894</v>
      </c>
      <c r="J207" s="27">
        <v>1023</v>
      </c>
      <c r="K207" s="27">
        <v>1917</v>
      </c>
      <c r="L207" s="27">
        <v>9654</v>
      </c>
      <c r="M207" s="27">
        <v>10448</v>
      </c>
      <c r="N207" s="27">
        <v>20102</v>
      </c>
    </row>
    <row r="208" spans="1:14" ht="15.5" x14ac:dyDescent="0.35">
      <c r="A208" s="357">
        <v>204</v>
      </c>
      <c r="B208" s="119" t="s">
        <v>332</v>
      </c>
      <c r="C208" s="27">
        <v>668</v>
      </c>
      <c r="D208" s="27">
        <v>1418</v>
      </c>
      <c r="E208" s="27">
        <v>2086</v>
      </c>
      <c r="F208" s="27">
        <v>95</v>
      </c>
      <c r="G208" s="27">
        <v>125</v>
      </c>
      <c r="H208" s="27">
        <v>220</v>
      </c>
      <c r="I208" s="27">
        <v>33</v>
      </c>
      <c r="J208" s="27">
        <v>47</v>
      </c>
      <c r="K208" s="27">
        <v>80</v>
      </c>
      <c r="L208" s="27">
        <v>258</v>
      </c>
      <c r="M208" s="27">
        <v>534</v>
      </c>
      <c r="N208" s="27">
        <v>792</v>
      </c>
    </row>
    <row r="209" spans="1:14" ht="15.5" x14ac:dyDescent="0.35">
      <c r="A209" s="357">
        <v>205</v>
      </c>
      <c r="B209" s="119" t="s">
        <v>333</v>
      </c>
      <c r="C209" s="27">
        <v>1032</v>
      </c>
      <c r="D209" s="27">
        <v>979</v>
      </c>
      <c r="E209" s="27">
        <v>2011</v>
      </c>
      <c r="F209" s="27">
        <v>103</v>
      </c>
      <c r="G209" s="27">
        <v>70</v>
      </c>
      <c r="H209" s="27">
        <v>173</v>
      </c>
      <c r="I209" s="27">
        <v>31</v>
      </c>
      <c r="J209" s="27">
        <v>37</v>
      </c>
      <c r="K209" s="27">
        <v>68</v>
      </c>
      <c r="L209" s="27">
        <v>300</v>
      </c>
      <c r="M209" s="27">
        <v>265</v>
      </c>
      <c r="N209" s="27">
        <v>565</v>
      </c>
    </row>
    <row r="210" spans="1:14" ht="31" x14ac:dyDescent="0.35">
      <c r="A210" s="357">
        <v>206</v>
      </c>
      <c r="B210" s="119" t="s">
        <v>334</v>
      </c>
      <c r="C210" s="27">
        <v>2</v>
      </c>
      <c r="D210" s="27"/>
      <c r="E210" s="27">
        <v>2</v>
      </c>
      <c r="F210" s="27"/>
      <c r="G210" s="27"/>
      <c r="H210" s="27"/>
      <c r="I210" s="27"/>
      <c r="J210" s="27"/>
      <c r="K210" s="27"/>
      <c r="L210" s="27"/>
      <c r="M210" s="27"/>
      <c r="N210" s="27"/>
    </row>
    <row r="211" spans="1:14" ht="15.5" x14ac:dyDescent="0.35">
      <c r="A211" s="357">
        <v>207</v>
      </c>
      <c r="B211" s="119" t="s">
        <v>335</v>
      </c>
      <c r="C211" s="27">
        <v>7488</v>
      </c>
      <c r="D211" s="27">
        <v>9979</v>
      </c>
      <c r="E211" s="27">
        <v>17467</v>
      </c>
      <c r="F211" s="27">
        <v>1017</v>
      </c>
      <c r="G211" s="27">
        <v>1318</v>
      </c>
      <c r="H211" s="27">
        <v>2335</v>
      </c>
      <c r="I211" s="27">
        <v>550</v>
      </c>
      <c r="J211" s="27">
        <v>721</v>
      </c>
      <c r="K211" s="27">
        <v>1271</v>
      </c>
      <c r="L211" s="27">
        <v>2532</v>
      </c>
      <c r="M211" s="27">
        <v>3994</v>
      </c>
      <c r="N211" s="27">
        <v>6526</v>
      </c>
    </row>
    <row r="212" spans="1:14" ht="15.5" x14ac:dyDescent="0.35">
      <c r="A212" s="357">
        <v>208</v>
      </c>
      <c r="B212" s="119" t="s">
        <v>336</v>
      </c>
      <c r="C212" s="27">
        <v>15315</v>
      </c>
      <c r="D212" s="27">
        <v>14749</v>
      </c>
      <c r="E212" s="27">
        <v>30064</v>
      </c>
      <c r="F212" s="27">
        <v>1427</v>
      </c>
      <c r="G212" s="27">
        <v>1410</v>
      </c>
      <c r="H212" s="27">
        <v>2837</v>
      </c>
      <c r="I212" s="27">
        <v>639</v>
      </c>
      <c r="J212" s="27">
        <v>624</v>
      </c>
      <c r="K212" s="27">
        <v>1263</v>
      </c>
      <c r="L212" s="27">
        <v>4533</v>
      </c>
      <c r="M212" s="27">
        <v>4487</v>
      </c>
      <c r="N212" s="27">
        <v>9020</v>
      </c>
    </row>
    <row r="213" spans="1:14" ht="15.5" x14ac:dyDescent="0.35">
      <c r="A213" s="357">
        <v>209</v>
      </c>
      <c r="B213" s="119" t="s">
        <v>337</v>
      </c>
      <c r="C213" s="27">
        <v>21967</v>
      </c>
      <c r="D213" s="27">
        <v>27505</v>
      </c>
      <c r="E213" s="27">
        <v>49472</v>
      </c>
      <c r="F213" s="27">
        <v>5484</v>
      </c>
      <c r="G213" s="27">
        <v>5814</v>
      </c>
      <c r="H213" s="27">
        <v>11298</v>
      </c>
      <c r="I213" s="27">
        <v>4975</v>
      </c>
      <c r="J213" s="27">
        <v>5756</v>
      </c>
      <c r="K213" s="27">
        <v>10731</v>
      </c>
      <c r="L213" s="27">
        <v>7080</v>
      </c>
      <c r="M213" s="27">
        <v>9283</v>
      </c>
      <c r="N213" s="27">
        <v>16363</v>
      </c>
    </row>
    <row r="214" spans="1:14" ht="31" x14ac:dyDescent="0.35">
      <c r="A214" s="357">
        <v>210</v>
      </c>
      <c r="B214" s="119" t="s">
        <v>338</v>
      </c>
      <c r="C214" s="27">
        <v>30</v>
      </c>
      <c r="D214" s="27">
        <v>67</v>
      </c>
      <c r="E214" s="27">
        <v>97</v>
      </c>
      <c r="F214" s="27">
        <v>8</v>
      </c>
      <c r="G214" s="27">
        <v>16</v>
      </c>
      <c r="H214" s="27">
        <v>24</v>
      </c>
      <c r="I214" s="27"/>
      <c r="J214" s="27">
        <v>4</v>
      </c>
      <c r="K214" s="27">
        <v>4</v>
      </c>
      <c r="L214" s="27">
        <v>8</v>
      </c>
      <c r="M214" s="27">
        <v>16</v>
      </c>
      <c r="N214" s="27">
        <v>24</v>
      </c>
    </row>
    <row r="215" spans="1:14" ht="18.75" customHeight="1" x14ac:dyDescent="0.35">
      <c r="A215" s="357">
        <v>211</v>
      </c>
      <c r="B215" s="119" t="s">
        <v>339</v>
      </c>
      <c r="C215" s="27">
        <v>56</v>
      </c>
      <c r="D215" s="27">
        <v>106</v>
      </c>
      <c r="E215" s="27">
        <v>162</v>
      </c>
      <c r="F215" s="27">
        <v>8</v>
      </c>
      <c r="G215" s="27">
        <v>13</v>
      </c>
      <c r="H215" s="27">
        <v>21</v>
      </c>
      <c r="I215" s="27">
        <v>2</v>
      </c>
      <c r="J215" s="27">
        <v>5</v>
      </c>
      <c r="K215" s="27">
        <v>7</v>
      </c>
      <c r="L215" s="27">
        <v>18</v>
      </c>
      <c r="M215" s="27">
        <v>38</v>
      </c>
      <c r="N215" s="27">
        <v>56</v>
      </c>
    </row>
    <row r="216" spans="1:14" ht="31" x14ac:dyDescent="0.35">
      <c r="A216" s="357">
        <v>212</v>
      </c>
      <c r="B216" s="119" t="s">
        <v>340</v>
      </c>
      <c r="C216" s="27">
        <v>32</v>
      </c>
      <c r="D216" s="27">
        <v>30</v>
      </c>
      <c r="E216" s="27">
        <v>62</v>
      </c>
      <c r="F216" s="27">
        <v>3</v>
      </c>
      <c r="G216" s="27">
        <v>5</v>
      </c>
      <c r="H216" s="27">
        <v>8</v>
      </c>
      <c r="I216" s="27">
        <v>1</v>
      </c>
      <c r="J216" s="27">
        <v>1</v>
      </c>
      <c r="K216" s="27">
        <v>2</v>
      </c>
      <c r="L216" s="27">
        <v>4</v>
      </c>
      <c r="M216" s="27">
        <v>8</v>
      </c>
      <c r="N216" s="27">
        <v>12</v>
      </c>
    </row>
    <row r="217" spans="1:14" ht="31" x14ac:dyDescent="0.35">
      <c r="A217" s="357">
        <v>213</v>
      </c>
      <c r="B217" s="119" t="s">
        <v>341</v>
      </c>
      <c r="C217" s="27">
        <v>246</v>
      </c>
      <c r="D217" s="27">
        <v>241</v>
      </c>
      <c r="E217" s="27">
        <v>487</v>
      </c>
      <c r="F217" s="27">
        <v>35</v>
      </c>
      <c r="G217" s="27">
        <v>27</v>
      </c>
      <c r="H217" s="27">
        <v>62</v>
      </c>
      <c r="I217" s="27">
        <v>13</v>
      </c>
      <c r="J217" s="27">
        <v>21</v>
      </c>
      <c r="K217" s="27">
        <v>34</v>
      </c>
      <c r="L217" s="27">
        <v>118</v>
      </c>
      <c r="M217" s="27">
        <v>104</v>
      </c>
      <c r="N217" s="27">
        <v>222</v>
      </c>
    </row>
    <row r="218" spans="1:14" ht="31" x14ac:dyDescent="0.35">
      <c r="A218" s="357">
        <v>214</v>
      </c>
      <c r="B218" s="119" t="s">
        <v>342</v>
      </c>
      <c r="C218" s="27">
        <v>23</v>
      </c>
      <c r="D218" s="27">
        <v>79</v>
      </c>
      <c r="E218" s="27">
        <v>102</v>
      </c>
      <c r="F218" s="27">
        <v>2</v>
      </c>
      <c r="G218" s="27">
        <v>12</v>
      </c>
      <c r="H218" s="27">
        <v>14</v>
      </c>
      <c r="I218" s="27"/>
      <c r="J218" s="27">
        <v>7</v>
      </c>
      <c r="K218" s="27">
        <v>7</v>
      </c>
      <c r="L218" s="27">
        <v>4</v>
      </c>
      <c r="M218" s="27">
        <v>30</v>
      </c>
      <c r="N218" s="27">
        <v>34</v>
      </c>
    </row>
    <row r="219" spans="1:14" ht="22.5" customHeight="1" x14ac:dyDescent="0.35">
      <c r="A219" s="357">
        <v>215</v>
      </c>
      <c r="B219" s="119" t="s">
        <v>343</v>
      </c>
      <c r="C219" s="27">
        <v>148</v>
      </c>
      <c r="D219" s="27">
        <v>397</v>
      </c>
      <c r="E219" s="27">
        <v>545</v>
      </c>
      <c r="F219" s="27">
        <v>3</v>
      </c>
      <c r="G219" s="27">
        <v>36</v>
      </c>
      <c r="H219" s="27">
        <v>39</v>
      </c>
      <c r="I219" s="27">
        <v>6</v>
      </c>
      <c r="J219" s="27">
        <v>6</v>
      </c>
      <c r="K219" s="27">
        <v>12</v>
      </c>
      <c r="L219" s="27">
        <v>39</v>
      </c>
      <c r="M219" s="27">
        <v>120</v>
      </c>
      <c r="N219" s="27">
        <v>159</v>
      </c>
    </row>
    <row r="220" spans="1:14" ht="31" x14ac:dyDescent="0.35">
      <c r="A220" s="357">
        <v>216</v>
      </c>
      <c r="B220" s="119" t="s">
        <v>344</v>
      </c>
      <c r="C220" s="27">
        <v>1705</v>
      </c>
      <c r="D220" s="27">
        <v>989</v>
      </c>
      <c r="E220" s="27">
        <v>2694</v>
      </c>
      <c r="F220" s="27">
        <v>63</v>
      </c>
      <c r="G220" s="27">
        <v>22</v>
      </c>
      <c r="H220" s="27">
        <v>85</v>
      </c>
      <c r="I220" s="27">
        <v>6</v>
      </c>
      <c r="J220" s="27">
        <v>1</v>
      </c>
      <c r="K220" s="27">
        <v>7</v>
      </c>
      <c r="L220" s="27">
        <v>1044</v>
      </c>
      <c r="M220" s="27">
        <v>565</v>
      </c>
      <c r="N220" s="27">
        <v>1609</v>
      </c>
    </row>
    <row r="221" spans="1:14" ht="31" x14ac:dyDescent="0.35">
      <c r="A221" s="357">
        <v>217</v>
      </c>
      <c r="B221" s="119" t="s">
        <v>345</v>
      </c>
      <c r="C221" s="27">
        <v>37</v>
      </c>
      <c r="D221" s="27">
        <v>78</v>
      </c>
      <c r="E221" s="27">
        <v>115</v>
      </c>
      <c r="F221" s="27">
        <v>8</v>
      </c>
      <c r="G221" s="27">
        <v>11</v>
      </c>
      <c r="H221" s="27">
        <v>19</v>
      </c>
      <c r="I221" s="27">
        <v>1</v>
      </c>
      <c r="J221" s="27">
        <v>6</v>
      </c>
      <c r="K221" s="27">
        <v>7</v>
      </c>
      <c r="L221" s="27">
        <v>12</v>
      </c>
      <c r="M221" s="27">
        <v>17</v>
      </c>
      <c r="N221" s="27">
        <v>29</v>
      </c>
    </row>
    <row r="222" spans="1:14" ht="31" x14ac:dyDescent="0.35">
      <c r="A222" s="357">
        <v>218</v>
      </c>
      <c r="B222" s="119" t="s">
        <v>346</v>
      </c>
      <c r="C222" s="27">
        <v>3742</v>
      </c>
      <c r="D222" s="27">
        <v>13565</v>
      </c>
      <c r="E222" s="27">
        <v>17307</v>
      </c>
      <c r="F222" s="27">
        <v>633</v>
      </c>
      <c r="G222" s="27">
        <v>2142</v>
      </c>
      <c r="H222" s="27">
        <v>2775</v>
      </c>
      <c r="I222" s="27">
        <v>316</v>
      </c>
      <c r="J222" s="27">
        <v>1404</v>
      </c>
      <c r="K222" s="27">
        <v>1720</v>
      </c>
      <c r="L222" s="27">
        <v>1140</v>
      </c>
      <c r="M222" s="27">
        <v>4088</v>
      </c>
      <c r="N222" s="27">
        <v>5228</v>
      </c>
    </row>
    <row r="223" spans="1:14" ht="31" x14ac:dyDescent="0.35">
      <c r="A223" s="357">
        <v>219</v>
      </c>
      <c r="B223" s="119" t="s">
        <v>347</v>
      </c>
      <c r="C223" s="27">
        <v>8</v>
      </c>
      <c r="D223" s="27">
        <v>105</v>
      </c>
      <c r="E223" s="27">
        <v>113</v>
      </c>
      <c r="F223" s="27"/>
      <c r="G223" s="27">
        <v>18</v>
      </c>
      <c r="H223" s="27">
        <v>18</v>
      </c>
      <c r="I223" s="27">
        <v>2</v>
      </c>
      <c r="J223" s="27">
        <v>9</v>
      </c>
      <c r="K223" s="27">
        <v>11</v>
      </c>
      <c r="L223" s="27">
        <v>1</v>
      </c>
      <c r="M223" s="27">
        <v>31</v>
      </c>
      <c r="N223" s="27">
        <v>32</v>
      </c>
    </row>
    <row r="224" spans="1:14" ht="31" x14ac:dyDescent="0.35">
      <c r="A224" s="357">
        <v>220</v>
      </c>
      <c r="B224" s="119" t="s">
        <v>348</v>
      </c>
      <c r="C224" s="27">
        <v>1328</v>
      </c>
      <c r="D224" s="27">
        <v>997</v>
      </c>
      <c r="E224" s="27">
        <v>2325</v>
      </c>
      <c r="F224" s="27">
        <v>167</v>
      </c>
      <c r="G224" s="27">
        <v>148</v>
      </c>
      <c r="H224" s="27">
        <v>315</v>
      </c>
      <c r="I224" s="27">
        <v>38</v>
      </c>
      <c r="J224" s="27">
        <v>22</v>
      </c>
      <c r="K224" s="27">
        <v>60</v>
      </c>
      <c r="L224" s="27">
        <v>432</v>
      </c>
      <c r="M224" s="27">
        <v>328</v>
      </c>
      <c r="N224" s="27">
        <v>760</v>
      </c>
    </row>
    <row r="225" spans="1:14" ht="62" x14ac:dyDescent="0.35">
      <c r="A225" s="357">
        <v>221</v>
      </c>
      <c r="B225" s="119" t="s">
        <v>349</v>
      </c>
      <c r="C225" s="27">
        <v>249</v>
      </c>
      <c r="D225" s="27">
        <v>89</v>
      </c>
      <c r="E225" s="27">
        <v>338</v>
      </c>
      <c r="F225" s="27">
        <v>22</v>
      </c>
      <c r="G225" s="27">
        <v>7</v>
      </c>
      <c r="H225" s="27">
        <v>29</v>
      </c>
      <c r="I225" s="27">
        <v>10</v>
      </c>
      <c r="J225" s="27">
        <v>8</v>
      </c>
      <c r="K225" s="27">
        <v>18</v>
      </c>
      <c r="L225" s="27">
        <v>70</v>
      </c>
      <c r="M225" s="27">
        <v>25</v>
      </c>
      <c r="N225" s="27">
        <v>95</v>
      </c>
    </row>
    <row r="226" spans="1:14" ht="46.5" x14ac:dyDescent="0.35">
      <c r="A226" s="357">
        <v>222</v>
      </c>
      <c r="B226" s="119" t="s">
        <v>350</v>
      </c>
      <c r="C226" s="27">
        <v>72</v>
      </c>
      <c r="D226" s="27">
        <v>33</v>
      </c>
      <c r="E226" s="27">
        <v>105</v>
      </c>
      <c r="F226" s="27">
        <v>16</v>
      </c>
      <c r="G226" s="27">
        <v>8</v>
      </c>
      <c r="H226" s="27">
        <v>24</v>
      </c>
      <c r="I226" s="27">
        <v>6</v>
      </c>
      <c r="J226" s="27"/>
      <c r="K226" s="27">
        <v>6</v>
      </c>
      <c r="L226" s="27">
        <v>21</v>
      </c>
      <c r="M226" s="27">
        <v>7</v>
      </c>
      <c r="N226" s="27">
        <v>28</v>
      </c>
    </row>
    <row r="227" spans="1:14" ht="46.5" x14ac:dyDescent="0.35">
      <c r="A227" s="357">
        <v>223</v>
      </c>
      <c r="B227" s="119" t="s">
        <v>351</v>
      </c>
      <c r="C227" s="27">
        <v>391</v>
      </c>
      <c r="D227" s="27">
        <v>431</v>
      </c>
      <c r="E227" s="27">
        <v>822</v>
      </c>
      <c r="F227" s="27">
        <v>53</v>
      </c>
      <c r="G227" s="27">
        <v>52</v>
      </c>
      <c r="H227" s="27">
        <v>105</v>
      </c>
      <c r="I227" s="27">
        <v>9</v>
      </c>
      <c r="J227" s="27">
        <v>13</v>
      </c>
      <c r="K227" s="27">
        <v>22</v>
      </c>
      <c r="L227" s="27">
        <v>153</v>
      </c>
      <c r="M227" s="27">
        <v>191</v>
      </c>
      <c r="N227" s="27">
        <v>344</v>
      </c>
    </row>
    <row r="228" spans="1:14" ht="46.5" x14ac:dyDescent="0.35">
      <c r="A228" s="357">
        <v>224</v>
      </c>
      <c r="B228" s="119" t="s">
        <v>352</v>
      </c>
      <c r="C228" s="27">
        <v>80</v>
      </c>
      <c r="D228" s="27">
        <v>140</v>
      </c>
      <c r="E228" s="27">
        <v>220</v>
      </c>
      <c r="F228" s="27">
        <v>11</v>
      </c>
      <c r="G228" s="27">
        <v>11</v>
      </c>
      <c r="H228" s="27">
        <v>22</v>
      </c>
      <c r="I228" s="27">
        <v>2</v>
      </c>
      <c r="J228" s="27">
        <v>5</v>
      </c>
      <c r="K228" s="27">
        <v>7</v>
      </c>
      <c r="L228" s="27">
        <v>23</v>
      </c>
      <c r="M228" s="27">
        <v>41</v>
      </c>
      <c r="N228" s="27">
        <v>64</v>
      </c>
    </row>
    <row r="229" spans="1:14" ht="46.5" x14ac:dyDescent="0.35">
      <c r="A229" s="357">
        <v>225</v>
      </c>
      <c r="B229" s="119" t="s">
        <v>353</v>
      </c>
      <c r="C229" s="27">
        <v>239</v>
      </c>
      <c r="D229" s="27">
        <v>367</v>
      </c>
      <c r="E229" s="27">
        <v>606</v>
      </c>
      <c r="F229" s="27">
        <v>28</v>
      </c>
      <c r="G229" s="27">
        <v>39</v>
      </c>
      <c r="H229" s="27">
        <v>67</v>
      </c>
      <c r="I229" s="27">
        <v>9</v>
      </c>
      <c r="J229" s="27">
        <v>14</v>
      </c>
      <c r="K229" s="27">
        <v>23</v>
      </c>
      <c r="L229" s="27">
        <v>98</v>
      </c>
      <c r="M229" s="27">
        <v>120</v>
      </c>
      <c r="N229" s="27">
        <v>218</v>
      </c>
    </row>
    <row r="230" spans="1:14" ht="46.5" x14ac:dyDescent="0.35">
      <c r="A230" s="357">
        <v>226</v>
      </c>
      <c r="B230" s="119" t="s">
        <v>354</v>
      </c>
      <c r="C230" s="27">
        <v>454</v>
      </c>
      <c r="D230" s="27">
        <v>851</v>
      </c>
      <c r="E230" s="27">
        <v>1305</v>
      </c>
      <c r="F230" s="27">
        <v>67</v>
      </c>
      <c r="G230" s="27">
        <v>116</v>
      </c>
      <c r="H230" s="27">
        <v>183</v>
      </c>
      <c r="I230" s="27">
        <v>7</v>
      </c>
      <c r="J230" s="27">
        <v>13</v>
      </c>
      <c r="K230" s="27">
        <v>20</v>
      </c>
      <c r="L230" s="27">
        <v>143</v>
      </c>
      <c r="M230" s="27">
        <v>293</v>
      </c>
      <c r="N230" s="27">
        <v>436</v>
      </c>
    </row>
    <row r="231" spans="1:14" ht="46.5" x14ac:dyDescent="0.35">
      <c r="A231" s="357">
        <v>227</v>
      </c>
      <c r="B231" s="119" t="s">
        <v>355</v>
      </c>
      <c r="C231" s="27">
        <v>30</v>
      </c>
      <c r="D231" s="27">
        <v>55</v>
      </c>
      <c r="E231" s="27">
        <v>85</v>
      </c>
      <c r="F231" s="27">
        <v>4</v>
      </c>
      <c r="G231" s="27">
        <v>9</v>
      </c>
      <c r="H231" s="27">
        <v>13</v>
      </c>
      <c r="I231" s="27"/>
      <c r="J231" s="27">
        <v>1</v>
      </c>
      <c r="K231" s="27">
        <v>1</v>
      </c>
      <c r="L231" s="27">
        <v>8</v>
      </c>
      <c r="M231" s="27">
        <v>20</v>
      </c>
      <c r="N231" s="27">
        <v>28</v>
      </c>
    </row>
    <row r="232" spans="1:14" ht="46.5" x14ac:dyDescent="0.35">
      <c r="A232" s="357">
        <v>228</v>
      </c>
      <c r="B232" s="119" t="s">
        <v>356</v>
      </c>
      <c r="C232" s="27">
        <v>65</v>
      </c>
      <c r="D232" s="27">
        <v>167</v>
      </c>
      <c r="E232" s="27">
        <v>232</v>
      </c>
      <c r="F232" s="27">
        <v>4</v>
      </c>
      <c r="G232" s="27">
        <v>16</v>
      </c>
      <c r="H232" s="27">
        <v>20</v>
      </c>
      <c r="I232" s="27"/>
      <c r="J232" s="27">
        <v>3</v>
      </c>
      <c r="K232" s="27">
        <v>3</v>
      </c>
      <c r="L232" s="27">
        <v>14</v>
      </c>
      <c r="M232" s="27">
        <v>51</v>
      </c>
      <c r="N232" s="27">
        <v>65</v>
      </c>
    </row>
    <row r="233" spans="1:14" ht="31" x14ac:dyDescent="0.35">
      <c r="A233" s="357">
        <v>229</v>
      </c>
      <c r="B233" s="119" t="s">
        <v>357</v>
      </c>
      <c r="C233" s="27">
        <v>103</v>
      </c>
      <c r="D233" s="27">
        <v>157</v>
      </c>
      <c r="E233" s="27">
        <v>260</v>
      </c>
      <c r="F233" s="27">
        <v>9</v>
      </c>
      <c r="G233" s="27">
        <v>16</v>
      </c>
      <c r="H233" s="27">
        <v>25</v>
      </c>
      <c r="I233" s="27">
        <v>9</v>
      </c>
      <c r="J233" s="27">
        <v>13</v>
      </c>
      <c r="K233" s="27">
        <v>22</v>
      </c>
      <c r="L233" s="27">
        <v>27</v>
      </c>
      <c r="M233" s="27">
        <v>50</v>
      </c>
      <c r="N233" s="27">
        <v>77</v>
      </c>
    </row>
    <row r="234" spans="1:14" ht="15.5" x14ac:dyDescent="0.35">
      <c r="A234" s="357">
        <v>230</v>
      </c>
      <c r="B234" s="119" t="s">
        <v>358</v>
      </c>
      <c r="C234" s="27">
        <v>333925</v>
      </c>
      <c r="D234" s="27">
        <v>528025</v>
      </c>
      <c r="E234" s="27">
        <v>861950</v>
      </c>
      <c r="F234" s="27">
        <v>48860</v>
      </c>
      <c r="G234" s="27">
        <v>67907</v>
      </c>
      <c r="H234" s="27">
        <v>116767</v>
      </c>
      <c r="I234" s="27">
        <v>21232</v>
      </c>
      <c r="J234" s="27">
        <v>29008</v>
      </c>
      <c r="K234" s="27">
        <v>50240</v>
      </c>
      <c r="L234" s="27">
        <v>140675</v>
      </c>
      <c r="M234" s="27">
        <v>236024</v>
      </c>
      <c r="N234" s="27">
        <v>376699</v>
      </c>
    </row>
    <row r="235" spans="1:14" ht="15.5" x14ac:dyDescent="0.35">
      <c r="A235" s="357">
        <v>231</v>
      </c>
      <c r="B235" s="119" t="s">
        <v>359</v>
      </c>
      <c r="C235" s="27">
        <v>522</v>
      </c>
      <c r="D235" s="27">
        <v>858</v>
      </c>
      <c r="E235" s="27">
        <v>1380</v>
      </c>
      <c r="F235" s="27">
        <v>54</v>
      </c>
      <c r="G235" s="27">
        <v>119</v>
      </c>
      <c r="H235" s="27">
        <v>173</v>
      </c>
      <c r="I235" s="27">
        <v>39</v>
      </c>
      <c r="J235" s="27">
        <v>40</v>
      </c>
      <c r="K235" s="27">
        <v>79</v>
      </c>
      <c r="L235" s="27">
        <v>169</v>
      </c>
      <c r="M235" s="27">
        <v>373</v>
      </c>
      <c r="N235" s="27">
        <v>542</v>
      </c>
    </row>
    <row r="236" spans="1:14" ht="46.5" x14ac:dyDescent="0.35">
      <c r="A236" s="357">
        <v>232</v>
      </c>
      <c r="B236" s="119" t="s">
        <v>360</v>
      </c>
      <c r="C236" s="27">
        <v>1</v>
      </c>
      <c r="D236" s="27"/>
      <c r="E236" s="27">
        <v>1</v>
      </c>
      <c r="F236" s="27"/>
      <c r="G236" s="27"/>
      <c r="H236" s="27"/>
      <c r="I236" s="27"/>
      <c r="J236" s="27"/>
      <c r="K236" s="27"/>
      <c r="L236" s="27">
        <v>1</v>
      </c>
      <c r="M236" s="27"/>
      <c r="N236" s="27">
        <v>1</v>
      </c>
    </row>
    <row r="237" spans="1:14" ht="15.5" x14ac:dyDescent="0.35">
      <c r="A237" s="357">
        <v>233</v>
      </c>
      <c r="B237" s="119" t="s">
        <v>361</v>
      </c>
      <c r="C237" s="27">
        <v>77614</v>
      </c>
      <c r="D237" s="27">
        <v>33483</v>
      </c>
      <c r="E237" s="27">
        <v>111097</v>
      </c>
      <c r="F237" s="27">
        <v>9919</v>
      </c>
      <c r="G237" s="27">
        <v>4527</v>
      </c>
      <c r="H237" s="27">
        <v>14446</v>
      </c>
      <c r="I237" s="27">
        <v>3311</v>
      </c>
      <c r="J237" s="27">
        <v>1516</v>
      </c>
      <c r="K237" s="27">
        <v>4827</v>
      </c>
      <c r="L237" s="27">
        <v>23200</v>
      </c>
      <c r="M237" s="27">
        <v>10970</v>
      </c>
      <c r="N237" s="27">
        <v>34170</v>
      </c>
    </row>
    <row r="238" spans="1:14" ht="31" x14ac:dyDescent="0.35">
      <c r="A238" s="357">
        <v>234</v>
      </c>
      <c r="B238" s="119" t="s">
        <v>362</v>
      </c>
      <c r="C238" s="27">
        <v>188</v>
      </c>
      <c r="D238" s="27">
        <v>71</v>
      </c>
      <c r="E238" s="27">
        <v>259</v>
      </c>
      <c r="F238" s="27">
        <v>20</v>
      </c>
      <c r="G238" s="27">
        <v>9</v>
      </c>
      <c r="H238" s="27">
        <v>29</v>
      </c>
      <c r="I238" s="27">
        <v>1</v>
      </c>
      <c r="J238" s="27"/>
      <c r="K238" s="27">
        <v>1</v>
      </c>
      <c r="L238" s="27">
        <v>43</v>
      </c>
      <c r="M238" s="27">
        <v>17</v>
      </c>
      <c r="N238" s="27">
        <v>60</v>
      </c>
    </row>
    <row r="239" spans="1:14" ht="31" x14ac:dyDescent="0.35">
      <c r="A239" s="357">
        <v>235</v>
      </c>
      <c r="B239" s="119" t="s">
        <v>363</v>
      </c>
      <c r="C239" s="27">
        <v>73</v>
      </c>
      <c r="D239" s="27">
        <v>46</v>
      </c>
      <c r="E239" s="27">
        <v>119</v>
      </c>
      <c r="F239" s="27">
        <v>10</v>
      </c>
      <c r="G239" s="27">
        <v>2</v>
      </c>
      <c r="H239" s="27">
        <v>12</v>
      </c>
      <c r="I239" s="27">
        <v>1</v>
      </c>
      <c r="J239" s="27"/>
      <c r="K239" s="27">
        <v>1</v>
      </c>
      <c r="L239" s="27">
        <v>16</v>
      </c>
      <c r="M239" s="27">
        <v>7</v>
      </c>
      <c r="N239" s="27">
        <v>23</v>
      </c>
    </row>
    <row r="240" spans="1:14" ht="15.5" x14ac:dyDescent="0.35">
      <c r="A240" s="357">
        <v>236</v>
      </c>
      <c r="B240" s="119" t="s">
        <v>364</v>
      </c>
      <c r="C240" s="27">
        <v>309</v>
      </c>
      <c r="D240" s="27">
        <v>285</v>
      </c>
      <c r="E240" s="27">
        <v>594</v>
      </c>
      <c r="F240" s="27">
        <v>54</v>
      </c>
      <c r="G240" s="27">
        <v>25</v>
      </c>
      <c r="H240" s="27">
        <v>79</v>
      </c>
      <c r="I240" s="27">
        <v>19</v>
      </c>
      <c r="J240" s="27">
        <v>6</v>
      </c>
      <c r="K240" s="27">
        <v>25</v>
      </c>
      <c r="L240" s="27">
        <v>95</v>
      </c>
      <c r="M240" s="27">
        <v>84</v>
      </c>
      <c r="N240" s="27">
        <v>179</v>
      </c>
    </row>
    <row r="241" spans="1:14" ht="31" x14ac:dyDescent="0.35">
      <c r="A241" s="357">
        <v>237</v>
      </c>
      <c r="B241" s="120" t="s">
        <v>365</v>
      </c>
      <c r="C241" s="27">
        <v>2649</v>
      </c>
      <c r="D241" s="27">
        <v>2136</v>
      </c>
      <c r="E241" s="27">
        <v>4785</v>
      </c>
      <c r="F241" s="27">
        <v>299</v>
      </c>
      <c r="G241" s="27">
        <v>203</v>
      </c>
      <c r="H241" s="27">
        <v>502</v>
      </c>
      <c r="I241" s="27">
        <v>187</v>
      </c>
      <c r="J241" s="27">
        <v>255</v>
      </c>
      <c r="K241" s="27">
        <v>442</v>
      </c>
      <c r="L241" s="27">
        <v>826</v>
      </c>
      <c r="M241" s="27">
        <v>722</v>
      </c>
      <c r="N241" s="27">
        <v>1548</v>
      </c>
    </row>
    <row r="242" spans="1:14" ht="15.5" x14ac:dyDescent="0.35">
      <c r="A242" s="357">
        <v>238</v>
      </c>
      <c r="B242" s="120" t="s">
        <v>366</v>
      </c>
      <c r="C242" s="27">
        <v>927</v>
      </c>
      <c r="D242" s="27">
        <v>1088</v>
      </c>
      <c r="E242" s="27">
        <v>2015</v>
      </c>
      <c r="F242" s="27">
        <v>111</v>
      </c>
      <c r="G242" s="27">
        <v>89</v>
      </c>
      <c r="H242" s="27">
        <v>200</v>
      </c>
      <c r="I242" s="27">
        <v>70</v>
      </c>
      <c r="J242" s="27">
        <v>54</v>
      </c>
      <c r="K242" s="27">
        <v>124</v>
      </c>
      <c r="L242" s="27">
        <v>248</v>
      </c>
      <c r="M242" s="27">
        <v>332</v>
      </c>
      <c r="N242" s="27">
        <v>580</v>
      </c>
    </row>
    <row r="243" spans="1:14" ht="46.5" x14ac:dyDescent="0.35">
      <c r="A243" s="357">
        <v>239</v>
      </c>
      <c r="B243" s="120" t="s">
        <v>367</v>
      </c>
      <c r="C243" s="27">
        <v>150</v>
      </c>
      <c r="D243" s="27">
        <v>172</v>
      </c>
      <c r="E243" s="27">
        <v>322</v>
      </c>
      <c r="F243" s="27">
        <v>19</v>
      </c>
      <c r="G243" s="27">
        <v>9</v>
      </c>
      <c r="H243" s="27">
        <v>28</v>
      </c>
      <c r="I243" s="27">
        <v>2</v>
      </c>
      <c r="J243" s="27">
        <v>2</v>
      </c>
      <c r="K243" s="27">
        <v>4</v>
      </c>
      <c r="L243" s="27">
        <v>53</v>
      </c>
      <c r="M243" s="27">
        <v>38</v>
      </c>
      <c r="N243" s="27">
        <v>91</v>
      </c>
    </row>
    <row r="244" spans="1:14" ht="15.5" x14ac:dyDescent="0.35">
      <c r="A244" s="357">
        <v>240</v>
      </c>
      <c r="B244" s="120" t="s">
        <v>368</v>
      </c>
      <c r="C244" s="27">
        <v>799</v>
      </c>
      <c r="D244" s="27">
        <v>814</v>
      </c>
      <c r="E244" s="27">
        <v>1613</v>
      </c>
      <c r="F244" s="27">
        <v>118</v>
      </c>
      <c r="G244" s="27">
        <v>96</v>
      </c>
      <c r="H244" s="27">
        <v>214</v>
      </c>
      <c r="I244" s="27">
        <v>51</v>
      </c>
      <c r="J244" s="27">
        <v>39</v>
      </c>
      <c r="K244" s="27">
        <v>90</v>
      </c>
      <c r="L244" s="27">
        <v>242</v>
      </c>
      <c r="M244" s="27">
        <v>286</v>
      </c>
      <c r="N244" s="27">
        <v>528</v>
      </c>
    </row>
    <row r="245" spans="1:14" ht="15.5" x14ac:dyDescent="0.35">
      <c r="A245" s="357">
        <v>241</v>
      </c>
      <c r="B245" s="120" t="s">
        <v>369</v>
      </c>
      <c r="C245" s="27">
        <v>85</v>
      </c>
      <c r="D245" s="27">
        <v>73</v>
      </c>
      <c r="E245" s="27">
        <v>158</v>
      </c>
      <c r="F245" s="27">
        <v>13</v>
      </c>
      <c r="G245" s="27">
        <v>8</v>
      </c>
      <c r="H245" s="27">
        <v>21</v>
      </c>
      <c r="I245" s="27">
        <v>1</v>
      </c>
      <c r="J245" s="27">
        <v>2</v>
      </c>
      <c r="K245" s="27">
        <v>3</v>
      </c>
      <c r="L245" s="27">
        <v>15</v>
      </c>
      <c r="M245" s="27">
        <v>11</v>
      </c>
      <c r="N245" s="27">
        <v>26</v>
      </c>
    </row>
    <row r="246" spans="1:14" ht="31" x14ac:dyDescent="0.35">
      <c r="A246" s="357">
        <v>242</v>
      </c>
      <c r="B246" s="120" t="s">
        <v>370</v>
      </c>
      <c r="C246" s="27">
        <v>1395</v>
      </c>
      <c r="D246" s="27">
        <v>1044</v>
      </c>
      <c r="E246" s="27">
        <v>2439</v>
      </c>
      <c r="F246" s="27">
        <v>318</v>
      </c>
      <c r="G246" s="27">
        <v>219</v>
      </c>
      <c r="H246" s="27">
        <v>537</v>
      </c>
      <c r="I246" s="27">
        <v>179</v>
      </c>
      <c r="J246" s="27">
        <v>149</v>
      </c>
      <c r="K246" s="27">
        <v>328</v>
      </c>
      <c r="L246" s="27">
        <v>255</v>
      </c>
      <c r="M246" s="27">
        <v>228</v>
      </c>
      <c r="N246" s="27">
        <v>483</v>
      </c>
    </row>
    <row r="247" spans="1:14" ht="31" x14ac:dyDescent="0.35">
      <c r="A247" s="357">
        <v>243</v>
      </c>
      <c r="B247" s="120" t="s">
        <v>371</v>
      </c>
      <c r="C247" s="27">
        <v>511</v>
      </c>
      <c r="D247" s="27">
        <v>283</v>
      </c>
      <c r="E247" s="27">
        <v>794</v>
      </c>
      <c r="F247" s="27">
        <v>107</v>
      </c>
      <c r="G247" s="27">
        <v>30</v>
      </c>
      <c r="H247" s="27">
        <v>137</v>
      </c>
      <c r="I247" s="27">
        <v>24</v>
      </c>
      <c r="J247" s="27">
        <v>19</v>
      </c>
      <c r="K247" s="27">
        <v>43</v>
      </c>
      <c r="L247" s="27">
        <v>188</v>
      </c>
      <c r="M247" s="27">
        <v>97</v>
      </c>
      <c r="N247" s="27">
        <v>285</v>
      </c>
    </row>
    <row r="248" spans="1:14" ht="31" x14ac:dyDescent="0.35">
      <c r="A248" s="357">
        <v>244</v>
      </c>
      <c r="B248" s="120" t="s">
        <v>372</v>
      </c>
      <c r="C248" s="27">
        <v>28</v>
      </c>
      <c r="D248" s="27">
        <v>11</v>
      </c>
      <c r="E248" s="27">
        <v>39</v>
      </c>
      <c r="F248" s="27">
        <v>1</v>
      </c>
      <c r="G248" s="27"/>
      <c r="H248" s="27">
        <v>1</v>
      </c>
      <c r="I248" s="27">
        <v>1</v>
      </c>
      <c r="J248" s="27">
        <v>1</v>
      </c>
      <c r="K248" s="27">
        <v>2</v>
      </c>
      <c r="L248" s="27">
        <v>6</v>
      </c>
      <c r="M248" s="27">
        <v>4</v>
      </c>
      <c r="N248" s="27">
        <v>10</v>
      </c>
    </row>
    <row r="249" spans="1:14" ht="31" x14ac:dyDescent="0.35">
      <c r="A249" s="357">
        <v>245</v>
      </c>
      <c r="B249" s="120" t="s">
        <v>373</v>
      </c>
      <c r="C249" s="27">
        <v>357</v>
      </c>
      <c r="D249" s="27">
        <v>165</v>
      </c>
      <c r="E249" s="27">
        <v>522</v>
      </c>
      <c r="F249" s="27">
        <v>2</v>
      </c>
      <c r="G249" s="27"/>
      <c r="H249" s="27">
        <v>2</v>
      </c>
      <c r="I249" s="27"/>
      <c r="J249" s="27"/>
      <c r="K249" s="27"/>
      <c r="L249" s="27">
        <v>10</v>
      </c>
      <c r="M249" s="27">
        <v>11</v>
      </c>
      <c r="N249" s="27">
        <v>21</v>
      </c>
    </row>
    <row r="250" spans="1:14" ht="31" x14ac:dyDescent="0.35">
      <c r="A250" s="357">
        <v>246</v>
      </c>
      <c r="B250" s="120" t="s">
        <v>374</v>
      </c>
      <c r="C250" s="27">
        <v>11750</v>
      </c>
      <c r="D250" s="27">
        <v>7597</v>
      </c>
      <c r="E250" s="27">
        <v>19347</v>
      </c>
      <c r="F250" s="27">
        <v>782</v>
      </c>
      <c r="G250" s="27">
        <v>517</v>
      </c>
      <c r="H250" s="27">
        <v>1299</v>
      </c>
      <c r="I250" s="27">
        <v>446</v>
      </c>
      <c r="J250" s="27">
        <v>421</v>
      </c>
      <c r="K250" s="27">
        <v>867</v>
      </c>
      <c r="L250" s="27">
        <v>2085</v>
      </c>
      <c r="M250" s="27">
        <v>1216</v>
      </c>
      <c r="N250" s="27">
        <v>3301</v>
      </c>
    </row>
    <row r="251" spans="1:14" ht="31" x14ac:dyDescent="0.35">
      <c r="A251" s="357">
        <v>247</v>
      </c>
      <c r="B251" s="120" t="s">
        <v>375</v>
      </c>
      <c r="C251" s="27">
        <v>2577</v>
      </c>
      <c r="D251" s="27">
        <v>1746</v>
      </c>
      <c r="E251" s="27">
        <v>4323</v>
      </c>
      <c r="F251" s="27">
        <v>489</v>
      </c>
      <c r="G251" s="27">
        <v>364</v>
      </c>
      <c r="H251" s="27">
        <v>853</v>
      </c>
      <c r="I251" s="27">
        <v>279</v>
      </c>
      <c r="J251" s="27">
        <v>250</v>
      </c>
      <c r="K251" s="27">
        <v>529</v>
      </c>
      <c r="L251" s="27">
        <v>571</v>
      </c>
      <c r="M251" s="27">
        <v>322</v>
      </c>
      <c r="N251" s="27">
        <v>893</v>
      </c>
    </row>
    <row r="252" spans="1:14" ht="15.5" x14ac:dyDescent="0.35">
      <c r="A252" s="357">
        <v>248</v>
      </c>
      <c r="B252" s="120" t="s">
        <v>376</v>
      </c>
      <c r="C252" s="27">
        <v>46</v>
      </c>
      <c r="D252" s="27">
        <v>40</v>
      </c>
      <c r="E252" s="27">
        <v>86</v>
      </c>
      <c r="F252" s="27">
        <v>4</v>
      </c>
      <c r="G252" s="27">
        <v>2</v>
      </c>
      <c r="H252" s="27">
        <v>6</v>
      </c>
      <c r="I252" s="27">
        <v>1</v>
      </c>
      <c r="J252" s="27">
        <v>1</v>
      </c>
      <c r="K252" s="27">
        <v>2</v>
      </c>
      <c r="L252" s="27">
        <v>12</v>
      </c>
      <c r="M252" s="27">
        <v>10</v>
      </c>
      <c r="N252" s="27">
        <v>22</v>
      </c>
    </row>
    <row r="253" spans="1:14" ht="15.5" x14ac:dyDescent="0.35">
      <c r="A253" s="357">
        <v>249</v>
      </c>
      <c r="B253" s="120" t="s">
        <v>377</v>
      </c>
      <c r="C253" s="27">
        <v>167126</v>
      </c>
      <c r="D253" s="27">
        <v>167638</v>
      </c>
      <c r="E253" s="27">
        <v>334764</v>
      </c>
      <c r="F253" s="27">
        <v>18715</v>
      </c>
      <c r="G253" s="27">
        <v>14922</v>
      </c>
      <c r="H253" s="27">
        <v>33637</v>
      </c>
      <c r="I253" s="27">
        <v>7248</v>
      </c>
      <c r="J253" s="27">
        <v>6595</v>
      </c>
      <c r="K253" s="27">
        <v>13843</v>
      </c>
      <c r="L253" s="27">
        <v>47082</v>
      </c>
      <c r="M253" s="27">
        <v>47128</v>
      </c>
      <c r="N253" s="27">
        <v>94210</v>
      </c>
    </row>
    <row r="254" spans="1:14" ht="15.5" x14ac:dyDescent="0.35">
      <c r="A254" s="357">
        <v>250</v>
      </c>
      <c r="B254" s="120" t="s">
        <v>378</v>
      </c>
      <c r="C254" s="27">
        <v>16791</v>
      </c>
      <c r="D254" s="27">
        <v>26742</v>
      </c>
      <c r="E254" s="27">
        <v>43533</v>
      </c>
      <c r="F254" s="27">
        <v>1734</v>
      </c>
      <c r="G254" s="27">
        <v>3166</v>
      </c>
      <c r="H254" s="27">
        <v>4900</v>
      </c>
      <c r="I254" s="27">
        <v>574</v>
      </c>
      <c r="J254" s="27">
        <v>795</v>
      </c>
      <c r="K254" s="27">
        <v>1369</v>
      </c>
      <c r="L254" s="27">
        <v>7439</v>
      </c>
      <c r="M254" s="27">
        <v>12647</v>
      </c>
      <c r="N254" s="27">
        <v>20086</v>
      </c>
    </row>
    <row r="255" spans="1:14" ht="15.5" x14ac:dyDescent="0.35">
      <c r="A255" s="357">
        <v>251</v>
      </c>
      <c r="B255" s="120" t="s">
        <v>379</v>
      </c>
      <c r="C255" s="27">
        <v>19</v>
      </c>
      <c r="D255" s="27">
        <v>25</v>
      </c>
      <c r="E255" s="27">
        <v>44</v>
      </c>
      <c r="F255" s="27">
        <v>2</v>
      </c>
      <c r="G255" s="27">
        <v>6</v>
      </c>
      <c r="H255" s="27">
        <v>8</v>
      </c>
      <c r="I255" s="27">
        <v>1</v>
      </c>
      <c r="J255" s="27">
        <v>1</v>
      </c>
      <c r="K255" s="27">
        <v>2</v>
      </c>
      <c r="L255" s="27">
        <v>4</v>
      </c>
      <c r="M255" s="27">
        <v>3</v>
      </c>
      <c r="N255" s="27">
        <v>7</v>
      </c>
    </row>
    <row r="256" spans="1:14" ht="31" x14ac:dyDescent="0.35">
      <c r="A256" s="357">
        <v>252</v>
      </c>
      <c r="B256" s="120" t="s">
        <v>380</v>
      </c>
      <c r="C256" s="27">
        <v>2049</v>
      </c>
      <c r="D256" s="27">
        <v>6860</v>
      </c>
      <c r="E256" s="27">
        <v>8909</v>
      </c>
      <c r="F256" s="27">
        <v>431</v>
      </c>
      <c r="G256" s="27">
        <v>1406</v>
      </c>
      <c r="H256" s="27">
        <v>1837</v>
      </c>
      <c r="I256" s="27">
        <v>249</v>
      </c>
      <c r="J256" s="27">
        <v>1057</v>
      </c>
      <c r="K256" s="27">
        <v>1306</v>
      </c>
      <c r="L256" s="27">
        <v>651</v>
      </c>
      <c r="M256" s="27">
        <v>2276</v>
      </c>
      <c r="N256" s="27">
        <v>2927</v>
      </c>
    </row>
    <row r="257" spans="1:14" ht="15.5" x14ac:dyDescent="0.35">
      <c r="A257" s="357">
        <v>253</v>
      </c>
      <c r="B257" s="120" t="s">
        <v>381</v>
      </c>
      <c r="C257" s="27">
        <v>78507</v>
      </c>
      <c r="D257" s="27">
        <v>72477</v>
      </c>
      <c r="E257" s="27">
        <v>150984</v>
      </c>
      <c r="F257" s="27">
        <v>10711</v>
      </c>
      <c r="G257" s="27">
        <v>10295</v>
      </c>
      <c r="H257" s="27">
        <v>21006</v>
      </c>
      <c r="I257" s="27">
        <v>5557</v>
      </c>
      <c r="J257" s="27">
        <v>6402</v>
      </c>
      <c r="K257" s="27">
        <v>11959</v>
      </c>
      <c r="L257" s="27">
        <v>23378</v>
      </c>
      <c r="M257" s="27">
        <v>23139</v>
      </c>
      <c r="N257" s="27">
        <v>46517</v>
      </c>
    </row>
    <row r="258" spans="1:14" ht="31" x14ac:dyDescent="0.35">
      <c r="A258" s="357">
        <v>254</v>
      </c>
      <c r="B258" s="120" t="s">
        <v>382</v>
      </c>
      <c r="C258" s="27">
        <v>70</v>
      </c>
      <c r="D258" s="27">
        <v>53</v>
      </c>
      <c r="E258" s="27">
        <v>123</v>
      </c>
      <c r="F258" s="27">
        <v>8</v>
      </c>
      <c r="G258" s="27">
        <v>6</v>
      </c>
      <c r="H258" s="27">
        <v>14</v>
      </c>
      <c r="I258" s="27">
        <v>38</v>
      </c>
      <c r="J258" s="27">
        <v>16</v>
      </c>
      <c r="K258" s="27">
        <v>54</v>
      </c>
      <c r="L258" s="27">
        <v>19</v>
      </c>
      <c r="M258" s="27">
        <v>25</v>
      </c>
      <c r="N258" s="27">
        <v>44</v>
      </c>
    </row>
    <row r="259" spans="1:14" ht="15.5" x14ac:dyDescent="0.35">
      <c r="A259" s="357">
        <v>255</v>
      </c>
      <c r="B259" s="120" t="s">
        <v>383</v>
      </c>
      <c r="C259" s="27">
        <v>36127</v>
      </c>
      <c r="D259" s="27">
        <v>20285</v>
      </c>
      <c r="E259" s="27">
        <v>56412</v>
      </c>
      <c r="F259" s="27">
        <v>3364</v>
      </c>
      <c r="G259" s="27">
        <v>3953</v>
      </c>
      <c r="H259" s="27">
        <v>7317</v>
      </c>
      <c r="I259" s="27">
        <v>1345</v>
      </c>
      <c r="J259" s="27">
        <v>1673</v>
      </c>
      <c r="K259" s="27">
        <v>3018</v>
      </c>
      <c r="L259" s="27">
        <v>7859</v>
      </c>
      <c r="M259" s="27">
        <v>7391</v>
      </c>
      <c r="N259" s="27">
        <v>15250</v>
      </c>
    </row>
    <row r="260" spans="1:14" ht="31" x14ac:dyDescent="0.35">
      <c r="A260" s="357">
        <v>256</v>
      </c>
      <c r="B260" s="120" t="s">
        <v>384</v>
      </c>
      <c r="C260" s="27">
        <v>140</v>
      </c>
      <c r="D260" s="27">
        <v>62</v>
      </c>
      <c r="E260" s="27">
        <v>202</v>
      </c>
      <c r="F260" s="27">
        <v>8</v>
      </c>
      <c r="G260" s="27">
        <v>6</v>
      </c>
      <c r="H260" s="27">
        <v>14</v>
      </c>
      <c r="I260" s="27">
        <v>2</v>
      </c>
      <c r="J260" s="27">
        <v>2</v>
      </c>
      <c r="K260" s="27">
        <v>4</v>
      </c>
      <c r="L260" s="27">
        <v>55</v>
      </c>
      <c r="M260" s="27">
        <v>24</v>
      </c>
      <c r="N260" s="27">
        <v>79</v>
      </c>
    </row>
    <row r="261" spans="1:14" ht="15.5" x14ac:dyDescent="0.35">
      <c r="A261" s="357">
        <v>257</v>
      </c>
      <c r="B261" s="120" t="s">
        <v>385</v>
      </c>
      <c r="C261" s="27">
        <v>3876</v>
      </c>
      <c r="D261" s="27">
        <v>4527</v>
      </c>
      <c r="E261" s="27">
        <v>8403</v>
      </c>
      <c r="F261" s="27">
        <v>451</v>
      </c>
      <c r="G261" s="27">
        <v>780</v>
      </c>
      <c r="H261" s="27">
        <v>1231</v>
      </c>
      <c r="I261" s="27">
        <v>351</v>
      </c>
      <c r="J261" s="27">
        <v>671</v>
      </c>
      <c r="K261" s="27">
        <v>1022</v>
      </c>
      <c r="L261" s="27">
        <v>1080</v>
      </c>
      <c r="M261" s="27">
        <v>1865</v>
      </c>
      <c r="N261" s="27">
        <v>2945</v>
      </c>
    </row>
    <row r="262" spans="1:14" ht="15.5" x14ac:dyDescent="0.35">
      <c r="A262" s="357">
        <v>258</v>
      </c>
      <c r="B262" s="120" t="s">
        <v>386</v>
      </c>
      <c r="C262" s="27">
        <v>1027</v>
      </c>
      <c r="D262" s="27">
        <v>2080</v>
      </c>
      <c r="E262" s="27">
        <v>3107</v>
      </c>
      <c r="F262" s="27">
        <v>76</v>
      </c>
      <c r="G262" s="27">
        <v>178</v>
      </c>
      <c r="H262" s="27">
        <v>254</v>
      </c>
      <c r="I262" s="27">
        <v>26</v>
      </c>
      <c r="J262" s="27">
        <v>47</v>
      </c>
      <c r="K262" s="27">
        <v>73</v>
      </c>
      <c r="L262" s="27">
        <v>392</v>
      </c>
      <c r="M262" s="27">
        <v>732</v>
      </c>
      <c r="N262" s="27">
        <v>1124</v>
      </c>
    </row>
    <row r="263" spans="1:14" ht="15.5" x14ac:dyDescent="0.35">
      <c r="A263" s="357">
        <v>259</v>
      </c>
      <c r="B263" s="120" t="s">
        <v>387</v>
      </c>
      <c r="C263" s="27">
        <v>86</v>
      </c>
      <c r="D263" s="27">
        <v>13</v>
      </c>
      <c r="E263" s="27">
        <v>99</v>
      </c>
      <c r="F263" s="27">
        <v>4</v>
      </c>
      <c r="G263" s="27">
        <v>3</v>
      </c>
      <c r="H263" s="27">
        <v>7</v>
      </c>
      <c r="I263" s="27">
        <v>1</v>
      </c>
      <c r="J263" s="27"/>
      <c r="K263" s="27">
        <v>1</v>
      </c>
      <c r="L263" s="27">
        <v>13</v>
      </c>
      <c r="M263" s="27">
        <v>3</v>
      </c>
      <c r="N263" s="27">
        <v>16</v>
      </c>
    </row>
    <row r="264" spans="1:14" ht="15.5" x14ac:dyDescent="0.35">
      <c r="A264" s="357">
        <v>260</v>
      </c>
      <c r="B264" s="120" t="s">
        <v>388</v>
      </c>
      <c r="C264" s="27"/>
      <c r="D264" s="27">
        <v>1</v>
      </c>
      <c r="E264" s="27">
        <v>1</v>
      </c>
      <c r="F264" s="27"/>
      <c r="G264" s="27"/>
      <c r="H264" s="27"/>
      <c r="I264" s="27"/>
      <c r="J264" s="27">
        <v>1</v>
      </c>
      <c r="K264" s="27">
        <v>1</v>
      </c>
      <c r="L264" s="27"/>
      <c r="M264" s="27"/>
      <c r="N264" s="27"/>
    </row>
    <row r="265" spans="1:14" ht="15.5" x14ac:dyDescent="0.35">
      <c r="A265" s="357">
        <v>261</v>
      </c>
      <c r="B265" s="120" t="s">
        <v>389</v>
      </c>
      <c r="C265" s="27">
        <v>952</v>
      </c>
      <c r="D265" s="27">
        <v>449</v>
      </c>
      <c r="E265" s="27">
        <v>1401</v>
      </c>
      <c r="F265" s="27">
        <v>98</v>
      </c>
      <c r="G265" s="27">
        <v>50</v>
      </c>
      <c r="H265" s="27">
        <v>148</v>
      </c>
      <c r="I265" s="27">
        <v>34</v>
      </c>
      <c r="J265" s="27">
        <v>13</v>
      </c>
      <c r="K265" s="27">
        <v>47</v>
      </c>
      <c r="L265" s="27">
        <v>133</v>
      </c>
      <c r="M265" s="27">
        <v>114</v>
      </c>
      <c r="N265" s="27">
        <v>247</v>
      </c>
    </row>
    <row r="266" spans="1:14" ht="15.5" x14ac:dyDescent="0.35">
      <c r="A266" s="357">
        <v>262</v>
      </c>
      <c r="B266" s="120" t="s">
        <v>390</v>
      </c>
      <c r="C266" s="27">
        <v>55</v>
      </c>
      <c r="D266" s="27">
        <v>42</v>
      </c>
      <c r="E266" s="27">
        <v>97</v>
      </c>
      <c r="F266" s="27">
        <v>29</v>
      </c>
      <c r="G266" s="27">
        <v>31</v>
      </c>
      <c r="H266" s="27">
        <v>60</v>
      </c>
      <c r="I266" s="27"/>
      <c r="J266" s="27"/>
      <c r="K266" s="27"/>
      <c r="L266" s="27">
        <v>1</v>
      </c>
      <c r="M266" s="27"/>
      <c r="N266" s="27">
        <v>1</v>
      </c>
    </row>
    <row r="267" spans="1:14" ht="15.5" x14ac:dyDescent="0.35">
      <c r="A267" s="357">
        <v>263</v>
      </c>
      <c r="B267" s="120" t="s">
        <v>391</v>
      </c>
      <c r="C267" s="27">
        <v>7</v>
      </c>
      <c r="D267" s="27">
        <v>7</v>
      </c>
      <c r="E267" s="27">
        <v>14</v>
      </c>
      <c r="F267" s="27">
        <v>1</v>
      </c>
      <c r="G267" s="27">
        <v>1</v>
      </c>
      <c r="H267" s="27">
        <v>2</v>
      </c>
      <c r="I267" s="27"/>
      <c r="J267" s="27">
        <v>1</v>
      </c>
      <c r="K267" s="27">
        <v>1</v>
      </c>
      <c r="L267" s="27">
        <v>5</v>
      </c>
      <c r="M267" s="27"/>
      <c r="N267" s="27">
        <v>5</v>
      </c>
    </row>
    <row r="268" spans="1:14" ht="30" customHeight="1" x14ac:dyDescent="0.35">
      <c r="A268" s="747" t="s">
        <v>46</v>
      </c>
      <c r="B268" s="747"/>
      <c r="C268" s="93">
        <v>19518683</v>
      </c>
      <c r="D268" s="93">
        <v>19415521</v>
      </c>
      <c r="E268" s="93">
        <v>38934204</v>
      </c>
      <c r="F268" s="93">
        <v>3020794</v>
      </c>
      <c r="G268" s="93">
        <v>3102188</v>
      </c>
      <c r="H268" s="93">
        <v>6122982</v>
      </c>
      <c r="I268" s="93">
        <v>1192371</v>
      </c>
      <c r="J268" s="93">
        <v>1326257</v>
      </c>
      <c r="K268" s="93">
        <v>2518628</v>
      </c>
      <c r="L268" s="93">
        <v>7908912</v>
      </c>
      <c r="M268" s="93">
        <v>7962249</v>
      </c>
      <c r="N268" s="93">
        <v>15871161</v>
      </c>
    </row>
    <row r="269" spans="1:14" x14ac:dyDescent="0.35"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</row>
    <row r="270" spans="1:14" ht="14.5" x14ac:dyDescent="0.35"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ht="14.5" x14ac:dyDescent="0.35"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</row>
    <row r="273" spans="3:3" x14ac:dyDescent="0.35">
      <c r="C273" s="115"/>
    </row>
  </sheetData>
  <mergeCells count="8">
    <mergeCell ref="A1:N1"/>
    <mergeCell ref="A268:B268"/>
    <mergeCell ref="A2:A3"/>
    <mergeCell ref="B2:B3"/>
    <mergeCell ref="C2:E2"/>
    <mergeCell ref="F2:H2"/>
    <mergeCell ref="I2:K2"/>
    <mergeCell ref="L2:N2"/>
  </mergeCells>
  <pageMargins left="0.59055118110236227" right="0.15748031496062992" top="0.39370078740157483" bottom="0.39370078740157483" header="0.31496062992125984" footer="0.19685039370078741"/>
  <pageSetup paperSize="9" scale="50" orientation="portrait" r:id="rId1"/>
  <headerFooter>
    <oddFooter>&amp;L&amp;"Arial,Italic"&amp;9AISHE 2023-24&amp;RT-11a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5E71-9537-488D-86E3-0AB5682822D9}">
  <dimension ref="A1:N81"/>
  <sheetViews>
    <sheetView view="pageBreakPreview" zoomScaleNormal="100" zoomScaleSheetLayoutView="100" workbookViewId="0">
      <pane ySplit="4" topLeftCell="A5" activePane="bottomLeft" state="frozen"/>
      <selection activeCell="B16" sqref="B16:M16"/>
      <selection pane="bottomLeft" activeCell="B16" sqref="B16:M16"/>
    </sheetView>
  </sheetViews>
  <sheetFormatPr defaultColWidth="9.54296875" defaultRowHeight="14" x14ac:dyDescent="0.35"/>
  <cols>
    <col min="1" max="1" width="6.81640625" style="130" bestFit="1" customWidth="1"/>
    <col min="2" max="2" width="49.7265625" style="108" customWidth="1"/>
    <col min="3" max="5" width="11" style="130" bestFit="1" customWidth="1"/>
    <col min="6" max="13" width="9.81640625" style="130" bestFit="1" customWidth="1"/>
    <col min="14" max="14" width="11" style="130" bestFit="1" customWidth="1"/>
    <col min="15" max="16384" width="9.54296875" style="106"/>
  </cols>
  <sheetData>
    <row r="1" spans="1:14" ht="34.5" customHeight="1" x14ac:dyDescent="0.35">
      <c r="A1" s="753" t="s">
        <v>392</v>
      </c>
      <c r="B1" s="753"/>
      <c r="C1" s="754" t="s">
        <v>1032</v>
      </c>
      <c r="D1" s="755"/>
      <c r="E1" s="755"/>
      <c r="F1" s="755"/>
      <c r="G1" s="755"/>
      <c r="H1" s="755"/>
      <c r="I1" s="754" t="str">
        <f>C1</f>
        <v>Program-Wise Enrolment Analysis for Diverse Social Groups (Distance Mode) (Based on Actual Responses)</v>
      </c>
      <c r="J1" s="754"/>
      <c r="K1" s="754"/>
      <c r="L1" s="754"/>
      <c r="M1" s="754"/>
      <c r="N1" s="754"/>
    </row>
    <row r="2" spans="1:14" s="124" customFormat="1" x14ac:dyDescent="0.35">
      <c r="A2" s="756" t="s">
        <v>48</v>
      </c>
      <c r="B2" s="757" t="s">
        <v>393</v>
      </c>
      <c r="C2" s="758" t="s">
        <v>394</v>
      </c>
      <c r="D2" s="758"/>
      <c r="E2" s="758"/>
      <c r="F2" s="758" t="s">
        <v>395</v>
      </c>
      <c r="G2" s="758"/>
      <c r="H2" s="758"/>
      <c r="I2" s="758" t="s">
        <v>396</v>
      </c>
      <c r="J2" s="758"/>
      <c r="K2" s="758"/>
      <c r="L2" s="758" t="s">
        <v>397</v>
      </c>
      <c r="M2" s="758"/>
      <c r="N2" s="758"/>
    </row>
    <row r="3" spans="1:14" s="126" customFormat="1" x14ac:dyDescent="0.35">
      <c r="A3" s="756"/>
      <c r="B3" s="757"/>
      <c r="C3" s="125" t="s">
        <v>103</v>
      </c>
      <c r="D3" s="125" t="s">
        <v>104</v>
      </c>
      <c r="E3" s="125" t="s">
        <v>89</v>
      </c>
      <c r="F3" s="125" t="s">
        <v>103</v>
      </c>
      <c r="G3" s="125" t="s">
        <v>104</v>
      </c>
      <c r="H3" s="125" t="s">
        <v>89</v>
      </c>
      <c r="I3" s="125" t="s">
        <v>103</v>
      </c>
      <c r="J3" s="125" t="s">
        <v>104</v>
      </c>
      <c r="K3" s="125" t="s">
        <v>89</v>
      </c>
      <c r="L3" s="125" t="s">
        <v>103</v>
      </c>
      <c r="M3" s="125" t="s">
        <v>104</v>
      </c>
      <c r="N3" s="125" t="s">
        <v>89</v>
      </c>
    </row>
    <row r="4" spans="1:14" s="127" customFormat="1" ht="10.5" x14ac:dyDescent="0.35">
      <c r="A4" s="301">
        <v>1</v>
      </c>
      <c r="B4" s="301">
        <v>2</v>
      </c>
      <c r="C4" s="301">
        <v>3</v>
      </c>
      <c r="D4" s="301">
        <v>4</v>
      </c>
      <c r="E4" s="301">
        <v>5</v>
      </c>
      <c r="F4" s="301">
        <v>6</v>
      </c>
      <c r="G4" s="301">
        <v>7</v>
      </c>
      <c r="H4" s="301">
        <v>8</v>
      </c>
      <c r="I4" s="301">
        <v>9</v>
      </c>
      <c r="J4" s="301">
        <v>10</v>
      </c>
      <c r="K4" s="301">
        <v>11</v>
      </c>
      <c r="L4" s="301">
        <v>12</v>
      </c>
      <c r="M4" s="301">
        <v>13</v>
      </c>
      <c r="N4" s="301">
        <v>14</v>
      </c>
    </row>
    <row r="5" spans="1:14" ht="22.5" customHeight="1" x14ac:dyDescent="0.3">
      <c r="A5" s="331">
        <v>1</v>
      </c>
      <c r="B5" s="128" t="s">
        <v>129</v>
      </c>
      <c r="C5" s="97">
        <v>5</v>
      </c>
      <c r="D5" s="97">
        <v>1160</v>
      </c>
      <c r="E5" s="97">
        <v>1165</v>
      </c>
      <c r="F5" s="97">
        <v>1</v>
      </c>
      <c r="G5" s="97">
        <v>561</v>
      </c>
      <c r="H5" s="97">
        <v>562</v>
      </c>
      <c r="I5" s="97">
        <v>1</v>
      </c>
      <c r="J5" s="97">
        <v>230</v>
      </c>
      <c r="K5" s="97">
        <v>231</v>
      </c>
      <c r="L5" s="97">
        <v>1</v>
      </c>
      <c r="M5" s="97">
        <v>157</v>
      </c>
      <c r="N5" s="97">
        <v>158</v>
      </c>
    </row>
    <row r="6" spans="1:14" ht="22.5" customHeight="1" x14ac:dyDescent="0.3">
      <c r="A6" s="331">
        <v>2</v>
      </c>
      <c r="B6" s="128" t="s">
        <v>130</v>
      </c>
      <c r="C6" s="97">
        <v>285</v>
      </c>
      <c r="D6" s="97">
        <v>186</v>
      </c>
      <c r="E6" s="97">
        <v>471</v>
      </c>
      <c r="F6" s="97">
        <v>10</v>
      </c>
      <c r="G6" s="97">
        <v>4</v>
      </c>
      <c r="H6" s="97">
        <v>14</v>
      </c>
      <c r="I6" s="97">
        <v>3</v>
      </c>
      <c r="J6" s="97"/>
      <c r="K6" s="97">
        <v>3</v>
      </c>
      <c r="L6" s="97">
        <v>49</v>
      </c>
      <c r="M6" s="97">
        <v>39</v>
      </c>
      <c r="N6" s="97">
        <v>88</v>
      </c>
    </row>
    <row r="7" spans="1:14" ht="22.5" customHeight="1" x14ac:dyDescent="0.3">
      <c r="A7" s="331">
        <v>3</v>
      </c>
      <c r="B7" s="128" t="s">
        <v>138</v>
      </c>
      <c r="C7" s="97">
        <v>147986</v>
      </c>
      <c r="D7" s="97">
        <v>138589</v>
      </c>
      <c r="E7" s="97">
        <v>286575</v>
      </c>
      <c r="F7" s="97">
        <v>16500</v>
      </c>
      <c r="G7" s="97">
        <v>13511</v>
      </c>
      <c r="H7" s="97">
        <v>30011</v>
      </c>
      <c r="I7" s="97">
        <v>7948</v>
      </c>
      <c r="J7" s="97">
        <v>7356</v>
      </c>
      <c r="K7" s="97">
        <v>15304</v>
      </c>
      <c r="L7" s="97">
        <v>55608</v>
      </c>
      <c r="M7" s="97">
        <v>43324</v>
      </c>
      <c r="N7" s="97">
        <v>98932</v>
      </c>
    </row>
    <row r="8" spans="1:14" ht="22.5" customHeight="1" x14ac:dyDescent="0.3">
      <c r="A8" s="331">
        <v>4</v>
      </c>
      <c r="B8" s="128" t="s">
        <v>139</v>
      </c>
      <c r="C8" s="97">
        <v>896154</v>
      </c>
      <c r="D8" s="97">
        <v>738735</v>
      </c>
      <c r="E8" s="97">
        <v>1634889</v>
      </c>
      <c r="F8" s="97">
        <v>159208</v>
      </c>
      <c r="G8" s="97">
        <v>125736</v>
      </c>
      <c r="H8" s="97">
        <v>284944</v>
      </c>
      <c r="I8" s="97">
        <v>50788</v>
      </c>
      <c r="J8" s="97">
        <v>43080</v>
      </c>
      <c r="K8" s="97">
        <v>93868</v>
      </c>
      <c r="L8" s="97">
        <v>284255</v>
      </c>
      <c r="M8" s="97">
        <v>233553</v>
      </c>
      <c r="N8" s="97">
        <v>517808</v>
      </c>
    </row>
    <row r="9" spans="1:14" ht="30.75" customHeight="1" x14ac:dyDescent="0.3">
      <c r="A9" s="331">
        <v>5</v>
      </c>
      <c r="B9" s="128" t="s">
        <v>149</v>
      </c>
      <c r="C9" s="97">
        <v>21</v>
      </c>
      <c r="D9" s="97">
        <v>36</v>
      </c>
      <c r="E9" s="97">
        <v>57</v>
      </c>
      <c r="F9" s="97">
        <v>3</v>
      </c>
      <c r="G9" s="97">
        <v>3</v>
      </c>
      <c r="H9" s="97">
        <v>6</v>
      </c>
      <c r="I9" s="97"/>
      <c r="J9" s="97"/>
      <c r="K9" s="97"/>
      <c r="L9" s="97">
        <v>7</v>
      </c>
      <c r="M9" s="97">
        <v>9</v>
      </c>
      <c r="N9" s="97">
        <v>16</v>
      </c>
    </row>
    <row r="10" spans="1:14" ht="31.5" customHeight="1" x14ac:dyDescent="0.3">
      <c r="A10" s="331">
        <v>6</v>
      </c>
      <c r="B10" s="128" t="s">
        <v>145</v>
      </c>
      <c r="C10" s="97">
        <v>16</v>
      </c>
      <c r="D10" s="97">
        <v>4</v>
      </c>
      <c r="E10" s="97">
        <v>20</v>
      </c>
      <c r="F10" s="97"/>
      <c r="G10" s="97">
        <v>1</v>
      </c>
      <c r="H10" s="97">
        <v>1</v>
      </c>
      <c r="I10" s="97"/>
      <c r="J10" s="97"/>
      <c r="K10" s="97"/>
      <c r="L10" s="97">
        <v>2</v>
      </c>
      <c r="M10" s="97"/>
      <c r="N10" s="97">
        <v>2</v>
      </c>
    </row>
    <row r="11" spans="1:14" ht="22.5" customHeight="1" x14ac:dyDescent="0.3">
      <c r="A11" s="331">
        <v>7</v>
      </c>
      <c r="B11" s="128" t="s">
        <v>146</v>
      </c>
      <c r="C11" s="97">
        <v>44110</v>
      </c>
      <c r="D11" s="97">
        <v>17625</v>
      </c>
      <c r="E11" s="97">
        <v>61735</v>
      </c>
      <c r="F11" s="97">
        <v>3396</v>
      </c>
      <c r="G11" s="97">
        <v>1594</v>
      </c>
      <c r="H11" s="97">
        <v>4990</v>
      </c>
      <c r="I11" s="97">
        <v>331</v>
      </c>
      <c r="J11" s="97">
        <v>175</v>
      </c>
      <c r="K11" s="97">
        <v>506</v>
      </c>
      <c r="L11" s="97">
        <v>15197</v>
      </c>
      <c r="M11" s="97">
        <v>8307</v>
      </c>
      <c r="N11" s="97">
        <v>23504</v>
      </c>
    </row>
    <row r="12" spans="1:14" ht="22.5" customHeight="1" x14ac:dyDescent="0.3">
      <c r="A12" s="331">
        <v>8</v>
      </c>
      <c r="B12" s="128" t="s">
        <v>150</v>
      </c>
      <c r="C12" s="97">
        <v>37</v>
      </c>
      <c r="D12" s="97">
        <v>27</v>
      </c>
      <c r="E12" s="97">
        <v>64</v>
      </c>
      <c r="F12" s="97">
        <v>6</v>
      </c>
      <c r="G12" s="97">
        <v>4</v>
      </c>
      <c r="H12" s="97">
        <v>10</v>
      </c>
      <c r="I12" s="97">
        <v>2</v>
      </c>
      <c r="J12" s="97">
        <v>3</v>
      </c>
      <c r="K12" s="97">
        <v>5</v>
      </c>
      <c r="L12" s="97">
        <v>12</v>
      </c>
      <c r="M12" s="97">
        <v>9</v>
      </c>
      <c r="N12" s="97">
        <v>21</v>
      </c>
    </row>
    <row r="13" spans="1:14" ht="27" customHeight="1" x14ac:dyDescent="0.3">
      <c r="A13" s="331">
        <v>9</v>
      </c>
      <c r="B13" s="128" t="s">
        <v>152</v>
      </c>
      <c r="C13" s="97">
        <v>1</v>
      </c>
      <c r="D13" s="97"/>
      <c r="E13" s="97">
        <v>1</v>
      </c>
      <c r="F13" s="97"/>
      <c r="G13" s="97"/>
      <c r="H13" s="97"/>
      <c r="I13" s="97">
        <v>1</v>
      </c>
      <c r="J13" s="97"/>
      <c r="K13" s="97">
        <v>1</v>
      </c>
      <c r="L13" s="97"/>
      <c r="M13" s="97"/>
      <c r="N13" s="97"/>
    </row>
    <row r="14" spans="1:14" ht="22.5" customHeight="1" x14ac:dyDescent="0.3">
      <c r="A14" s="331">
        <v>10</v>
      </c>
      <c r="B14" s="128" t="s">
        <v>153</v>
      </c>
      <c r="C14" s="97">
        <v>51156</v>
      </c>
      <c r="D14" s="97">
        <v>16530</v>
      </c>
      <c r="E14" s="97">
        <v>67686</v>
      </c>
      <c r="F14" s="97">
        <v>4918</v>
      </c>
      <c r="G14" s="97">
        <v>1507</v>
      </c>
      <c r="H14" s="97">
        <v>6425</v>
      </c>
      <c r="I14" s="97">
        <v>720</v>
      </c>
      <c r="J14" s="97">
        <v>198</v>
      </c>
      <c r="K14" s="97">
        <v>918</v>
      </c>
      <c r="L14" s="97">
        <v>14518</v>
      </c>
      <c r="M14" s="97">
        <v>5269</v>
      </c>
      <c r="N14" s="97">
        <v>19787</v>
      </c>
    </row>
    <row r="15" spans="1:14" ht="22.5" customHeight="1" x14ac:dyDescent="0.3">
      <c r="A15" s="331">
        <v>11</v>
      </c>
      <c r="B15" s="128" t="s">
        <v>159</v>
      </c>
      <c r="C15" s="97">
        <v>19993</v>
      </c>
      <c r="D15" s="97">
        <v>12723</v>
      </c>
      <c r="E15" s="97">
        <v>32716</v>
      </c>
      <c r="F15" s="97">
        <v>1687</v>
      </c>
      <c r="G15" s="97">
        <v>1047</v>
      </c>
      <c r="H15" s="97">
        <v>2734</v>
      </c>
      <c r="I15" s="97">
        <v>75</v>
      </c>
      <c r="J15" s="97">
        <v>32</v>
      </c>
      <c r="K15" s="97">
        <v>107</v>
      </c>
      <c r="L15" s="97">
        <v>2479</v>
      </c>
      <c r="M15" s="97">
        <v>1439</v>
      </c>
      <c r="N15" s="97">
        <v>3918</v>
      </c>
    </row>
    <row r="16" spans="1:14" ht="22.5" customHeight="1" x14ac:dyDescent="0.3">
      <c r="A16" s="331">
        <v>12</v>
      </c>
      <c r="B16" s="128" t="s">
        <v>160</v>
      </c>
      <c r="C16" s="97">
        <v>240931</v>
      </c>
      <c r="D16" s="97">
        <v>155545</v>
      </c>
      <c r="E16" s="97">
        <v>396476</v>
      </c>
      <c r="F16" s="97">
        <v>30956</v>
      </c>
      <c r="G16" s="97">
        <v>19492</v>
      </c>
      <c r="H16" s="97">
        <v>50448</v>
      </c>
      <c r="I16" s="97">
        <v>7097</v>
      </c>
      <c r="J16" s="97">
        <v>4787</v>
      </c>
      <c r="K16" s="97">
        <v>11884</v>
      </c>
      <c r="L16" s="97">
        <v>77119</v>
      </c>
      <c r="M16" s="97">
        <v>51840</v>
      </c>
      <c r="N16" s="97">
        <v>128959</v>
      </c>
    </row>
    <row r="17" spans="1:14" ht="22.5" customHeight="1" x14ac:dyDescent="0.3">
      <c r="A17" s="331">
        <v>13</v>
      </c>
      <c r="B17" s="128" t="s">
        <v>167</v>
      </c>
      <c r="C17" s="97">
        <v>22631</v>
      </c>
      <c r="D17" s="97">
        <v>8374</v>
      </c>
      <c r="E17" s="97">
        <v>31005</v>
      </c>
      <c r="F17" s="97">
        <v>2148</v>
      </c>
      <c r="G17" s="97">
        <v>626</v>
      </c>
      <c r="H17" s="97">
        <v>2774</v>
      </c>
      <c r="I17" s="97">
        <v>358</v>
      </c>
      <c r="J17" s="97">
        <v>84</v>
      </c>
      <c r="K17" s="97">
        <v>442</v>
      </c>
      <c r="L17" s="97">
        <v>7355</v>
      </c>
      <c r="M17" s="97">
        <v>2204</v>
      </c>
      <c r="N17" s="97">
        <v>9559</v>
      </c>
    </row>
    <row r="18" spans="1:14" ht="22.5" customHeight="1" x14ac:dyDescent="0.3">
      <c r="A18" s="331">
        <v>14</v>
      </c>
      <c r="B18" s="128" t="s">
        <v>169</v>
      </c>
      <c r="C18" s="97">
        <v>15437</v>
      </c>
      <c r="D18" s="97">
        <v>16295</v>
      </c>
      <c r="E18" s="97">
        <v>31732</v>
      </c>
      <c r="F18" s="97">
        <v>2175</v>
      </c>
      <c r="G18" s="97">
        <v>1820</v>
      </c>
      <c r="H18" s="97">
        <v>3995</v>
      </c>
      <c r="I18" s="97">
        <v>1342</v>
      </c>
      <c r="J18" s="97">
        <v>1020</v>
      </c>
      <c r="K18" s="97">
        <v>2362</v>
      </c>
      <c r="L18" s="97">
        <v>4683</v>
      </c>
      <c r="M18" s="97">
        <v>4404</v>
      </c>
      <c r="N18" s="97">
        <v>9087</v>
      </c>
    </row>
    <row r="19" spans="1:14" ht="22.5" customHeight="1" x14ac:dyDescent="0.3">
      <c r="A19" s="331">
        <v>15</v>
      </c>
      <c r="B19" s="128" t="s">
        <v>171</v>
      </c>
      <c r="C19" s="97">
        <v>528</v>
      </c>
      <c r="D19" s="97">
        <v>1357</v>
      </c>
      <c r="E19" s="97">
        <v>1885</v>
      </c>
      <c r="F19" s="97">
        <v>87</v>
      </c>
      <c r="G19" s="97">
        <v>134</v>
      </c>
      <c r="H19" s="97">
        <v>221</v>
      </c>
      <c r="I19" s="97">
        <v>8</v>
      </c>
      <c r="J19" s="97">
        <v>7</v>
      </c>
      <c r="K19" s="97">
        <v>15</v>
      </c>
      <c r="L19" s="97">
        <v>218</v>
      </c>
      <c r="M19" s="97">
        <v>660</v>
      </c>
      <c r="N19" s="97">
        <v>878</v>
      </c>
    </row>
    <row r="20" spans="1:14" ht="22.5" customHeight="1" x14ac:dyDescent="0.3">
      <c r="A20" s="331">
        <v>16</v>
      </c>
      <c r="B20" s="128" t="s">
        <v>176</v>
      </c>
      <c r="C20" s="97">
        <v>9892</v>
      </c>
      <c r="D20" s="97">
        <v>3099</v>
      </c>
      <c r="E20" s="97">
        <v>12991</v>
      </c>
      <c r="F20" s="97">
        <v>911</v>
      </c>
      <c r="G20" s="97">
        <v>330</v>
      </c>
      <c r="H20" s="97">
        <v>1241</v>
      </c>
      <c r="I20" s="97">
        <v>273</v>
      </c>
      <c r="J20" s="97">
        <v>159</v>
      </c>
      <c r="K20" s="97">
        <v>432</v>
      </c>
      <c r="L20" s="97">
        <v>2334</v>
      </c>
      <c r="M20" s="97">
        <v>574</v>
      </c>
      <c r="N20" s="97">
        <v>2908</v>
      </c>
    </row>
    <row r="21" spans="1:14" ht="30.75" customHeight="1" x14ac:dyDescent="0.3">
      <c r="A21" s="331">
        <v>17</v>
      </c>
      <c r="B21" s="128" t="s">
        <v>179</v>
      </c>
      <c r="C21" s="97">
        <v>4740</v>
      </c>
      <c r="D21" s="97">
        <v>2931</v>
      </c>
      <c r="E21" s="97">
        <v>7671</v>
      </c>
      <c r="F21" s="97">
        <v>316</v>
      </c>
      <c r="G21" s="97">
        <v>266</v>
      </c>
      <c r="H21" s="97">
        <v>582</v>
      </c>
      <c r="I21" s="97">
        <v>173</v>
      </c>
      <c r="J21" s="97">
        <v>115</v>
      </c>
      <c r="K21" s="97">
        <v>288</v>
      </c>
      <c r="L21" s="97">
        <v>921</v>
      </c>
      <c r="M21" s="97">
        <v>611</v>
      </c>
      <c r="N21" s="97">
        <v>1532</v>
      </c>
    </row>
    <row r="22" spans="1:14" ht="22.5" customHeight="1" x14ac:dyDescent="0.3">
      <c r="A22" s="331">
        <v>18</v>
      </c>
      <c r="B22" s="128" t="s">
        <v>182</v>
      </c>
      <c r="C22" s="97">
        <v>132</v>
      </c>
      <c r="D22" s="97">
        <v>59</v>
      </c>
      <c r="E22" s="97">
        <v>191</v>
      </c>
      <c r="F22" s="97"/>
      <c r="G22" s="97"/>
      <c r="H22" s="97"/>
      <c r="I22" s="97"/>
      <c r="J22" s="97"/>
      <c r="K22" s="97"/>
      <c r="L22" s="97">
        <v>36</v>
      </c>
      <c r="M22" s="97">
        <v>19</v>
      </c>
      <c r="N22" s="97">
        <v>55</v>
      </c>
    </row>
    <row r="23" spans="1:14" ht="22.5" customHeight="1" x14ac:dyDescent="0.3">
      <c r="A23" s="331">
        <v>19</v>
      </c>
      <c r="B23" s="128" t="s">
        <v>184</v>
      </c>
      <c r="C23" s="97">
        <v>175</v>
      </c>
      <c r="D23" s="97">
        <v>48</v>
      </c>
      <c r="E23" s="97">
        <v>223</v>
      </c>
      <c r="F23" s="97">
        <v>23</v>
      </c>
      <c r="G23" s="97">
        <v>6</v>
      </c>
      <c r="H23" s="97">
        <v>29</v>
      </c>
      <c r="I23" s="97">
        <v>11</v>
      </c>
      <c r="J23" s="97">
        <v>1</v>
      </c>
      <c r="K23" s="97">
        <v>12</v>
      </c>
      <c r="L23" s="97">
        <v>81</v>
      </c>
      <c r="M23" s="97">
        <v>12</v>
      </c>
      <c r="N23" s="97">
        <v>93</v>
      </c>
    </row>
    <row r="24" spans="1:14" ht="30.75" customHeight="1" x14ac:dyDescent="0.3">
      <c r="A24" s="331">
        <v>20</v>
      </c>
      <c r="B24" s="128" t="s">
        <v>185</v>
      </c>
      <c r="C24" s="97">
        <v>216</v>
      </c>
      <c r="D24" s="97">
        <v>90</v>
      </c>
      <c r="E24" s="97">
        <v>306</v>
      </c>
      <c r="F24" s="97">
        <v>43</v>
      </c>
      <c r="G24" s="97">
        <v>26</v>
      </c>
      <c r="H24" s="97">
        <v>69</v>
      </c>
      <c r="I24" s="97">
        <v>3</v>
      </c>
      <c r="J24" s="97">
        <v>2</v>
      </c>
      <c r="K24" s="97">
        <v>5</v>
      </c>
      <c r="L24" s="97">
        <v>72</v>
      </c>
      <c r="M24" s="97">
        <v>24</v>
      </c>
      <c r="N24" s="97">
        <v>96</v>
      </c>
    </row>
    <row r="25" spans="1:14" ht="22.5" customHeight="1" x14ac:dyDescent="0.3">
      <c r="A25" s="331">
        <v>21</v>
      </c>
      <c r="B25" s="128" t="s">
        <v>187</v>
      </c>
      <c r="C25" s="97">
        <v>4231</v>
      </c>
      <c r="D25" s="97">
        <v>4137</v>
      </c>
      <c r="E25" s="97">
        <v>8368</v>
      </c>
      <c r="F25" s="97">
        <v>835</v>
      </c>
      <c r="G25" s="97">
        <v>652</v>
      </c>
      <c r="H25" s="97">
        <v>1487</v>
      </c>
      <c r="I25" s="97">
        <v>307</v>
      </c>
      <c r="J25" s="97">
        <v>200</v>
      </c>
      <c r="K25" s="97">
        <v>507</v>
      </c>
      <c r="L25" s="97">
        <v>1982</v>
      </c>
      <c r="M25" s="97">
        <v>1891</v>
      </c>
      <c r="N25" s="97">
        <v>3873</v>
      </c>
    </row>
    <row r="26" spans="1:14" ht="22.5" customHeight="1" x14ac:dyDescent="0.3">
      <c r="A26" s="331">
        <v>22</v>
      </c>
      <c r="B26" s="128" t="s">
        <v>188</v>
      </c>
      <c r="C26" s="97">
        <v>13431</v>
      </c>
      <c r="D26" s="97">
        <v>12053</v>
      </c>
      <c r="E26" s="97">
        <v>25484</v>
      </c>
      <c r="F26" s="97">
        <v>1841</v>
      </c>
      <c r="G26" s="97">
        <v>1437</v>
      </c>
      <c r="H26" s="97">
        <v>3278</v>
      </c>
      <c r="I26" s="97">
        <v>865</v>
      </c>
      <c r="J26" s="97">
        <v>806</v>
      </c>
      <c r="K26" s="97">
        <v>1671</v>
      </c>
      <c r="L26" s="97">
        <v>4903</v>
      </c>
      <c r="M26" s="97">
        <v>3870</v>
      </c>
      <c r="N26" s="97">
        <v>8773</v>
      </c>
    </row>
    <row r="27" spans="1:14" ht="22.5" customHeight="1" x14ac:dyDescent="0.3">
      <c r="A27" s="331">
        <v>23</v>
      </c>
      <c r="B27" s="128" t="s">
        <v>189</v>
      </c>
      <c r="C27" s="97">
        <v>813</v>
      </c>
      <c r="D27" s="97">
        <v>1256</v>
      </c>
      <c r="E27" s="97">
        <v>2069</v>
      </c>
      <c r="F27" s="97">
        <v>101</v>
      </c>
      <c r="G27" s="97">
        <v>259</v>
      </c>
      <c r="H27" s="97">
        <v>360</v>
      </c>
      <c r="I27" s="97">
        <v>7</v>
      </c>
      <c r="J27" s="97">
        <v>10</v>
      </c>
      <c r="K27" s="97">
        <v>17</v>
      </c>
      <c r="L27" s="97">
        <v>683</v>
      </c>
      <c r="M27" s="97">
        <v>949</v>
      </c>
      <c r="N27" s="97">
        <v>1632</v>
      </c>
    </row>
    <row r="28" spans="1:14" ht="22.5" customHeight="1" x14ac:dyDescent="0.3">
      <c r="A28" s="331">
        <v>24</v>
      </c>
      <c r="B28" s="128" t="s">
        <v>192</v>
      </c>
      <c r="C28" s="97">
        <v>447</v>
      </c>
      <c r="D28" s="97">
        <v>221</v>
      </c>
      <c r="E28" s="97">
        <v>668</v>
      </c>
      <c r="F28" s="97">
        <v>27</v>
      </c>
      <c r="G28" s="97">
        <v>15</v>
      </c>
      <c r="H28" s="97">
        <v>42</v>
      </c>
      <c r="I28" s="97">
        <v>2</v>
      </c>
      <c r="J28" s="97"/>
      <c r="K28" s="97">
        <v>2</v>
      </c>
      <c r="L28" s="97">
        <v>52</v>
      </c>
      <c r="M28" s="97">
        <v>21</v>
      </c>
      <c r="N28" s="97">
        <v>73</v>
      </c>
    </row>
    <row r="29" spans="1:14" ht="22.5" customHeight="1" x14ac:dyDescent="0.3">
      <c r="A29" s="331">
        <v>26</v>
      </c>
      <c r="B29" s="128" t="s">
        <v>199</v>
      </c>
      <c r="C29" s="97">
        <v>22</v>
      </c>
      <c r="D29" s="97">
        <v>21</v>
      </c>
      <c r="E29" s="97">
        <v>43</v>
      </c>
      <c r="F29" s="97">
        <v>3</v>
      </c>
      <c r="G29" s="97">
        <v>2</v>
      </c>
      <c r="H29" s="97">
        <v>5</v>
      </c>
      <c r="I29" s="97"/>
      <c r="J29" s="97"/>
      <c r="K29" s="97"/>
      <c r="L29" s="97">
        <v>13</v>
      </c>
      <c r="M29" s="97">
        <v>17</v>
      </c>
      <c r="N29" s="97">
        <v>30</v>
      </c>
    </row>
    <row r="30" spans="1:14" ht="22.5" customHeight="1" x14ac:dyDescent="0.3">
      <c r="A30" s="331">
        <v>27</v>
      </c>
      <c r="B30" s="128" t="s">
        <v>207</v>
      </c>
      <c r="C30" s="97">
        <v>25</v>
      </c>
      <c r="D30" s="97">
        <v>47</v>
      </c>
      <c r="E30" s="97">
        <v>72</v>
      </c>
      <c r="F30" s="97">
        <v>7</v>
      </c>
      <c r="G30" s="97">
        <v>5</v>
      </c>
      <c r="H30" s="97">
        <v>12</v>
      </c>
      <c r="I30" s="97">
        <v>1</v>
      </c>
      <c r="J30" s="97">
        <v>1</v>
      </c>
      <c r="K30" s="97">
        <v>2</v>
      </c>
      <c r="L30" s="97">
        <v>11</v>
      </c>
      <c r="M30" s="97">
        <v>27</v>
      </c>
      <c r="N30" s="97">
        <v>38</v>
      </c>
    </row>
    <row r="31" spans="1:14" ht="22.5" customHeight="1" x14ac:dyDescent="0.3">
      <c r="A31" s="331">
        <v>28</v>
      </c>
      <c r="B31" s="128" t="s">
        <v>214</v>
      </c>
      <c r="C31" s="97">
        <v>13787</v>
      </c>
      <c r="D31" s="97">
        <v>9820</v>
      </c>
      <c r="E31" s="97">
        <v>23607</v>
      </c>
      <c r="F31" s="97">
        <v>1892</v>
      </c>
      <c r="G31" s="97">
        <v>1470</v>
      </c>
      <c r="H31" s="97">
        <v>3362</v>
      </c>
      <c r="I31" s="97">
        <v>2573</v>
      </c>
      <c r="J31" s="97">
        <v>1895</v>
      </c>
      <c r="K31" s="97">
        <v>4468</v>
      </c>
      <c r="L31" s="97">
        <v>5739</v>
      </c>
      <c r="M31" s="97">
        <v>4057</v>
      </c>
      <c r="N31" s="97">
        <v>9796</v>
      </c>
    </row>
    <row r="32" spans="1:14" ht="22.5" customHeight="1" x14ac:dyDescent="0.3">
      <c r="A32" s="331">
        <v>29</v>
      </c>
      <c r="B32" s="128" t="s">
        <v>224</v>
      </c>
      <c r="C32" s="97">
        <v>848</v>
      </c>
      <c r="D32" s="97">
        <v>1320</v>
      </c>
      <c r="E32" s="97">
        <v>2168</v>
      </c>
      <c r="F32" s="97">
        <v>109</v>
      </c>
      <c r="G32" s="97">
        <v>130</v>
      </c>
      <c r="H32" s="97">
        <v>239</v>
      </c>
      <c r="I32" s="97">
        <v>33</v>
      </c>
      <c r="J32" s="97">
        <v>38</v>
      </c>
      <c r="K32" s="97">
        <v>71</v>
      </c>
      <c r="L32" s="97">
        <v>257</v>
      </c>
      <c r="M32" s="97">
        <v>330</v>
      </c>
      <c r="N32" s="97">
        <v>587</v>
      </c>
    </row>
    <row r="33" spans="1:14" ht="22.5" customHeight="1" x14ac:dyDescent="0.3">
      <c r="A33" s="331">
        <v>30</v>
      </c>
      <c r="B33" s="128" t="s">
        <v>225</v>
      </c>
      <c r="C33" s="97">
        <v>480</v>
      </c>
      <c r="D33" s="97">
        <v>1146</v>
      </c>
      <c r="E33" s="97">
        <v>1626</v>
      </c>
      <c r="F33" s="97">
        <v>111</v>
      </c>
      <c r="G33" s="97">
        <v>197</v>
      </c>
      <c r="H33" s="97">
        <v>308</v>
      </c>
      <c r="I33" s="97">
        <v>32</v>
      </c>
      <c r="J33" s="97">
        <v>136</v>
      </c>
      <c r="K33" s="97">
        <v>168</v>
      </c>
      <c r="L33" s="97">
        <v>205</v>
      </c>
      <c r="M33" s="97">
        <v>431</v>
      </c>
      <c r="N33" s="97">
        <v>636</v>
      </c>
    </row>
    <row r="34" spans="1:14" ht="22.5" customHeight="1" x14ac:dyDescent="0.3">
      <c r="A34" s="331">
        <v>31</v>
      </c>
      <c r="B34" s="128" t="s">
        <v>226</v>
      </c>
      <c r="C34" s="97">
        <v>2662</v>
      </c>
      <c r="D34" s="97">
        <v>3670</v>
      </c>
      <c r="E34" s="97">
        <v>6332</v>
      </c>
      <c r="F34" s="97">
        <v>947</v>
      </c>
      <c r="G34" s="97">
        <v>1259</v>
      </c>
      <c r="H34" s="97">
        <v>2206</v>
      </c>
      <c r="I34" s="97">
        <v>746</v>
      </c>
      <c r="J34" s="97">
        <v>1722</v>
      </c>
      <c r="K34" s="97">
        <v>2468</v>
      </c>
      <c r="L34" s="97"/>
      <c r="M34" s="97"/>
      <c r="N34" s="97"/>
    </row>
    <row r="35" spans="1:14" ht="22.5" customHeight="1" x14ac:dyDescent="0.3">
      <c r="A35" s="331">
        <v>32</v>
      </c>
      <c r="B35" s="128" t="s">
        <v>229</v>
      </c>
      <c r="C35" s="97">
        <v>94146</v>
      </c>
      <c r="D35" s="97">
        <v>71120</v>
      </c>
      <c r="E35" s="97">
        <v>165266</v>
      </c>
      <c r="F35" s="97">
        <v>13401</v>
      </c>
      <c r="G35" s="97">
        <v>9552</v>
      </c>
      <c r="H35" s="97">
        <v>22953</v>
      </c>
      <c r="I35" s="97">
        <v>5143</v>
      </c>
      <c r="J35" s="97">
        <v>4870</v>
      </c>
      <c r="K35" s="97">
        <v>10013</v>
      </c>
      <c r="L35" s="97">
        <v>37855</v>
      </c>
      <c r="M35" s="97">
        <v>29479</v>
      </c>
      <c r="N35" s="97">
        <v>67334</v>
      </c>
    </row>
    <row r="36" spans="1:14" ht="22.5" customHeight="1" x14ac:dyDescent="0.3">
      <c r="A36" s="331">
        <v>33</v>
      </c>
      <c r="B36" s="128" t="s">
        <v>237</v>
      </c>
      <c r="C36" s="97">
        <v>632</v>
      </c>
      <c r="D36" s="97">
        <v>359</v>
      </c>
      <c r="E36" s="97">
        <v>991</v>
      </c>
      <c r="F36" s="97">
        <v>56</v>
      </c>
      <c r="G36" s="97">
        <v>42</v>
      </c>
      <c r="H36" s="97">
        <v>98</v>
      </c>
      <c r="I36" s="97">
        <v>36</v>
      </c>
      <c r="J36" s="97">
        <v>16</v>
      </c>
      <c r="K36" s="97">
        <v>52</v>
      </c>
      <c r="L36" s="97">
        <v>123</v>
      </c>
      <c r="M36" s="97">
        <v>46</v>
      </c>
      <c r="N36" s="97">
        <v>169</v>
      </c>
    </row>
    <row r="37" spans="1:14" ht="31.5" customHeight="1" x14ac:dyDescent="0.3">
      <c r="A37" s="331">
        <v>34</v>
      </c>
      <c r="B37" s="128" t="s">
        <v>242</v>
      </c>
      <c r="C37" s="97">
        <v>56</v>
      </c>
      <c r="D37" s="97">
        <v>62</v>
      </c>
      <c r="E37" s="97">
        <v>118</v>
      </c>
      <c r="F37" s="97">
        <v>4</v>
      </c>
      <c r="G37" s="97">
        <v>4</v>
      </c>
      <c r="H37" s="97">
        <v>8</v>
      </c>
      <c r="I37" s="97">
        <v>2</v>
      </c>
      <c r="J37" s="97"/>
      <c r="K37" s="97">
        <v>2</v>
      </c>
      <c r="L37" s="97">
        <v>15</v>
      </c>
      <c r="M37" s="97">
        <v>9</v>
      </c>
      <c r="N37" s="97">
        <v>24</v>
      </c>
    </row>
    <row r="38" spans="1:14" ht="22.5" customHeight="1" x14ac:dyDescent="0.3">
      <c r="A38" s="331">
        <v>35</v>
      </c>
      <c r="B38" s="128" t="s">
        <v>245</v>
      </c>
      <c r="C38" s="97">
        <v>29470</v>
      </c>
      <c r="D38" s="97">
        <v>37033</v>
      </c>
      <c r="E38" s="97">
        <v>66503</v>
      </c>
      <c r="F38" s="97">
        <v>3497</v>
      </c>
      <c r="G38" s="97">
        <v>3687</v>
      </c>
      <c r="H38" s="97">
        <v>7184</v>
      </c>
      <c r="I38" s="97">
        <v>1329</v>
      </c>
      <c r="J38" s="97">
        <v>882</v>
      </c>
      <c r="K38" s="97">
        <v>2211</v>
      </c>
      <c r="L38" s="97">
        <v>11939</v>
      </c>
      <c r="M38" s="97">
        <v>16017</v>
      </c>
      <c r="N38" s="97">
        <v>27956</v>
      </c>
    </row>
    <row r="39" spans="1:14" ht="22.5" customHeight="1" x14ac:dyDescent="0.3">
      <c r="A39" s="331">
        <v>36</v>
      </c>
      <c r="B39" s="128" t="s">
        <v>246</v>
      </c>
      <c r="C39" s="97">
        <v>917</v>
      </c>
      <c r="D39" s="97">
        <v>1273</v>
      </c>
      <c r="E39" s="97">
        <v>2190</v>
      </c>
      <c r="F39" s="97">
        <v>183</v>
      </c>
      <c r="G39" s="97">
        <v>232</v>
      </c>
      <c r="H39" s="97">
        <v>415</v>
      </c>
      <c r="I39" s="97">
        <v>175</v>
      </c>
      <c r="J39" s="97">
        <v>212</v>
      </c>
      <c r="K39" s="97">
        <v>387</v>
      </c>
      <c r="L39" s="97">
        <v>186</v>
      </c>
      <c r="M39" s="97">
        <v>290</v>
      </c>
      <c r="N39" s="97">
        <v>476</v>
      </c>
    </row>
    <row r="40" spans="1:14" ht="22.5" customHeight="1" x14ac:dyDescent="0.3">
      <c r="A40" s="331">
        <v>37</v>
      </c>
      <c r="B40" s="128" t="s">
        <v>247</v>
      </c>
      <c r="C40" s="97">
        <v>3028</v>
      </c>
      <c r="D40" s="97">
        <v>3671</v>
      </c>
      <c r="E40" s="97">
        <v>6699</v>
      </c>
      <c r="F40" s="97">
        <v>473</v>
      </c>
      <c r="G40" s="97">
        <v>540</v>
      </c>
      <c r="H40" s="97">
        <v>1013</v>
      </c>
      <c r="I40" s="97">
        <v>840</v>
      </c>
      <c r="J40" s="97">
        <v>1057</v>
      </c>
      <c r="K40" s="97">
        <v>1897</v>
      </c>
      <c r="L40" s="97">
        <v>1262</v>
      </c>
      <c r="M40" s="97">
        <v>1509</v>
      </c>
      <c r="N40" s="97">
        <v>2771</v>
      </c>
    </row>
    <row r="41" spans="1:14" ht="22.5" customHeight="1" x14ac:dyDescent="0.3">
      <c r="A41" s="331">
        <v>38</v>
      </c>
      <c r="B41" s="128" t="s">
        <v>251</v>
      </c>
      <c r="C41" s="97">
        <v>50</v>
      </c>
      <c r="D41" s="97">
        <v>159</v>
      </c>
      <c r="E41" s="97">
        <v>209</v>
      </c>
      <c r="F41" s="97">
        <v>9</v>
      </c>
      <c r="G41" s="97">
        <v>18</v>
      </c>
      <c r="H41" s="97">
        <v>27</v>
      </c>
      <c r="I41" s="97">
        <v>18</v>
      </c>
      <c r="J41" s="97">
        <v>57</v>
      </c>
      <c r="K41" s="97">
        <v>75</v>
      </c>
      <c r="L41" s="97">
        <v>14</v>
      </c>
      <c r="M41" s="97">
        <v>38</v>
      </c>
      <c r="N41" s="97">
        <v>52</v>
      </c>
    </row>
    <row r="42" spans="1:14" ht="22.5" customHeight="1" x14ac:dyDescent="0.3">
      <c r="A42" s="331">
        <v>39</v>
      </c>
      <c r="B42" s="128" t="s">
        <v>254</v>
      </c>
      <c r="C42" s="97">
        <v>3</v>
      </c>
      <c r="D42" s="97">
        <v>41</v>
      </c>
      <c r="E42" s="97">
        <v>44</v>
      </c>
      <c r="F42" s="97"/>
      <c r="G42" s="97">
        <v>3</v>
      </c>
      <c r="H42" s="97">
        <v>3</v>
      </c>
      <c r="I42" s="97"/>
      <c r="J42" s="97"/>
      <c r="K42" s="97"/>
      <c r="L42" s="97"/>
      <c r="M42" s="97"/>
      <c r="N42" s="97"/>
    </row>
    <row r="43" spans="1:14" ht="22.5" customHeight="1" x14ac:dyDescent="0.3">
      <c r="A43" s="331">
        <v>40</v>
      </c>
      <c r="B43" s="128" t="s">
        <v>255</v>
      </c>
      <c r="C43" s="97">
        <v>646</v>
      </c>
      <c r="D43" s="97">
        <v>378</v>
      </c>
      <c r="E43" s="97">
        <v>1024</v>
      </c>
      <c r="F43" s="97">
        <v>99</v>
      </c>
      <c r="G43" s="97">
        <v>55</v>
      </c>
      <c r="H43" s="97">
        <v>154</v>
      </c>
      <c r="I43" s="97">
        <v>36</v>
      </c>
      <c r="J43" s="97">
        <v>20</v>
      </c>
      <c r="K43" s="97">
        <v>56</v>
      </c>
      <c r="L43" s="97">
        <v>277</v>
      </c>
      <c r="M43" s="97">
        <v>140</v>
      </c>
      <c r="N43" s="97">
        <v>417</v>
      </c>
    </row>
    <row r="44" spans="1:14" ht="22.5" customHeight="1" x14ac:dyDescent="0.3">
      <c r="A44" s="331">
        <v>41</v>
      </c>
      <c r="B44" s="128" t="s">
        <v>258</v>
      </c>
      <c r="C44" s="97">
        <v>1620</v>
      </c>
      <c r="D44" s="97">
        <v>1848</v>
      </c>
      <c r="E44" s="97">
        <v>3468</v>
      </c>
      <c r="F44" s="97">
        <v>63</v>
      </c>
      <c r="G44" s="97">
        <v>447</v>
      </c>
      <c r="H44" s="97">
        <v>510</v>
      </c>
      <c r="I44" s="97">
        <v>10</v>
      </c>
      <c r="J44" s="97">
        <v>33</v>
      </c>
      <c r="K44" s="97">
        <v>43</v>
      </c>
      <c r="L44" s="97">
        <v>378</v>
      </c>
      <c r="M44" s="97">
        <v>1072</v>
      </c>
      <c r="N44" s="97">
        <v>1450</v>
      </c>
    </row>
    <row r="45" spans="1:14" ht="22.5" customHeight="1" x14ac:dyDescent="0.3">
      <c r="A45" s="331">
        <v>42</v>
      </c>
      <c r="B45" s="128" t="s">
        <v>259</v>
      </c>
      <c r="C45" s="97">
        <v>11</v>
      </c>
      <c r="D45" s="97">
        <v>7</v>
      </c>
      <c r="E45" s="97">
        <v>18</v>
      </c>
      <c r="F45" s="97"/>
      <c r="G45" s="97"/>
      <c r="H45" s="97"/>
      <c r="I45" s="97"/>
      <c r="J45" s="97"/>
      <c r="K45" s="97"/>
      <c r="L45" s="97"/>
      <c r="M45" s="97"/>
      <c r="N45" s="97"/>
    </row>
    <row r="46" spans="1:14" ht="22.5" customHeight="1" x14ac:dyDescent="0.3">
      <c r="A46" s="331">
        <v>43</v>
      </c>
      <c r="B46" s="128" t="s">
        <v>261</v>
      </c>
      <c r="C46" s="97">
        <v>41110</v>
      </c>
      <c r="D46" s="97">
        <v>54117</v>
      </c>
      <c r="E46" s="97">
        <v>95227</v>
      </c>
      <c r="F46" s="97">
        <v>5781</v>
      </c>
      <c r="G46" s="97">
        <v>8976</v>
      </c>
      <c r="H46" s="97">
        <v>14757</v>
      </c>
      <c r="I46" s="97">
        <v>2247</v>
      </c>
      <c r="J46" s="97">
        <v>2483</v>
      </c>
      <c r="K46" s="97">
        <v>4730</v>
      </c>
      <c r="L46" s="97">
        <v>15698</v>
      </c>
      <c r="M46" s="97">
        <v>16851</v>
      </c>
      <c r="N46" s="97">
        <v>32549</v>
      </c>
    </row>
    <row r="47" spans="1:14" ht="22.5" customHeight="1" x14ac:dyDescent="0.3">
      <c r="A47" s="331">
        <v>44</v>
      </c>
      <c r="B47" s="128" t="s">
        <v>262</v>
      </c>
      <c r="C47" s="97">
        <v>1176</v>
      </c>
      <c r="D47" s="97">
        <v>329</v>
      </c>
      <c r="E47" s="97">
        <v>1505</v>
      </c>
      <c r="F47" s="97">
        <v>53</v>
      </c>
      <c r="G47" s="97">
        <v>5</v>
      </c>
      <c r="H47" s="97">
        <v>58</v>
      </c>
      <c r="I47" s="97">
        <v>4</v>
      </c>
      <c r="J47" s="97">
        <v>1</v>
      </c>
      <c r="K47" s="97">
        <v>5</v>
      </c>
      <c r="L47" s="97">
        <v>87</v>
      </c>
      <c r="M47" s="97">
        <v>14</v>
      </c>
      <c r="N47" s="97">
        <v>101</v>
      </c>
    </row>
    <row r="48" spans="1:14" ht="22.5" customHeight="1" x14ac:dyDescent="0.3">
      <c r="A48" s="331">
        <v>45</v>
      </c>
      <c r="B48" s="128" t="s">
        <v>266</v>
      </c>
      <c r="C48" s="97">
        <v>2125</v>
      </c>
      <c r="D48" s="97">
        <v>4205</v>
      </c>
      <c r="E48" s="97">
        <v>6330</v>
      </c>
      <c r="F48" s="97">
        <v>514</v>
      </c>
      <c r="G48" s="97">
        <v>1251</v>
      </c>
      <c r="H48" s="97">
        <v>1765</v>
      </c>
      <c r="I48" s="97">
        <v>321</v>
      </c>
      <c r="J48" s="97">
        <v>801</v>
      </c>
      <c r="K48" s="97">
        <v>1122</v>
      </c>
      <c r="L48" s="97">
        <v>495</v>
      </c>
      <c r="M48" s="97">
        <v>1160</v>
      </c>
      <c r="N48" s="97">
        <v>1655</v>
      </c>
    </row>
    <row r="49" spans="1:14" ht="22.5" customHeight="1" x14ac:dyDescent="0.3">
      <c r="A49" s="331">
        <v>46</v>
      </c>
      <c r="B49" s="128" t="s">
        <v>267</v>
      </c>
      <c r="C49" s="97">
        <v>2096</v>
      </c>
      <c r="D49" s="97">
        <v>699</v>
      </c>
      <c r="E49" s="97">
        <v>2795</v>
      </c>
      <c r="F49" s="97">
        <v>253</v>
      </c>
      <c r="G49" s="97">
        <v>78</v>
      </c>
      <c r="H49" s="97">
        <v>331</v>
      </c>
      <c r="I49" s="97">
        <v>23</v>
      </c>
      <c r="J49" s="97">
        <v>5</v>
      </c>
      <c r="K49" s="97">
        <v>28</v>
      </c>
      <c r="L49" s="97">
        <v>1095</v>
      </c>
      <c r="M49" s="97">
        <v>344</v>
      </c>
      <c r="N49" s="97">
        <v>1439</v>
      </c>
    </row>
    <row r="50" spans="1:14" ht="32.25" customHeight="1" x14ac:dyDescent="0.3">
      <c r="A50" s="331">
        <v>47</v>
      </c>
      <c r="B50" s="128" t="s">
        <v>271</v>
      </c>
      <c r="C50" s="97">
        <v>188</v>
      </c>
      <c r="D50" s="97">
        <v>61</v>
      </c>
      <c r="E50" s="97">
        <v>249</v>
      </c>
      <c r="F50" s="97">
        <v>20</v>
      </c>
      <c r="G50" s="97">
        <v>2</v>
      </c>
      <c r="H50" s="97">
        <v>22</v>
      </c>
      <c r="I50" s="97"/>
      <c r="J50" s="97"/>
      <c r="K50" s="97"/>
      <c r="L50" s="97">
        <v>140</v>
      </c>
      <c r="M50" s="97">
        <v>47</v>
      </c>
      <c r="N50" s="97">
        <v>187</v>
      </c>
    </row>
    <row r="51" spans="1:14" ht="22.5" customHeight="1" x14ac:dyDescent="0.3">
      <c r="A51" s="331">
        <v>48</v>
      </c>
      <c r="B51" s="128" t="s">
        <v>280</v>
      </c>
      <c r="C51" s="97">
        <v>205</v>
      </c>
      <c r="D51" s="97">
        <v>85</v>
      </c>
      <c r="E51" s="97">
        <v>290</v>
      </c>
      <c r="F51" s="97">
        <v>25</v>
      </c>
      <c r="G51" s="97">
        <v>4</v>
      </c>
      <c r="H51" s="97">
        <v>29</v>
      </c>
      <c r="I51" s="97">
        <v>1</v>
      </c>
      <c r="J51" s="97"/>
      <c r="K51" s="97">
        <v>1</v>
      </c>
      <c r="L51" s="97">
        <v>48</v>
      </c>
      <c r="M51" s="97">
        <v>14</v>
      </c>
      <c r="N51" s="97">
        <v>62</v>
      </c>
    </row>
    <row r="52" spans="1:14" ht="22.5" customHeight="1" x14ac:dyDescent="0.3">
      <c r="A52" s="331">
        <v>49</v>
      </c>
      <c r="B52" s="128" t="s">
        <v>283</v>
      </c>
      <c r="C52" s="97">
        <v>338072</v>
      </c>
      <c r="D52" s="97">
        <v>494560</v>
      </c>
      <c r="E52" s="97">
        <v>832632</v>
      </c>
      <c r="F52" s="97">
        <v>51916</v>
      </c>
      <c r="G52" s="97">
        <v>66604</v>
      </c>
      <c r="H52" s="97">
        <v>118520</v>
      </c>
      <c r="I52" s="97">
        <v>23662</v>
      </c>
      <c r="J52" s="97">
        <v>30864</v>
      </c>
      <c r="K52" s="97">
        <v>54526</v>
      </c>
      <c r="L52" s="97">
        <v>121949</v>
      </c>
      <c r="M52" s="97">
        <v>154195</v>
      </c>
      <c r="N52" s="97">
        <v>276144</v>
      </c>
    </row>
    <row r="53" spans="1:14" ht="22.5" customHeight="1" x14ac:dyDescent="0.3">
      <c r="A53" s="331">
        <v>50</v>
      </c>
      <c r="B53" s="128" t="s">
        <v>285</v>
      </c>
      <c r="C53" s="97">
        <v>114591</v>
      </c>
      <c r="D53" s="97">
        <v>96110</v>
      </c>
      <c r="E53" s="97">
        <v>210701</v>
      </c>
      <c r="F53" s="97">
        <v>10732</v>
      </c>
      <c r="G53" s="97">
        <v>9302</v>
      </c>
      <c r="H53" s="97">
        <v>20034</v>
      </c>
      <c r="I53" s="97">
        <v>1275</v>
      </c>
      <c r="J53" s="97">
        <v>877</v>
      </c>
      <c r="K53" s="97">
        <v>2152</v>
      </c>
      <c r="L53" s="97">
        <v>43862</v>
      </c>
      <c r="M53" s="97">
        <v>37397</v>
      </c>
      <c r="N53" s="97">
        <v>81259</v>
      </c>
    </row>
    <row r="54" spans="1:14" ht="22.5" customHeight="1" x14ac:dyDescent="0.3">
      <c r="A54" s="331">
        <v>51</v>
      </c>
      <c r="B54" s="128" t="s">
        <v>289</v>
      </c>
      <c r="C54" s="97">
        <v>20475</v>
      </c>
      <c r="D54" s="97">
        <v>14095</v>
      </c>
      <c r="E54" s="97">
        <v>34570</v>
      </c>
      <c r="F54" s="97">
        <v>1340</v>
      </c>
      <c r="G54" s="97">
        <v>862</v>
      </c>
      <c r="H54" s="97">
        <v>2202</v>
      </c>
      <c r="I54" s="97">
        <v>236</v>
      </c>
      <c r="J54" s="97">
        <v>114</v>
      </c>
      <c r="K54" s="97">
        <v>350</v>
      </c>
      <c r="L54" s="97">
        <v>8282</v>
      </c>
      <c r="M54" s="97">
        <v>6334</v>
      </c>
      <c r="N54" s="97">
        <v>14616</v>
      </c>
    </row>
    <row r="55" spans="1:14" ht="22.5" customHeight="1" x14ac:dyDescent="0.3">
      <c r="A55" s="331">
        <v>52</v>
      </c>
      <c r="B55" s="128" t="s">
        <v>292</v>
      </c>
      <c r="C55" s="97">
        <v>39348</v>
      </c>
      <c r="D55" s="97">
        <v>66074</v>
      </c>
      <c r="E55" s="97">
        <v>105422</v>
      </c>
      <c r="F55" s="97">
        <v>4179</v>
      </c>
      <c r="G55" s="97">
        <v>5709</v>
      </c>
      <c r="H55" s="97">
        <v>9888</v>
      </c>
      <c r="I55" s="97">
        <v>1500</v>
      </c>
      <c r="J55" s="97">
        <v>1646</v>
      </c>
      <c r="K55" s="97">
        <v>3146</v>
      </c>
      <c r="L55" s="97">
        <v>13005</v>
      </c>
      <c r="M55" s="97">
        <v>22398</v>
      </c>
      <c r="N55" s="97">
        <v>35403</v>
      </c>
    </row>
    <row r="56" spans="1:14" ht="22.5" customHeight="1" x14ac:dyDescent="0.3">
      <c r="A56" s="331">
        <v>53</v>
      </c>
      <c r="B56" s="128" t="s">
        <v>299</v>
      </c>
      <c r="C56" s="97">
        <v>29</v>
      </c>
      <c r="D56" s="97">
        <v>23</v>
      </c>
      <c r="E56" s="97">
        <v>52</v>
      </c>
      <c r="F56" s="97">
        <v>4</v>
      </c>
      <c r="G56" s="97">
        <v>1</v>
      </c>
      <c r="H56" s="97">
        <v>5</v>
      </c>
      <c r="I56" s="97">
        <v>1</v>
      </c>
      <c r="J56" s="97"/>
      <c r="K56" s="97">
        <v>1</v>
      </c>
      <c r="L56" s="97">
        <v>6</v>
      </c>
      <c r="M56" s="97">
        <v>3</v>
      </c>
      <c r="N56" s="97">
        <v>9</v>
      </c>
    </row>
    <row r="57" spans="1:14" ht="22.5" customHeight="1" x14ac:dyDescent="0.3">
      <c r="A57" s="331">
        <v>54</v>
      </c>
      <c r="B57" s="128" t="s">
        <v>300</v>
      </c>
      <c r="C57" s="97">
        <v>105</v>
      </c>
      <c r="D57" s="97">
        <v>614</v>
      </c>
      <c r="E57" s="97">
        <v>719</v>
      </c>
      <c r="F57" s="97">
        <v>10</v>
      </c>
      <c r="G57" s="97">
        <v>37</v>
      </c>
      <c r="H57" s="97">
        <v>47</v>
      </c>
      <c r="I57" s="97">
        <v>1</v>
      </c>
      <c r="J57" s="97">
        <v>1</v>
      </c>
      <c r="K57" s="97">
        <v>2</v>
      </c>
      <c r="L57" s="97">
        <v>35</v>
      </c>
      <c r="M57" s="97">
        <v>212</v>
      </c>
      <c r="N57" s="97">
        <v>247</v>
      </c>
    </row>
    <row r="58" spans="1:14" ht="22.5" customHeight="1" x14ac:dyDescent="0.3">
      <c r="A58" s="331">
        <v>55</v>
      </c>
      <c r="B58" s="128" t="s">
        <v>305</v>
      </c>
      <c r="C58" s="97">
        <v>625</v>
      </c>
      <c r="D58" s="97">
        <v>267</v>
      </c>
      <c r="E58" s="97">
        <v>892</v>
      </c>
      <c r="F58" s="97">
        <v>96</v>
      </c>
      <c r="G58" s="97">
        <v>30</v>
      </c>
      <c r="H58" s="97">
        <v>126</v>
      </c>
      <c r="I58" s="97">
        <v>11</v>
      </c>
      <c r="J58" s="97">
        <v>6</v>
      </c>
      <c r="K58" s="97">
        <v>17</v>
      </c>
      <c r="L58" s="97">
        <v>47</v>
      </c>
      <c r="M58" s="97">
        <v>62</v>
      </c>
      <c r="N58" s="97">
        <v>109</v>
      </c>
    </row>
    <row r="59" spans="1:14" ht="22.5" customHeight="1" x14ac:dyDescent="0.3">
      <c r="A59" s="331">
        <v>56</v>
      </c>
      <c r="B59" s="128" t="s">
        <v>307</v>
      </c>
      <c r="C59" s="97">
        <v>669</v>
      </c>
      <c r="D59" s="97">
        <v>43</v>
      </c>
      <c r="E59" s="97">
        <v>712</v>
      </c>
      <c r="F59" s="97">
        <v>6</v>
      </c>
      <c r="G59" s="97">
        <v>4</v>
      </c>
      <c r="H59" s="97">
        <v>10</v>
      </c>
      <c r="I59" s="97">
        <v>1</v>
      </c>
      <c r="J59" s="97">
        <v>3</v>
      </c>
      <c r="K59" s="97">
        <v>4</v>
      </c>
      <c r="L59" s="97">
        <v>638</v>
      </c>
      <c r="M59" s="97">
        <v>17</v>
      </c>
      <c r="N59" s="97">
        <v>655</v>
      </c>
    </row>
    <row r="60" spans="1:14" ht="22.5" customHeight="1" x14ac:dyDescent="0.3">
      <c r="A60" s="331">
        <v>57</v>
      </c>
      <c r="B60" s="128" t="s">
        <v>310</v>
      </c>
      <c r="C60" s="97">
        <v>322</v>
      </c>
      <c r="D60" s="97">
        <v>82</v>
      </c>
      <c r="E60" s="97">
        <v>404</v>
      </c>
      <c r="F60" s="97">
        <v>38</v>
      </c>
      <c r="G60" s="97">
        <v>8</v>
      </c>
      <c r="H60" s="97">
        <v>46</v>
      </c>
      <c r="I60" s="97">
        <v>3</v>
      </c>
      <c r="J60" s="97"/>
      <c r="K60" s="97">
        <v>3</v>
      </c>
      <c r="L60" s="97">
        <v>96</v>
      </c>
      <c r="M60" s="97">
        <v>19</v>
      </c>
      <c r="N60" s="97">
        <v>115</v>
      </c>
    </row>
    <row r="61" spans="1:14" ht="27.75" customHeight="1" x14ac:dyDescent="0.3">
      <c r="A61" s="331">
        <v>58</v>
      </c>
      <c r="B61" s="128" t="s">
        <v>309</v>
      </c>
      <c r="C61" s="97">
        <v>425</v>
      </c>
      <c r="D61" s="97">
        <v>248</v>
      </c>
      <c r="E61" s="97">
        <v>673</v>
      </c>
      <c r="F61" s="97">
        <v>57</v>
      </c>
      <c r="G61" s="97">
        <v>33</v>
      </c>
      <c r="H61" s="97">
        <v>90</v>
      </c>
      <c r="I61" s="97">
        <v>2</v>
      </c>
      <c r="J61" s="97">
        <v>2</v>
      </c>
      <c r="K61" s="97">
        <v>4</v>
      </c>
      <c r="L61" s="97">
        <v>112</v>
      </c>
      <c r="M61" s="97">
        <v>65</v>
      </c>
      <c r="N61" s="97">
        <v>177</v>
      </c>
    </row>
    <row r="62" spans="1:14" ht="22.5" customHeight="1" x14ac:dyDescent="0.3">
      <c r="A62" s="331">
        <v>59</v>
      </c>
      <c r="B62" s="128" t="s">
        <v>311</v>
      </c>
      <c r="C62" s="97">
        <v>861</v>
      </c>
      <c r="D62" s="97">
        <v>447</v>
      </c>
      <c r="E62" s="97">
        <v>1308</v>
      </c>
      <c r="F62" s="97"/>
      <c r="G62" s="97"/>
      <c r="H62" s="97"/>
      <c r="I62" s="97"/>
      <c r="J62" s="97"/>
      <c r="K62" s="97"/>
      <c r="L62" s="97"/>
      <c r="M62" s="97"/>
      <c r="N62" s="97"/>
    </row>
    <row r="63" spans="1:14" ht="22.5" customHeight="1" x14ac:dyDescent="0.3">
      <c r="A63" s="331">
        <v>60</v>
      </c>
      <c r="B63" s="128" t="s">
        <v>312</v>
      </c>
      <c r="C63" s="97">
        <v>1905</v>
      </c>
      <c r="D63" s="97">
        <v>2135</v>
      </c>
      <c r="E63" s="97">
        <v>4040</v>
      </c>
      <c r="F63" s="97">
        <v>297</v>
      </c>
      <c r="G63" s="97">
        <v>239</v>
      </c>
      <c r="H63" s="97">
        <v>536</v>
      </c>
      <c r="I63" s="97">
        <v>102</v>
      </c>
      <c r="J63" s="97">
        <v>98</v>
      </c>
      <c r="K63" s="97">
        <v>200</v>
      </c>
      <c r="L63" s="97">
        <v>760</v>
      </c>
      <c r="M63" s="97">
        <v>703</v>
      </c>
      <c r="N63" s="97">
        <v>1463</v>
      </c>
    </row>
    <row r="64" spans="1:14" ht="22.5" customHeight="1" x14ac:dyDescent="0.3">
      <c r="A64" s="331">
        <v>61</v>
      </c>
      <c r="B64" s="128" t="s">
        <v>313</v>
      </c>
      <c r="C64" s="97">
        <v>969</v>
      </c>
      <c r="D64" s="97">
        <v>1064</v>
      </c>
      <c r="E64" s="97">
        <v>2033</v>
      </c>
      <c r="F64" s="97">
        <v>184</v>
      </c>
      <c r="G64" s="97">
        <v>161</v>
      </c>
      <c r="H64" s="97">
        <v>345</v>
      </c>
      <c r="I64" s="97">
        <v>23</v>
      </c>
      <c r="J64" s="97">
        <v>19</v>
      </c>
      <c r="K64" s="97">
        <v>42</v>
      </c>
      <c r="L64" s="97">
        <v>320</v>
      </c>
      <c r="M64" s="97">
        <v>307</v>
      </c>
      <c r="N64" s="97">
        <v>627</v>
      </c>
    </row>
    <row r="65" spans="1:14" ht="22.5" customHeight="1" x14ac:dyDescent="0.3">
      <c r="A65" s="331">
        <v>62</v>
      </c>
      <c r="B65" s="128" t="s">
        <v>315</v>
      </c>
      <c r="C65" s="97">
        <v>992</v>
      </c>
      <c r="D65" s="97">
        <v>1085</v>
      </c>
      <c r="E65" s="97">
        <v>2077</v>
      </c>
      <c r="F65" s="97">
        <v>74</v>
      </c>
      <c r="G65" s="97">
        <v>72</v>
      </c>
      <c r="H65" s="97">
        <v>146</v>
      </c>
      <c r="I65" s="97">
        <v>46</v>
      </c>
      <c r="J65" s="97">
        <v>27</v>
      </c>
      <c r="K65" s="97">
        <v>73</v>
      </c>
      <c r="L65" s="97">
        <v>232</v>
      </c>
      <c r="M65" s="97">
        <v>222</v>
      </c>
      <c r="N65" s="97">
        <v>454</v>
      </c>
    </row>
    <row r="66" spans="1:14" ht="22.5" customHeight="1" x14ac:dyDescent="0.3">
      <c r="A66" s="331">
        <v>63</v>
      </c>
      <c r="B66" s="128" t="s">
        <v>317</v>
      </c>
      <c r="C66" s="97">
        <v>221</v>
      </c>
      <c r="D66" s="97">
        <v>400</v>
      </c>
      <c r="E66" s="97">
        <v>621</v>
      </c>
      <c r="F66" s="97">
        <v>29</v>
      </c>
      <c r="G66" s="97">
        <v>47</v>
      </c>
      <c r="H66" s="97">
        <v>76</v>
      </c>
      <c r="I66" s="97">
        <v>9</v>
      </c>
      <c r="J66" s="97">
        <v>15</v>
      </c>
      <c r="K66" s="97">
        <v>24</v>
      </c>
      <c r="L66" s="97">
        <v>22</v>
      </c>
      <c r="M66" s="97">
        <v>60</v>
      </c>
      <c r="N66" s="97">
        <v>82</v>
      </c>
    </row>
    <row r="67" spans="1:14" ht="22.5" customHeight="1" x14ac:dyDescent="0.3">
      <c r="A67" s="331">
        <v>64</v>
      </c>
      <c r="B67" s="128" t="s">
        <v>323</v>
      </c>
      <c r="C67" s="97">
        <v>102</v>
      </c>
      <c r="D67" s="97">
        <v>32</v>
      </c>
      <c r="E67" s="97">
        <v>134</v>
      </c>
      <c r="F67" s="97">
        <v>11</v>
      </c>
      <c r="G67" s="97">
        <v>6</v>
      </c>
      <c r="H67" s="97">
        <v>17</v>
      </c>
      <c r="I67" s="97">
        <v>3</v>
      </c>
      <c r="J67" s="97"/>
      <c r="K67" s="97">
        <v>3</v>
      </c>
      <c r="L67" s="97">
        <v>13</v>
      </c>
      <c r="M67" s="97">
        <v>10</v>
      </c>
      <c r="N67" s="97">
        <v>23</v>
      </c>
    </row>
    <row r="68" spans="1:14" ht="22.5" customHeight="1" x14ac:dyDescent="0.3">
      <c r="A68" s="331">
        <v>65</v>
      </c>
      <c r="B68" s="128" t="s">
        <v>331</v>
      </c>
      <c r="C68" s="97">
        <v>20</v>
      </c>
      <c r="D68" s="97">
        <v>2</v>
      </c>
      <c r="E68" s="97">
        <v>22</v>
      </c>
      <c r="F68" s="97">
        <v>4</v>
      </c>
      <c r="G68" s="97"/>
      <c r="H68" s="97">
        <v>4</v>
      </c>
      <c r="I68" s="97">
        <v>1</v>
      </c>
      <c r="J68" s="97"/>
      <c r="K68" s="97">
        <v>1</v>
      </c>
      <c r="L68" s="97">
        <v>6</v>
      </c>
      <c r="M68" s="97">
        <v>1</v>
      </c>
      <c r="N68" s="97">
        <v>7</v>
      </c>
    </row>
    <row r="69" spans="1:14" ht="22.5" customHeight="1" x14ac:dyDescent="0.3">
      <c r="A69" s="331">
        <v>66</v>
      </c>
      <c r="B69" s="128" t="s">
        <v>337</v>
      </c>
      <c r="C69" s="97">
        <v>25016</v>
      </c>
      <c r="D69" s="97">
        <v>27562</v>
      </c>
      <c r="E69" s="97">
        <v>52578</v>
      </c>
      <c r="F69" s="97">
        <v>3644</v>
      </c>
      <c r="G69" s="97">
        <v>4220</v>
      </c>
      <c r="H69" s="97">
        <v>7864</v>
      </c>
      <c r="I69" s="97">
        <v>3286</v>
      </c>
      <c r="J69" s="97">
        <v>3096</v>
      </c>
      <c r="K69" s="97">
        <v>6382</v>
      </c>
      <c r="L69" s="97">
        <v>9537</v>
      </c>
      <c r="M69" s="97">
        <v>9177</v>
      </c>
      <c r="N69" s="97">
        <v>18714</v>
      </c>
    </row>
    <row r="70" spans="1:14" ht="22.5" customHeight="1" x14ac:dyDescent="0.3">
      <c r="A70" s="331">
        <v>67</v>
      </c>
      <c r="B70" s="128" t="s">
        <v>358</v>
      </c>
      <c r="C70" s="97">
        <v>51793</v>
      </c>
      <c r="D70" s="97">
        <v>67431</v>
      </c>
      <c r="E70" s="97">
        <v>119224</v>
      </c>
      <c r="F70" s="97">
        <v>7191</v>
      </c>
      <c r="G70" s="97">
        <v>7535</v>
      </c>
      <c r="H70" s="97">
        <v>14726</v>
      </c>
      <c r="I70" s="97">
        <v>3407</v>
      </c>
      <c r="J70" s="97">
        <v>3205</v>
      </c>
      <c r="K70" s="97">
        <v>6612</v>
      </c>
      <c r="L70" s="97">
        <v>22475</v>
      </c>
      <c r="M70" s="97">
        <v>29785</v>
      </c>
      <c r="N70" s="97">
        <v>52260</v>
      </c>
    </row>
    <row r="71" spans="1:14" ht="22.5" customHeight="1" x14ac:dyDescent="0.3">
      <c r="A71" s="331">
        <v>68</v>
      </c>
      <c r="B71" s="128" t="s">
        <v>359</v>
      </c>
      <c r="C71" s="97">
        <v>548</v>
      </c>
      <c r="D71" s="97">
        <v>298</v>
      </c>
      <c r="E71" s="97">
        <v>846</v>
      </c>
      <c r="F71" s="97">
        <v>54</v>
      </c>
      <c r="G71" s="97">
        <v>26</v>
      </c>
      <c r="H71" s="97">
        <v>80</v>
      </c>
      <c r="I71" s="97">
        <v>4</v>
      </c>
      <c r="J71" s="97">
        <v>4</v>
      </c>
      <c r="K71" s="97">
        <v>8</v>
      </c>
      <c r="L71" s="97">
        <v>253</v>
      </c>
      <c r="M71" s="97">
        <v>144</v>
      </c>
      <c r="N71" s="97">
        <v>397</v>
      </c>
    </row>
    <row r="72" spans="1:14" ht="22.5" customHeight="1" x14ac:dyDescent="0.3">
      <c r="A72" s="331">
        <v>69</v>
      </c>
      <c r="B72" s="128" t="s">
        <v>361</v>
      </c>
      <c r="C72" s="97">
        <v>14</v>
      </c>
      <c r="D72" s="97">
        <v>2</v>
      </c>
      <c r="E72" s="97">
        <v>16</v>
      </c>
      <c r="F72" s="97">
        <v>1</v>
      </c>
      <c r="G72" s="97"/>
      <c r="H72" s="97">
        <v>1</v>
      </c>
      <c r="I72" s="97"/>
      <c r="J72" s="97"/>
      <c r="K72" s="97"/>
      <c r="L72" s="97">
        <v>1</v>
      </c>
      <c r="M72" s="97">
        <v>1</v>
      </c>
      <c r="N72" s="97">
        <v>2</v>
      </c>
    </row>
    <row r="73" spans="1:14" ht="30.75" customHeight="1" x14ac:dyDescent="0.3">
      <c r="A73" s="331">
        <v>70</v>
      </c>
      <c r="B73" s="128" t="s">
        <v>367</v>
      </c>
      <c r="C73" s="97">
        <v>867</v>
      </c>
      <c r="D73" s="97">
        <v>495</v>
      </c>
      <c r="E73" s="97">
        <v>1362</v>
      </c>
      <c r="F73" s="97">
        <v>180</v>
      </c>
      <c r="G73" s="97">
        <v>62</v>
      </c>
      <c r="H73" s="97">
        <v>242</v>
      </c>
      <c r="I73" s="97">
        <v>44</v>
      </c>
      <c r="J73" s="97">
        <v>10</v>
      </c>
      <c r="K73" s="97">
        <v>54</v>
      </c>
      <c r="L73" s="97">
        <v>356</v>
      </c>
      <c r="M73" s="97">
        <v>90</v>
      </c>
      <c r="N73" s="97">
        <v>446</v>
      </c>
    </row>
    <row r="74" spans="1:14" ht="22.5" customHeight="1" x14ac:dyDescent="0.3">
      <c r="A74" s="331">
        <v>71</v>
      </c>
      <c r="B74" s="128" t="s">
        <v>370</v>
      </c>
      <c r="C74" s="97">
        <v>285</v>
      </c>
      <c r="D74" s="97">
        <v>87</v>
      </c>
      <c r="E74" s="97">
        <v>372</v>
      </c>
      <c r="F74" s="97">
        <v>34</v>
      </c>
      <c r="G74" s="97">
        <v>7</v>
      </c>
      <c r="H74" s="97">
        <v>41</v>
      </c>
      <c r="I74" s="97">
        <v>4</v>
      </c>
      <c r="J74" s="97"/>
      <c r="K74" s="97">
        <v>4</v>
      </c>
      <c r="L74" s="97">
        <v>59</v>
      </c>
      <c r="M74" s="97">
        <v>10</v>
      </c>
      <c r="N74" s="97">
        <v>69</v>
      </c>
    </row>
    <row r="75" spans="1:14" ht="22.5" customHeight="1" x14ac:dyDescent="0.3">
      <c r="A75" s="331">
        <v>72</v>
      </c>
      <c r="B75" s="128" t="s">
        <v>374</v>
      </c>
      <c r="C75" s="97">
        <v>609</v>
      </c>
      <c r="D75" s="97">
        <v>280</v>
      </c>
      <c r="E75" s="97">
        <v>889</v>
      </c>
      <c r="F75" s="97">
        <v>2</v>
      </c>
      <c r="G75" s="97">
        <v>7</v>
      </c>
      <c r="H75" s="97">
        <v>9</v>
      </c>
      <c r="I75" s="97">
        <v>3</v>
      </c>
      <c r="J75" s="97"/>
      <c r="K75" s="97">
        <v>3</v>
      </c>
      <c r="L75" s="97">
        <v>76</v>
      </c>
      <c r="M75" s="97">
        <v>33</v>
      </c>
      <c r="N75" s="97">
        <v>109</v>
      </c>
    </row>
    <row r="76" spans="1:14" ht="22.5" customHeight="1" x14ac:dyDescent="0.3">
      <c r="A76" s="331">
        <v>73</v>
      </c>
      <c r="B76" s="128" t="s">
        <v>375</v>
      </c>
      <c r="C76" s="97">
        <v>128</v>
      </c>
      <c r="D76" s="97">
        <v>40</v>
      </c>
      <c r="E76" s="97">
        <v>168</v>
      </c>
      <c r="F76" s="97">
        <v>8</v>
      </c>
      <c r="G76" s="97">
        <v>2</v>
      </c>
      <c r="H76" s="97">
        <v>10</v>
      </c>
      <c r="I76" s="97"/>
      <c r="J76" s="97"/>
      <c r="K76" s="97"/>
      <c r="L76" s="97">
        <v>120</v>
      </c>
      <c r="M76" s="97">
        <v>38</v>
      </c>
      <c r="N76" s="97">
        <v>158</v>
      </c>
    </row>
    <row r="77" spans="1:14" ht="22.5" customHeight="1" x14ac:dyDescent="0.3">
      <c r="A77" s="331">
        <v>74</v>
      </c>
      <c r="B77" s="128" t="s">
        <v>380</v>
      </c>
      <c r="C77" s="97">
        <v>3</v>
      </c>
      <c r="D77" s="97">
        <v>13</v>
      </c>
      <c r="E77" s="97">
        <v>16</v>
      </c>
      <c r="F77" s="97">
        <v>2</v>
      </c>
      <c r="G77" s="97">
        <v>2</v>
      </c>
      <c r="H77" s="97">
        <v>4</v>
      </c>
      <c r="I77" s="97"/>
      <c r="J77" s="97">
        <v>3</v>
      </c>
      <c r="K77" s="97">
        <v>3</v>
      </c>
      <c r="L77" s="97"/>
      <c r="M77" s="97">
        <v>4</v>
      </c>
      <c r="N77" s="97">
        <v>4</v>
      </c>
    </row>
    <row r="78" spans="1:14" ht="22.5" customHeight="1" x14ac:dyDescent="0.3">
      <c r="A78" s="331">
        <v>75</v>
      </c>
      <c r="B78" s="128" t="s">
        <v>381</v>
      </c>
      <c r="C78" s="97">
        <v>22256</v>
      </c>
      <c r="D78" s="97">
        <v>17762</v>
      </c>
      <c r="E78" s="97">
        <v>40018</v>
      </c>
      <c r="F78" s="97">
        <v>2382</v>
      </c>
      <c r="G78" s="97">
        <v>1741</v>
      </c>
      <c r="H78" s="97">
        <v>4123</v>
      </c>
      <c r="I78" s="97">
        <v>1134</v>
      </c>
      <c r="J78" s="97">
        <v>872</v>
      </c>
      <c r="K78" s="97">
        <v>2006</v>
      </c>
      <c r="L78" s="97">
        <v>6243</v>
      </c>
      <c r="M78" s="97">
        <v>4737</v>
      </c>
      <c r="N78" s="97">
        <v>10980</v>
      </c>
    </row>
    <row r="79" spans="1:14" ht="22.5" customHeight="1" x14ac:dyDescent="0.3">
      <c r="A79" s="331">
        <v>76</v>
      </c>
      <c r="B79" s="128" t="s">
        <v>383</v>
      </c>
      <c r="C79" s="97">
        <v>125</v>
      </c>
      <c r="D79" s="97">
        <v>70</v>
      </c>
      <c r="E79" s="97">
        <v>195</v>
      </c>
      <c r="F79" s="97">
        <v>8</v>
      </c>
      <c r="G79" s="97">
        <v>2</v>
      </c>
      <c r="H79" s="97">
        <v>10</v>
      </c>
      <c r="I79" s="97">
        <v>1</v>
      </c>
      <c r="J79" s="97">
        <v>1</v>
      </c>
      <c r="K79" s="97">
        <v>2</v>
      </c>
      <c r="L79" s="97">
        <v>8</v>
      </c>
      <c r="M79" s="97">
        <v>7</v>
      </c>
      <c r="N79" s="97">
        <v>15</v>
      </c>
    </row>
    <row r="80" spans="1:14" ht="22.5" customHeight="1" x14ac:dyDescent="0.3">
      <c r="A80" s="331">
        <v>77</v>
      </c>
      <c r="B80" s="128" t="s">
        <v>391</v>
      </c>
      <c r="C80" s="97">
        <v>2</v>
      </c>
      <c r="D80" s="97"/>
      <c r="E80" s="97">
        <v>2</v>
      </c>
      <c r="F80" s="97"/>
      <c r="G80" s="97"/>
      <c r="H80" s="97"/>
      <c r="I80" s="97"/>
      <c r="J80" s="97"/>
      <c r="K80" s="97"/>
      <c r="L80" s="97"/>
      <c r="M80" s="97"/>
      <c r="N80" s="97"/>
    </row>
    <row r="81" spans="1:14" s="129" customFormat="1" ht="30" customHeight="1" x14ac:dyDescent="0.35">
      <c r="A81" s="751" t="s">
        <v>46</v>
      </c>
      <c r="B81" s="752"/>
      <c r="C81" s="99">
        <v>2290048</v>
      </c>
      <c r="D81" s="99">
        <v>2113872</v>
      </c>
      <c r="E81" s="99">
        <v>4403920</v>
      </c>
      <c r="F81" s="99">
        <v>335175</v>
      </c>
      <c r="G81" s="99">
        <v>293709</v>
      </c>
      <c r="H81" s="99">
        <v>628884</v>
      </c>
      <c r="I81" s="99">
        <v>118644</v>
      </c>
      <c r="J81" s="99">
        <v>113357</v>
      </c>
      <c r="K81" s="99">
        <v>232001</v>
      </c>
      <c r="L81" s="99">
        <v>776917</v>
      </c>
      <c r="M81" s="99">
        <v>697108</v>
      </c>
      <c r="N81" s="99">
        <v>1474025</v>
      </c>
    </row>
  </sheetData>
  <mergeCells count="10">
    <mergeCell ref="A81:B81"/>
    <mergeCell ref="A1:B1"/>
    <mergeCell ref="C1:H1"/>
    <mergeCell ref="I1:N1"/>
    <mergeCell ref="A2:A3"/>
    <mergeCell ref="B2:B3"/>
    <mergeCell ref="C2:E2"/>
    <mergeCell ref="F2:H2"/>
    <mergeCell ref="I2:K2"/>
    <mergeCell ref="L2:N2"/>
  </mergeCells>
  <pageMargins left="0.59055118110236227" right="0.15748031496062992" top="0.39370078740157483" bottom="0.39370078740157483" header="0.31496062992125984" footer="0.19685039370078741"/>
  <pageSetup paperSize="9" scale="80" firstPageNumber="40" orientation="portrait" r:id="rId1"/>
  <headerFooter>
    <oddFooter>&amp;L&amp;"Arial,Italic"&amp;9AISHE 2023-24&amp;RT-11b</oddFooter>
  </headerFooter>
  <rowBreaks count="1" manualBreakCount="1">
    <brk id="43" max="13" man="1"/>
  </rowBreaks>
  <colBreaks count="1" manualBreakCount="1">
    <brk id="8" max="80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B049-358C-4E8B-ABB4-19C3E84D4CD3}">
  <dimension ref="A1:F131"/>
  <sheetViews>
    <sheetView view="pageBreakPreview" zoomScaleNormal="100" zoomScaleSheetLayoutView="100" workbookViewId="0">
      <selection activeCell="B16" sqref="B16:M16"/>
    </sheetView>
  </sheetViews>
  <sheetFormatPr defaultColWidth="9.453125" defaultRowHeight="15.5" x14ac:dyDescent="0.35"/>
  <cols>
    <col min="1" max="1" width="7.54296875" style="137" bestFit="1" customWidth="1"/>
    <col min="2" max="2" width="36.54296875" style="131" bestFit="1" customWidth="1"/>
    <col min="3" max="3" width="38.81640625" style="131" bestFit="1" customWidth="1"/>
    <col min="4" max="6" width="17.453125" style="131" bestFit="1" customWidth="1"/>
    <col min="7" max="16384" width="9.453125" style="131"/>
  </cols>
  <sheetData>
    <row r="1" spans="1:6" ht="24" customHeight="1" x14ac:dyDescent="0.35">
      <c r="A1" s="759" t="s">
        <v>398</v>
      </c>
      <c r="B1" s="759"/>
      <c r="C1" s="759"/>
      <c r="D1" s="759"/>
      <c r="E1" s="759"/>
      <c r="F1" s="759"/>
    </row>
    <row r="2" spans="1:6" x14ac:dyDescent="0.35">
      <c r="A2" s="302" t="s">
        <v>0</v>
      </c>
      <c r="B2" s="760" t="s">
        <v>399</v>
      </c>
      <c r="C2" s="760"/>
      <c r="D2" s="303" t="s">
        <v>103</v>
      </c>
      <c r="E2" s="303" t="s">
        <v>104</v>
      </c>
      <c r="F2" s="303" t="s">
        <v>89</v>
      </c>
    </row>
    <row r="3" spans="1:6" s="550" customFormat="1" ht="10.5" x14ac:dyDescent="0.35">
      <c r="A3" s="301">
        <v>1</v>
      </c>
      <c r="B3" s="301">
        <v>2</v>
      </c>
      <c r="C3" s="301">
        <v>3</v>
      </c>
      <c r="D3" s="301">
        <v>4</v>
      </c>
      <c r="E3" s="301">
        <v>5</v>
      </c>
      <c r="F3" s="301">
        <v>6</v>
      </c>
    </row>
    <row r="4" spans="1:6" ht="18.75" customHeight="1" x14ac:dyDescent="0.35">
      <c r="A4" s="358">
        <v>1</v>
      </c>
      <c r="B4" s="190" t="s">
        <v>62</v>
      </c>
      <c r="C4" s="133"/>
      <c r="D4" s="134">
        <v>208621</v>
      </c>
      <c r="E4" s="134">
        <v>93278</v>
      </c>
      <c r="F4" s="134">
        <v>301899</v>
      </c>
    </row>
    <row r="5" spans="1:6" ht="18.75" customHeight="1" x14ac:dyDescent="0.35">
      <c r="A5" s="358">
        <v>2</v>
      </c>
      <c r="B5" s="190" t="s">
        <v>400</v>
      </c>
      <c r="C5" s="133"/>
      <c r="D5" s="134">
        <v>2665</v>
      </c>
      <c r="E5" s="134">
        <v>2943</v>
      </c>
      <c r="F5" s="134">
        <v>5608</v>
      </c>
    </row>
    <row r="6" spans="1:6" ht="18.75" customHeight="1" x14ac:dyDescent="0.35">
      <c r="A6" s="358">
        <v>3</v>
      </c>
      <c r="B6" s="190" t="s">
        <v>401</v>
      </c>
      <c r="C6" s="133"/>
      <c r="D6" s="134">
        <v>40</v>
      </c>
      <c r="E6" s="134">
        <v>39</v>
      </c>
      <c r="F6" s="134">
        <v>79</v>
      </c>
    </row>
    <row r="7" spans="1:6" ht="18.75" customHeight="1" x14ac:dyDescent="0.35">
      <c r="A7" s="358">
        <v>4</v>
      </c>
      <c r="B7" s="190" t="s">
        <v>402</v>
      </c>
      <c r="C7" s="133"/>
      <c r="D7" s="134">
        <v>27</v>
      </c>
      <c r="E7" s="134">
        <v>48</v>
      </c>
      <c r="F7" s="134">
        <v>75</v>
      </c>
    </row>
    <row r="8" spans="1:6" ht="18.75" customHeight="1" x14ac:dyDescent="0.35">
      <c r="A8" s="358">
        <v>5</v>
      </c>
      <c r="B8" s="190" t="s">
        <v>403</v>
      </c>
      <c r="C8" s="133"/>
      <c r="D8" s="134">
        <v>1</v>
      </c>
      <c r="E8" s="134">
        <v>1</v>
      </c>
      <c r="F8" s="134">
        <v>2</v>
      </c>
    </row>
    <row r="9" spans="1:6" ht="18.75" customHeight="1" x14ac:dyDescent="0.35">
      <c r="A9" s="358">
        <v>6</v>
      </c>
      <c r="B9" s="190" t="s">
        <v>404</v>
      </c>
      <c r="C9" s="133"/>
      <c r="D9" s="134">
        <v>18874</v>
      </c>
      <c r="E9" s="134">
        <v>18984</v>
      </c>
      <c r="F9" s="134">
        <v>37858</v>
      </c>
    </row>
    <row r="10" spans="1:6" ht="18.75" customHeight="1" x14ac:dyDescent="0.35">
      <c r="A10" s="358">
        <v>7</v>
      </c>
      <c r="B10" s="190" t="s">
        <v>405</v>
      </c>
      <c r="C10" s="133"/>
      <c r="D10" s="134">
        <v>5027958</v>
      </c>
      <c r="E10" s="134">
        <v>5874503</v>
      </c>
      <c r="F10" s="134">
        <v>10902461</v>
      </c>
    </row>
    <row r="11" spans="1:6" ht="18.75" customHeight="1" x14ac:dyDescent="0.35">
      <c r="A11" s="358">
        <v>8</v>
      </c>
      <c r="B11" s="190" t="s">
        <v>406</v>
      </c>
      <c r="C11" s="133"/>
      <c r="D11" s="134">
        <v>649</v>
      </c>
      <c r="E11" s="134">
        <v>573</v>
      </c>
      <c r="F11" s="134">
        <v>1222</v>
      </c>
    </row>
    <row r="12" spans="1:6" ht="18.75" customHeight="1" x14ac:dyDescent="0.35">
      <c r="A12" s="358">
        <v>9</v>
      </c>
      <c r="B12" s="190" t="s">
        <v>407</v>
      </c>
      <c r="C12" s="133"/>
      <c r="D12" s="134">
        <v>2123388</v>
      </c>
      <c r="E12" s="134">
        <v>1957083</v>
      </c>
      <c r="F12" s="134">
        <v>4080471</v>
      </c>
    </row>
    <row r="13" spans="1:6" ht="18.75" customHeight="1" x14ac:dyDescent="0.35">
      <c r="A13" s="358">
        <v>10</v>
      </c>
      <c r="B13" s="190" t="s">
        <v>408</v>
      </c>
      <c r="C13" s="133"/>
      <c r="D13" s="134">
        <v>909</v>
      </c>
      <c r="E13" s="134">
        <v>448</v>
      </c>
      <c r="F13" s="134">
        <v>1357</v>
      </c>
    </row>
    <row r="14" spans="1:6" ht="18.75" customHeight="1" x14ac:dyDescent="0.35">
      <c r="A14" s="358">
        <v>11</v>
      </c>
      <c r="B14" s="190" t="s">
        <v>409</v>
      </c>
      <c r="C14" s="133"/>
      <c r="D14" s="134">
        <v>1830</v>
      </c>
      <c r="E14" s="134">
        <v>2145</v>
      </c>
      <c r="F14" s="134">
        <v>3975</v>
      </c>
    </row>
    <row r="15" spans="1:6" ht="18.75" customHeight="1" x14ac:dyDescent="0.35">
      <c r="A15" s="358">
        <v>12</v>
      </c>
      <c r="B15" s="190" t="s">
        <v>410</v>
      </c>
      <c r="C15" s="133"/>
      <c r="D15" s="134">
        <v>156</v>
      </c>
      <c r="E15" s="134">
        <v>29</v>
      </c>
      <c r="F15" s="134">
        <v>185</v>
      </c>
    </row>
    <row r="16" spans="1:6" ht="18.75" customHeight="1" x14ac:dyDescent="0.35">
      <c r="A16" s="358">
        <v>13</v>
      </c>
      <c r="B16" s="190" t="s">
        <v>411</v>
      </c>
      <c r="C16" s="133"/>
      <c r="D16" s="134">
        <v>3196</v>
      </c>
      <c r="E16" s="134">
        <v>3831</v>
      </c>
      <c r="F16" s="134">
        <v>7027</v>
      </c>
    </row>
    <row r="17" spans="1:6" ht="18.75" customHeight="1" x14ac:dyDescent="0.35">
      <c r="A17" s="358">
        <v>14</v>
      </c>
      <c r="B17" s="190" t="s">
        <v>412</v>
      </c>
      <c r="C17" s="133"/>
      <c r="D17" s="134">
        <v>1058</v>
      </c>
      <c r="E17" s="134">
        <v>548</v>
      </c>
      <c r="F17" s="134">
        <v>1606</v>
      </c>
    </row>
    <row r="18" spans="1:6" ht="18.75" customHeight="1" x14ac:dyDescent="0.35">
      <c r="A18" s="358">
        <v>15</v>
      </c>
      <c r="B18" s="190" t="s">
        <v>63</v>
      </c>
      <c r="C18" s="133"/>
      <c r="D18" s="134">
        <v>15920</v>
      </c>
      <c r="E18" s="134">
        <v>42632</v>
      </c>
      <c r="F18" s="134">
        <v>58552</v>
      </c>
    </row>
    <row r="19" spans="1:6" ht="18.75" customHeight="1" x14ac:dyDescent="0.35">
      <c r="A19" s="358">
        <v>16</v>
      </c>
      <c r="B19" s="190" t="s">
        <v>64</v>
      </c>
      <c r="C19" s="133"/>
      <c r="D19" s="134">
        <v>637035</v>
      </c>
      <c r="E19" s="134">
        <v>1141892</v>
      </c>
      <c r="F19" s="134">
        <v>1778927</v>
      </c>
    </row>
    <row r="20" spans="1:6" ht="18.75" customHeight="1" x14ac:dyDescent="0.35">
      <c r="A20" s="358">
        <v>17</v>
      </c>
      <c r="B20" s="761" t="s">
        <v>413</v>
      </c>
      <c r="C20" s="133" t="s">
        <v>414</v>
      </c>
      <c r="D20" s="134">
        <v>13509</v>
      </c>
      <c r="E20" s="134">
        <v>5479</v>
      </c>
      <c r="F20" s="134">
        <v>18988</v>
      </c>
    </row>
    <row r="21" spans="1:6" ht="18.75" customHeight="1" x14ac:dyDescent="0.35">
      <c r="A21" s="358">
        <v>18</v>
      </c>
      <c r="B21" s="762"/>
      <c r="C21" s="133" t="s">
        <v>415</v>
      </c>
      <c r="D21" s="134">
        <v>12831</v>
      </c>
      <c r="E21" s="134">
        <v>9097</v>
      </c>
      <c r="F21" s="134">
        <v>21928</v>
      </c>
    </row>
    <row r="22" spans="1:6" ht="18.75" customHeight="1" x14ac:dyDescent="0.35">
      <c r="A22" s="358">
        <v>19</v>
      </c>
      <c r="B22" s="762"/>
      <c r="C22" s="133" t="s">
        <v>416</v>
      </c>
      <c r="D22" s="134">
        <v>2</v>
      </c>
      <c r="E22" s="134"/>
      <c r="F22" s="134">
        <v>2</v>
      </c>
    </row>
    <row r="23" spans="1:6" ht="18.75" customHeight="1" x14ac:dyDescent="0.35">
      <c r="A23" s="358">
        <v>20</v>
      </c>
      <c r="B23" s="762"/>
      <c r="C23" s="133" t="s">
        <v>417</v>
      </c>
      <c r="D23" s="134">
        <v>30141</v>
      </c>
      <c r="E23" s="134">
        <v>35238</v>
      </c>
      <c r="F23" s="134">
        <v>65379</v>
      </c>
    </row>
    <row r="24" spans="1:6" ht="18.75" customHeight="1" x14ac:dyDescent="0.35">
      <c r="A24" s="358">
        <v>21</v>
      </c>
      <c r="B24" s="762"/>
      <c r="C24" s="133" t="s">
        <v>418</v>
      </c>
      <c r="D24" s="134">
        <v>9531</v>
      </c>
      <c r="E24" s="134">
        <v>4457</v>
      </c>
      <c r="F24" s="134">
        <v>13988</v>
      </c>
    </row>
    <row r="25" spans="1:6" ht="18.75" customHeight="1" x14ac:dyDescent="0.35">
      <c r="A25" s="358">
        <v>22</v>
      </c>
      <c r="B25" s="762"/>
      <c r="C25" s="133" t="s">
        <v>419</v>
      </c>
      <c r="D25" s="134">
        <v>33132</v>
      </c>
      <c r="E25" s="134">
        <v>18438</v>
      </c>
      <c r="F25" s="134">
        <v>51570</v>
      </c>
    </row>
    <row r="26" spans="1:6" ht="18.75" customHeight="1" x14ac:dyDescent="0.35">
      <c r="A26" s="358">
        <v>23</v>
      </c>
      <c r="B26" s="762"/>
      <c r="C26" s="133" t="s">
        <v>420</v>
      </c>
      <c r="D26" s="134">
        <v>35488</v>
      </c>
      <c r="E26" s="134">
        <v>18083</v>
      </c>
      <c r="F26" s="134">
        <v>53571</v>
      </c>
    </row>
    <row r="27" spans="1:6" ht="18.75" customHeight="1" x14ac:dyDescent="0.35">
      <c r="A27" s="358">
        <v>24</v>
      </c>
      <c r="B27" s="762"/>
      <c r="C27" s="133" t="s">
        <v>421</v>
      </c>
      <c r="D27" s="134">
        <v>2366</v>
      </c>
      <c r="E27" s="134">
        <v>739</v>
      </c>
      <c r="F27" s="134">
        <v>3105</v>
      </c>
    </row>
    <row r="28" spans="1:6" ht="18.75" customHeight="1" x14ac:dyDescent="0.35">
      <c r="A28" s="358">
        <v>25</v>
      </c>
      <c r="B28" s="762"/>
      <c r="C28" s="133" t="s">
        <v>422</v>
      </c>
      <c r="D28" s="134">
        <v>2206</v>
      </c>
      <c r="E28" s="134">
        <v>76</v>
      </c>
      <c r="F28" s="134">
        <v>2282</v>
      </c>
    </row>
    <row r="29" spans="1:6" ht="18.75" customHeight="1" x14ac:dyDescent="0.35">
      <c r="A29" s="358">
        <v>26</v>
      </c>
      <c r="B29" s="762"/>
      <c r="C29" s="133" t="s">
        <v>423</v>
      </c>
      <c r="D29" s="134">
        <v>72</v>
      </c>
      <c r="E29" s="134"/>
      <c r="F29" s="134">
        <v>72</v>
      </c>
    </row>
    <row r="30" spans="1:6" ht="18.75" customHeight="1" x14ac:dyDescent="0.35">
      <c r="A30" s="358">
        <v>27</v>
      </c>
      <c r="B30" s="762"/>
      <c r="C30" s="133" t="s">
        <v>424</v>
      </c>
      <c r="D30" s="134">
        <v>38119</v>
      </c>
      <c r="E30" s="134">
        <v>14422</v>
      </c>
      <c r="F30" s="134">
        <v>52541</v>
      </c>
    </row>
    <row r="31" spans="1:6" ht="18.75" customHeight="1" x14ac:dyDescent="0.35">
      <c r="A31" s="358">
        <v>28</v>
      </c>
      <c r="B31" s="762"/>
      <c r="C31" s="133" t="s">
        <v>425</v>
      </c>
      <c r="D31" s="134">
        <v>346</v>
      </c>
      <c r="E31" s="134">
        <v>179</v>
      </c>
      <c r="F31" s="134">
        <v>525</v>
      </c>
    </row>
    <row r="32" spans="1:6" ht="18.75" customHeight="1" x14ac:dyDescent="0.35">
      <c r="A32" s="358">
        <v>29</v>
      </c>
      <c r="B32" s="762"/>
      <c r="C32" s="133" t="s">
        <v>426</v>
      </c>
      <c r="D32" s="134">
        <v>243420</v>
      </c>
      <c r="E32" s="134">
        <v>79876</v>
      </c>
      <c r="F32" s="134">
        <v>323296</v>
      </c>
    </row>
    <row r="33" spans="1:6" ht="18.75" customHeight="1" x14ac:dyDescent="0.35">
      <c r="A33" s="358">
        <v>30</v>
      </c>
      <c r="B33" s="762"/>
      <c r="C33" s="133" t="s">
        <v>427</v>
      </c>
      <c r="D33" s="134">
        <v>1182282</v>
      </c>
      <c r="E33" s="134">
        <v>604567</v>
      </c>
      <c r="F33" s="134">
        <v>1786849</v>
      </c>
    </row>
    <row r="34" spans="1:6" ht="18.75" customHeight="1" x14ac:dyDescent="0.35">
      <c r="A34" s="358">
        <v>31</v>
      </c>
      <c r="B34" s="762"/>
      <c r="C34" s="133" t="s">
        <v>428</v>
      </c>
      <c r="D34" s="134">
        <v>2151</v>
      </c>
      <c r="E34" s="134">
        <v>974</v>
      </c>
      <c r="F34" s="134">
        <v>3125</v>
      </c>
    </row>
    <row r="35" spans="1:6" ht="18.75" customHeight="1" x14ac:dyDescent="0.35">
      <c r="A35" s="358">
        <v>32</v>
      </c>
      <c r="B35" s="762"/>
      <c r="C35" s="133" t="s">
        <v>429</v>
      </c>
      <c r="D35" s="134">
        <v>2480</v>
      </c>
      <c r="E35" s="134">
        <v>1456</v>
      </c>
      <c r="F35" s="134">
        <v>3936</v>
      </c>
    </row>
    <row r="36" spans="1:6" ht="18.75" customHeight="1" x14ac:dyDescent="0.35">
      <c r="A36" s="358">
        <v>33</v>
      </c>
      <c r="B36" s="762"/>
      <c r="C36" s="133" t="s">
        <v>430</v>
      </c>
      <c r="D36" s="134">
        <v>11508</v>
      </c>
      <c r="E36" s="134">
        <v>6419</v>
      </c>
      <c r="F36" s="134">
        <v>17927</v>
      </c>
    </row>
    <row r="37" spans="1:6" ht="18.75" customHeight="1" x14ac:dyDescent="0.35">
      <c r="A37" s="358">
        <v>34</v>
      </c>
      <c r="B37" s="762"/>
      <c r="C37" s="133" t="s">
        <v>431</v>
      </c>
      <c r="D37" s="134">
        <v>1518</v>
      </c>
      <c r="E37" s="134">
        <v>896</v>
      </c>
      <c r="F37" s="134">
        <v>2414</v>
      </c>
    </row>
    <row r="38" spans="1:6" ht="18.75" customHeight="1" x14ac:dyDescent="0.35">
      <c r="A38" s="358">
        <v>35</v>
      </c>
      <c r="B38" s="762"/>
      <c r="C38" s="133" t="s">
        <v>432</v>
      </c>
      <c r="D38" s="134">
        <v>15089</v>
      </c>
      <c r="E38" s="134">
        <v>5746</v>
      </c>
      <c r="F38" s="134">
        <v>20835</v>
      </c>
    </row>
    <row r="39" spans="1:6" ht="18.75" customHeight="1" x14ac:dyDescent="0.35">
      <c r="A39" s="358">
        <v>36</v>
      </c>
      <c r="B39" s="762"/>
      <c r="C39" s="133" t="s">
        <v>433</v>
      </c>
      <c r="D39" s="134">
        <v>232846</v>
      </c>
      <c r="E39" s="134">
        <v>83647</v>
      </c>
      <c r="F39" s="134">
        <v>316493</v>
      </c>
    </row>
    <row r="40" spans="1:6" ht="18.75" customHeight="1" x14ac:dyDescent="0.35">
      <c r="A40" s="358">
        <v>37</v>
      </c>
      <c r="B40" s="762"/>
      <c r="C40" s="133" t="s">
        <v>434</v>
      </c>
      <c r="D40" s="134">
        <v>50178</v>
      </c>
      <c r="E40" s="134">
        <v>29149</v>
      </c>
      <c r="F40" s="134">
        <v>79327</v>
      </c>
    </row>
    <row r="41" spans="1:6" ht="18.75" customHeight="1" x14ac:dyDescent="0.35">
      <c r="A41" s="358">
        <v>38</v>
      </c>
      <c r="B41" s="762"/>
      <c r="C41" s="133" t="s">
        <v>435</v>
      </c>
      <c r="D41" s="134">
        <v>340209</v>
      </c>
      <c r="E41" s="134">
        <v>205946</v>
      </c>
      <c r="F41" s="134">
        <v>546155</v>
      </c>
    </row>
    <row r="42" spans="1:6" ht="18.75" customHeight="1" x14ac:dyDescent="0.35">
      <c r="A42" s="358">
        <v>39</v>
      </c>
      <c r="B42" s="762"/>
      <c r="C42" s="133" t="s">
        <v>413</v>
      </c>
      <c r="D42" s="134">
        <v>194</v>
      </c>
      <c r="E42" s="134">
        <v>154</v>
      </c>
      <c r="F42" s="134">
        <v>348</v>
      </c>
    </row>
    <row r="43" spans="1:6" ht="18.75" customHeight="1" x14ac:dyDescent="0.35">
      <c r="A43" s="358">
        <v>40</v>
      </c>
      <c r="B43" s="762"/>
      <c r="C43" s="133" t="s">
        <v>436</v>
      </c>
      <c r="D43" s="134">
        <v>77</v>
      </c>
      <c r="E43" s="134">
        <v>25</v>
      </c>
      <c r="F43" s="134">
        <v>102</v>
      </c>
    </row>
    <row r="44" spans="1:6" ht="18.75" customHeight="1" x14ac:dyDescent="0.35">
      <c r="A44" s="358">
        <v>41</v>
      </c>
      <c r="B44" s="762"/>
      <c r="C44" s="131" t="s">
        <v>437</v>
      </c>
      <c r="D44" s="134">
        <v>6</v>
      </c>
      <c r="E44" s="134">
        <v>1</v>
      </c>
      <c r="F44" s="134">
        <v>7</v>
      </c>
    </row>
    <row r="45" spans="1:6" ht="18.75" customHeight="1" x14ac:dyDescent="0.35">
      <c r="A45" s="358">
        <v>42</v>
      </c>
      <c r="B45" s="762"/>
      <c r="C45" s="133" t="s">
        <v>438</v>
      </c>
      <c r="D45" s="134">
        <v>9764</v>
      </c>
      <c r="E45" s="134">
        <v>8766</v>
      </c>
      <c r="F45" s="134">
        <v>18530</v>
      </c>
    </row>
    <row r="46" spans="1:6" ht="18.75" customHeight="1" x14ac:dyDescent="0.35">
      <c r="A46" s="358">
        <v>43</v>
      </c>
      <c r="B46" s="762"/>
      <c r="C46" s="133" t="s">
        <v>439</v>
      </c>
      <c r="D46" s="134">
        <v>152160</v>
      </c>
      <c r="E46" s="134">
        <v>83432</v>
      </c>
      <c r="F46" s="134">
        <v>235592</v>
      </c>
    </row>
    <row r="47" spans="1:6" ht="18.75" customHeight="1" x14ac:dyDescent="0.35">
      <c r="A47" s="358">
        <v>44</v>
      </c>
      <c r="B47" s="762"/>
      <c r="C47" s="133" t="s">
        <v>440</v>
      </c>
      <c r="D47" s="134">
        <v>6646</v>
      </c>
      <c r="E47" s="134">
        <v>552</v>
      </c>
      <c r="F47" s="134">
        <v>7198</v>
      </c>
    </row>
    <row r="48" spans="1:6" ht="18.75" customHeight="1" x14ac:dyDescent="0.35">
      <c r="A48" s="358">
        <v>45</v>
      </c>
      <c r="B48" s="762"/>
      <c r="C48" s="133" t="s">
        <v>441</v>
      </c>
      <c r="D48" s="134">
        <v>1030</v>
      </c>
      <c r="E48" s="134">
        <v>242</v>
      </c>
      <c r="F48" s="134">
        <v>1272</v>
      </c>
    </row>
    <row r="49" spans="1:6" ht="18.75" customHeight="1" x14ac:dyDescent="0.35">
      <c r="A49" s="358">
        <v>46</v>
      </c>
      <c r="B49" s="762"/>
      <c r="C49" s="133" t="s">
        <v>442</v>
      </c>
      <c r="D49" s="134">
        <v>377047</v>
      </c>
      <c r="E49" s="134">
        <v>40119</v>
      </c>
      <c r="F49" s="134">
        <v>417166</v>
      </c>
    </row>
    <row r="50" spans="1:6" ht="18.75" customHeight="1" x14ac:dyDescent="0.35">
      <c r="A50" s="358">
        <v>47</v>
      </c>
      <c r="B50" s="762"/>
      <c r="C50" s="133" t="s">
        <v>443</v>
      </c>
      <c r="D50" s="134">
        <v>4782</v>
      </c>
      <c r="E50" s="134">
        <v>796</v>
      </c>
      <c r="F50" s="134">
        <v>5578</v>
      </c>
    </row>
    <row r="51" spans="1:6" ht="18.75" customHeight="1" x14ac:dyDescent="0.35">
      <c r="A51" s="358">
        <v>48</v>
      </c>
      <c r="B51" s="762"/>
      <c r="C51" s="133" t="s">
        <v>444</v>
      </c>
      <c r="D51" s="134">
        <v>81</v>
      </c>
      <c r="E51" s="134">
        <v>86</v>
      </c>
      <c r="F51" s="134">
        <v>167</v>
      </c>
    </row>
    <row r="52" spans="1:6" ht="18.75" customHeight="1" x14ac:dyDescent="0.35">
      <c r="A52" s="358">
        <v>49</v>
      </c>
      <c r="B52" s="762"/>
      <c r="C52" s="133" t="s">
        <v>445</v>
      </c>
      <c r="D52" s="134">
        <v>8576</v>
      </c>
      <c r="E52" s="134">
        <v>2668</v>
      </c>
      <c r="F52" s="134">
        <v>11244</v>
      </c>
    </row>
    <row r="53" spans="1:6" ht="18.75" customHeight="1" x14ac:dyDescent="0.35">
      <c r="A53" s="358">
        <v>50</v>
      </c>
      <c r="B53" s="762"/>
      <c r="C53" s="133" t="s">
        <v>446</v>
      </c>
      <c r="D53" s="134">
        <v>10268</v>
      </c>
      <c r="E53" s="134">
        <v>1081</v>
      </c>
      <c r="F53" s="134">
        <v>11349</v>
      </c>
    </row>
    <row r="54" spans="1:6" ht="18.75" customHeight="1" x14ac:dyDescent="0.35">
      <c r="A54" s="358">
        <v>51</v>
      </c>
      <c r="B54" s="762"/>
      <c r="C54" s="133" t="s">
        <v>447</v>
      </c>
      <c r="D54" s="134">
        <v>61</v>
      </c>
      <c r="E54" s="134">
        <v>34</v>
      </c>
      <c r="F54" s="134">
        <v>95</v>
      </c>
    </row>
    <row r="55" spans="1:6" ht="18.75" customHeight="1" x14ac:dyDescent="0.35">
      <c r="A55" s="358">
        <v>52</v>
      </c>
      <c r="B55" s="762"/>
      <c r="C55" s="133" t="s">
        <v>448</v>
      </c>
      <c r="D55" s="134">
        <v>191905</v>
      </c>
      <c r="E55" s="134">
        <v>104004</v>
      </c>
      <c r="F55" s="134">
        <v>295909</v>
      </c>
    </row>
    <row r="56" spans="1:6" ht="18.75" customHeight="1" x14ac:dyDescent="0.35">
      <c r="A56" s="358">
        <v>53</v>
      </c>
      <c r="B56" s="762"/>
      <c r="C56" s="133" t="s">
        <v>449</v>
      </c>
      <c r="D56" s="134">
        <v>16</v>
      </c>
      <c r="E56" s="134">
        <v>14</v>
      </c>
      <c r="F56" s="134">
        <v>30</v>
      </c>
    </row>
    <row r="57" spans="1:6" ht="18.75" customHeight="1" x14ac:dyDescent="0.35">
      <c r="A57" s="358">
        <v>54</v>
      </c>
      <c r="B57" s="762"/>
      <c r="C57" s="133" t="s">
        <v>450</v>
      </c>
      <c r="D57" s="134">
        <v>522</v>
      </c>
      <c r="E57" s="134">
        <v>81</v>
      </c>
      <c r="F57" s="134">
        <v>603</v>
      </c>
    </row>
    <row r="58" spans="1:6" ht="18.75" customHeight="1" x14ac:dyDescent="0.35">
      <c r="A58" s="358">
        <v>55</v>
      </c>
      <c r="B58" s="762"/>
      <c r="C58" s="133" t="s">
        <v>451</v>
      </c>
      <c r="D58" s="134">
        <v>689</v>
      </c>
      <c r="E58" s="134">
        <v>593</v>
      </c>
      <c r="F58" s="134">
        <v>1282</v>
      </c>
    </row>
    <row r="59" spans="1:6" ht="18.75" customHeight="1" x14ac:dyDescent="0.35">
      <c r="A59" s="358">
        <v>56</v>
      </c>
      <c r="B59" s="762"/>
      <c r="C59" s="133" t="s">
        <v>452</v>
      </c>
      <c r="D59" s="134">
        <v>126</v>
      </c>
      <c r="E59" s="134">
        <v>37</v>
      </c>
      <c r="F59" s="134">
        <v>163</v>
      </c>
    </row>
    <row r="60" spans="1:6" ht="18.75" customHeight="1" x14ac:dyDescent="0.35">
      <c r="A60" s="358">
        <v>57</v>
      </c>
      <c r="B60" s="763"/>
      <c r="C60" s="133" t="s">
        <v>453</v>
      </c>
      <c r="D60" s="134">
        <v>39</v>
      </c>
      <c r="E60" s="134">
        <v>23</v>
      </c>
      <c r="F60" s="134">
        <v>62</v>
      </c>
    </row>
    <row r="61" spans="1:6" ht="18.75" customHeight="1" x14ac:dyDescent="0.3">
      <c r="A61" s="358">
        <v>58</v>
      </c>
      <c r="B61" s="764" t="s">
        <v>454</v>
      </c>
      <c r="C61" s="765"/>
      <c r="D61" s="304">
        <v>3023413</v>
      </c>
      <c r="E61" s="304">
        <v>1367592</v>
      </c>
      <c r="F61" s="304">
        <v>4391005</v>
      </c>
    </row>
    <row r="62" spans="1:6" x14ac:dyDescent="0.35">
      <c r="A62" s="358">
        <v>59</v>
      </c>
      <c r="B62" s="190" t="s">
        <v>455</v>
      </c>
      <c r="C62" s="133"/>
      <c r="D62" s="134">
        <v>990</v>
      </c>
      <c r="E62" s="134">
        <v>437</v>
      </c>
      <c r="F62" s="134">
        <v>1427</v>
      </c>
    </row>
    <row r="63" spans="1:6" x14ac:dyDescent="0.35">
      <c r="A63" s="358">
        <v>60</v>
      </c>
      <c r="B63" s="190" t="s">
        <v>456</v>
      </c>
      <c r="C63" s="133"/>
      <c r="D63" s="134">
        <v>76</v>
      </c>
      <c r="E63" s="134">
        <v>768</v>
      </c>
      <c r="F63" s="134">
        <v>844</v>
      </c>
    </row>
    <row r="64" spans="1:6" x14ac:dyDescent="0.35">
      <c r="A64" s="358">
        <v>61</v>
      </c>
      <c r="B64" s="190" t="s">
        <v>457</v>
      </c>
      <c r="C64" s="133"/>
      <c r="D64" s="134">
        <v>2944</v>
      </c>
      <c r="E64" s="134">
        <v>14844</v>
      </c>
      <c r="F64" s="134">
        <v>17788</v>
      </c>
    </row>
    <row r="65" spans="1:6" x14ac:dyDescent="0.35">
      <c r="A65" s="358">
        <v>62</v>
      </c>
      <c r="B65" s="190" t="s">
        <v>65</v>
      </c>
      <c r="C65" s="133"/>
      <c r="D65" s="134">
        <v>22701</v>
      </c>
      <c r="E65" s="134">
        <v>28412</v>
      </c>
      <c r="F65" s="134">
        <v>51113</v>
      </c>
    </row>
    <row r="66" spans="1:6" x14ac:dyDescent="0.35">
      <c r="A66" s="358">
        <v>63</v>
      </c>
      <c r="B66" s="190" t="s">
        <v>458</v>
      </c>
      <c r="C66" s="133"/>
      <c r="D66" s="134">
        <v>3212</v>
      </c>
      <c r="E66" s="134">
        <v>3189</v>
      </c>
      <c r="F66" s="134">
        <v>6401</v>
      </c>
    </row>
    <row r="67" spans="1:6" x14ac:dyDescent="0.35">
      <c r="A67" s="358">
        <v>64</v>
      </c>
      <c r="B67" s="190" t="s">
        <v>459</v>
      </c>
      <c r="C67" s="133"/>
      <c r="D67" s="134">
        <v>199</v>
      </c>
      <c r="E67" s="134">
        <v>107</v>
      </c>
      <c r="F67" s="134">
        <v>306</v>
      </c>
    </row>
    <row r="68" spans="1:6" x14ac:dyDescent="0.35">
      <c r="A68" s="358">
        <v>65</v>
      </c>
      <c r="B68" s="190" t="s">
        <v>460</v>
      </c>
      <c r="C68" s="133"/>
      <c r="D68" s="134">
        <v>739</v>
      </c>
      <c r="E68" s="134">
        <v>774</v>
      </c>
      <c r="F68" s="134">
        <v>1513</v>
      </c>
    </row>
    <row r="69" spans="1:6" x14ac:dyDescent="0.35">
      <c r="A69" s="358">
        <v>66</v>
      </c>
      <c r="B69" s="190" t="s">
        <v>461</v>
      </c>
      <c r="C69" s="133"/>
      <c r="D69" s="134">
        <v>3</v>
      </c>
      <c r="E69" s="134">
        <v>1</v>
      </c>
      <c r="F69" s="134">
        <v>4</v>
      </c>
    </row>
    <row r="70" spans="1:6" x14ac:dyDescent="0.35">
      <c r="A70" s="358">
        <v>67</v>
      </c>
      <c r="B70" s="190" t="s">
        <v>462</v>
      </c>
      <c r="C70" s="133"/>
      <c r="D70" s="134">
        <v>93333</v>
      </c>
      <c r="E70" s="134">
        <v>131591</v>
      </c>
      <c r="F70" s="134">
        <v>224924</v>
      </c>
    </row>
    <row r="71" spans="1:6" x14ac:dyDescent="0.35">
      <c r="A71" s="358">
        <v>68</v>
      </c>
      <c r="B71" s="190" t="s">
        <v>463</v>
      </c>
      <c r="C71" s="133"/>
      <c r="D71" s="134">
        <v>16</v>
      </c>
      <c r="E71" s="134">
        <v>15</v>
      </c>
      <c r="F71" s="134">
        <v>31</v>
      </c>
    </row>
    <row r="72" spans="1:6" s="135" customFormat="1" x14ac:dyDescent="0.35">
      <c r="A72" s="358">
        <v>69</v>
      </c>
      <c r="B72" s="190" t="s">
        <v>464</v>
      </c>
      <c r="C72" s="133"/>
      <c r="D72" s="134">
        <v>302</v>
      </c>
      <c r="E72" s="134">
        <v>518</v>
      </c>
      <c r="F72" s="134">
        <v>820</v>
      </c>
    </row>
    <row r="73" spans="1:6" x14ac:dyDescent="0.35">
      <c r="A73" s="358">
        <v>70</v>
      </c>
      <c r="B73" s="190" t="s">
        <v>465</v>
      </c>
      <c r="C73" s="133"/>
      <c r="D73" s="134">
        <v>28</v>
      </c>
      <c r="E73" s="134">
        <v>17</v>
      </c>
      <c r="F73" s="134">
        <v>45</v>
      </c>
    </row>
    <row r="74" spans="1:6" x14ac:dyDescent="0.35">
      <c r="A74" s="358">
        <v>71</v>
      </c>
      <c r="B74" s="190" t="s">
        <v>466</v>
      </c>
      <c r="C74" s="133"/>
      <c r="D74" s="134">
        <v>5701</v>
      </c>
      <c r="E74" s="134">
        <v>81092</v>
      </c>
      <c r="F74" s="134">
        <v>86793</v>
      </c>
    </row>
    <row r="75" spans="1:6" x14ac:dyDescent="0.35">
      <c r="A75" s="358">
        <v>72</v>
      </c>
      <c r="B75" s="190" t="s">
        <v>467</v>
      </c>
      <c r="C75" s="133"/>
      <c r="D75" s="134">
        <v>18212</v>
      </c>
      <c r="E75" s="134">
        <v>6549</v>
      </c>
      <c r="F75" s="134">
        <v>24761</v>
      </c>
    </row>
    <row r="76" spans="1:6" x14ac:dyDescent="0.35">
      <c r="A76" s="358">
        <v>73</v>
      </c>
      <c r="B76" s="190" t="s">
        <v>67</v>
      </c>
      <c r="C76" s="133"/>
      <c r="D76" s="134">
        <v>150951</v>
      </c>
      <c r="E76" s="134">
        <v>278711</v>
      </c>
      <c r="F76" s="134">
        <v>429662</v>
      </c>
    </row>
    <row r="77" spans="1:6" x14ac:dyDescent="0.35">
      <c r="A77" s="358">
        <v>74</v>
      </c>
      <c r="B77" s="190" t="s">
        <v>439</v>
      </c>
      <c r="C77" s="133"/>
      <c r="D77" s="134">
        <v>1218</v>
      </c>
      <c r="E77" s="134">
        <v>968</v>
      </c>
      <c r="F77" s="134">
        <v>2186</v>
      </c>
    </row>
    <row r="78" spans="1:6" x14ac:dyDescent="0.35">
      <c r="A78" s="358">
        <v>75</v>
      </c>
      <c r="B78" s="190" t="s">
        <v>468</v>
      </c>
      <c r="C78" s="133"/>
      <c r="D78" s="134">
        <v>822288</v>
      </c>
      <c r="E78" s="134">
        <v>521612</v>
      </c>
      <c r="F78" s="134">
        <v>1343900</v>
      </c>
    </row>
    <row r="79" spans="1:6" x14ac:dyDescent="0.35">
      <c r="A79" s="358">
        <v>76</v>
      </c>
      <c r="B79" s="190" t="s">
        <v>469</v>
      </c>
      <c r="C79" s="133"/>
      <c r="D79" s="134">
        <v>13725</v>
      </c>
      <c r="E79" s="134">
        <v>17276</v>
      </c>
      <c r="F79" s="134">
        <v>31001</v>
      </c>
    </row>
    <row r="80" spans="1:6" x14ac:dyDescent="0.35">
      <c r="A80" s="358">
        <v>77</v>
      </c>
      <c r="B80" s="190" t="s">
        <v>68</v>
      </c>
      <c r="C80" s="133"/>
      <c r="D80" s="134">
        <v>392926</v>
      </c>
      <c r="E80" s="134">
        <v>202404</v>
      </c>
      <c r="F80" s="134">
        <v>595330</v>
      </c>
    </row>
    <row r="81" spans="1:6" x14ac:dyDescent="0.35">
      <c r="A81" s="358">
        <v>78</v>
      </c>
      <c r="B81" s="190" t="s">
        <v>470</v>
      </c>
      <c r="C81" s="133"/>
      <c r="D81" s="134">
        <v>31016</v>
      </c>
      <c r="E81" s="134">
        <v>27849</v>
      </c>
      <c r="F81" s="134">
        <v>58865</v>
      </c>
    </row>
    <row r="82" spans="1:6" x14ac:dyDescent="0.35">
      <c r="A82" s="358">
        <v>79</v>
      </c>
      <c r="B82" s="190" t="s">
        <v>471</v>
      </c>
      <c r="C82" s="133"/>
      <c r="D82" s="134">
        <v>663</v>
      </c>
      <c r="E82" s="134">
        <v>695</v>
      </c>
      <c r="F82" s="134">
        <v>1358</v>
      </c>
    </row>
    <row r="83" spans="1:6" x14ac:dyDescent="0.35">
      <c r="A83" s="358">
        <v>80</v>
      </c>
      <c r="B83" s="190" t="s">
        <v>472</v>
      </c>
      <c r="C83" s="133"/>
      <c r="D83" s="134">
        <v>2570</v>
      </c>
      <c r="E83" s="134">
        <v>4530</v>
      </c>
      <c r="F83" s="134">
        <v>7100</v>
      </c>
    </row>
    <row r="84" spans="1:6" x14ac:dyDescent="0.35">
      <c r="A84" s="358">
        <v>81</v>
      </c>
      <c r="B84" s="190" t="s">
        <v>473</v>
      </c>
      <c r="C84" s="133"/>
      <c r="D84" s="134">
        <v>7</v>
      </c>
      <c r="E84" s="134">
        <v>1</v>
      </c>
      <c r="F84" s="134">
        <v>8</v>
      </c>
    </row>
    <row r="85" spans="1:6" x14ac:dyDescent="0.35">
      <c r="A85" s="358">
        <v>82</v>
      </c>
      <c r="B85" s="190" t="s">
        <v>474</v>
      </c>
      <c r="C85" s="133"/>
      <c r="D85" s="134">
        <v>668162</v>
      </c>
      <c r="E85" s="134">
        <v>412804</v>
      </c>
      <c r="F85" s="134">
        <v>1080966</v>
      </c>
    </row>
    <row r="86" spans="1:6" x14ac:dyDescent="0.35">
      <c r="A86" s="358">
        <v>83</v>
      </c>
      <c r="B86" s="190" t="s">
        <v>475</v>
      </c>
      <c r="C86" s="133"/>
      <c r="D86" s="134">
        <v>94</v>
      </c>
      <c r="E86" s="134">
        <v>61</v>
      </c>
      <c r="F86" s="134">
        <v>155</v>
      </c>
    </row>
    <row r="87" spans="1:6" x14ac:dyDescent="0.35">
      <c r="A87" s="358">
        <v>84</v>
      </c>
      <c r="B87" s="190" t="s">
        <v>476</v>
      </c>
      <c r="C87" s="133"/>
      <c r="D87" s="134">
        <v>1674</v>
      </c>
      <c r="E87" s="134">
        <v>175</v>
      </c>
      <c r="F87" s="134">
        <v>1849</v>
      </c>
    </row>
    <row r="88" spans="1:6" x14ac:dyDescent="0.35">
      <c r="A88" s="358">
        <v>85</v>
      </c>
      <c r="B88" s="190" t="s">
        <v>477</v>
      </c>
      <c r="C88" s="133"/>
      <c r="D88" s="134">
        <v>226</v>
      </c>
      <c r="E88" s="134">
        <v>58</v>
      </c>
      <c r="F88" s="134">
        <v>284</v>
      </c>
    </row>
    <row r="89" spans="1:6" x14ac:dyDescent="0.35">
      <c r="A89" s="358">
        <v>86</v>
      </c>
      <c r="B89" s="761" t="s">
        <v>478</v>
      </c>
      <c r="C89" s="133" t="s">
        <v>479</v>
      </c>
      <c r="D89" s="134">
        <v>112</v>
      </c>
      <c r="E89" s="134">
        <v>121</v>
      </c>
      <c r="F89" s="134">
        <v>233</v>
      </c>
    </row>
    <row r="90" spans="1:6" x14ac:dyDescent="0.35">
      <c r="A90" s="358">
        <v>87</v>
      </c>
      <c r="B90" s="762"/>
      <c r="C90" s="133" t="s">
        <v>480</v>
      </c>
      <c r="D90" s="134">
        <v>49232</v>
      </c>
      <c r="E90" s="134">
        <v>65765</v>
      </c>
      <c r="F90" s="134">
        <v>114997</v>
      </c>
    </row>
    <row r="91" spans="1:6" x14ac:dyDescent="0.35">
      <c r="A91" s="358">
        <v>88</v>
      </c>
      <c r="B91" s="762"/>
      <c r="C91" s="133" t="s">
        <v>481</v>
      </c>
      <c r="D91" s="134">
        <v>112</v>
      </c>
      <c r="E91" s="134">
        <v>121</v>
      </c>
      <c r="F91" s="134">
        <v>233</v>
      </c>
    </row>
    <row r="92" spans="1:6" x14ac:dyDescent="0.35">
      <c r="A92" s="358">
        <v>89</v>
      </c>
      <c r="B92" s="762"/>
      <c r="C92" s="133" t="s">
        <v>482</v>
      </c>
      <c r="D92" s="134">
        <v>26188</v>
      </c>
      <c r="E92" s="134">
        <v>74058</v>
      </c>
      <c r="F92" s="134">
        <v>100246</v>
      </c>
    </row>
    <row r="93" spans="1:6" x14ac:dyDescent="0.35">
      <c r="A93" s="358">
        <v>90</v>
      </c>
      <c r="B93" s="762"/>
      <c r="C93" s="133" t="s">
        <v>483</v>
      </c>
      <c r="D93" s="134">
        <v>112</v>
      </c>
      <c r="E93" s="134">
        <v>121</v>
      </c>
      <c r="F93" s="134">
        <v>233</v>
      </c>
    </row>
    <row r="94" spans="1:6" x14ac:dyDescent="0.35">
      <c r="A94" s="358">
        <v>91</v>
      </c>
      <c r="B94" s="762"/>
      <c r="C94" s="133" t="s">
        <v>484</v>
      </c>
      <c r="D94" s="134">
        <v>112</v>
      </c>
      <c r="E94" s="134">
        <v>121</v>
      </c>
      <c r="F94" s="134">
        <v>233</v>
      </c>
    </row>
    <row r="95" spans="1:6" x14ac:dyDescent="0.35">
      <c r="A95" s="358">
        <v>92</v>
      </c>
      <c r="B95" s="762"/>
      <c r="C95" s="133" t="s">
        <v>485</v>
      </c>
      <c r="D95" s="134">
        <v>200718</v>
      </c>
      <c r="E95" s="134">
        <v>200650</v>
      </c>
      <c r="F95" s="134">
        <v>401368</v>
      </c>
    </row>
    <row r="96" spans="1:6" x14ac:dyDescent="0.35">
      <c r="A96" s="358">
        <v>93</v>
      </c>
      <c r="B96" s="762"/>
      <c r="C96" s="133" t="s">
        <v>486</v>
      </c>
      <c r="D96" s="134">
        <v>755</v>
      </c>
      <c r="E96" s="134">
        <v>2771</v>
      </c>
      <c r="F96" s="134">
        <v>3526</v>
      </c>
    </row>
    <row r="97" spans="1:6" x14ac:dyDescent="0.35">
      <c r="A97" s="358">
        <v>94</v>
      </c>
      <c r="B97" s="762"/>
      <c r="C97" s="133" t="s">
        <v>487</v>
      </c>
      <c r="D97" s="134">
        <v>112</v>
      </c>
      <c r="E97" s="134">
        <v>121</v>
      </c>
      <c r="F97" s="134">
        <v>233</v>
      </c>
    </row>
    <row r="98" spans="1:6" x14ac:dyDescent="0.35">
      <c r="A98" s="358">
        <v>95</v>
      </c>
      <c r="B98" s="762"/>
      <c r="C98" s="133" t="s">
        <v>488</v>
      </c>
      <c r="D98" s="134">
        <v>25832</v>
      </c>
      <c r="E98" s="134">
        <v>39882</v>
      </c>
      <c r="F98" s="134">
        <v>65714</v>
      </c>
    </row>
    <row r="99" spans="1:6" x14ac:dyDescent="0.35">
      <c r="A99" s="358">
        <v>96</v>
      </c>
      <c r="B99" s="762"/>
      <c r="C99" s="133" t="s">
        <v>489</v>
      </c>
      <c r="D99" s="134">
        <v>2788</v>
      </c>
      <c r="E99" s="134">
        <v>3443</v>
      </c>
      <c r="F99" s="134">
        <v>6231</v>
      </c>
    </row>
    <row r="100" spans="1:6" x14ac:dyDescent="0.35">
      <c r="A100" s="358">
        <v>97</v>
      </c>
      <c r="B100" s="762"/>
      <c r="C100" s="133" t="s">
        <v>490</v>
      </c>
      <c r="D100" s="134">
        <v>350</v>
      </c>
      <c r="E100" s="134">
        <v>466</v>
      </c>
      <c r="F100" s="134">
        <v>816</v>
      </c>
    </row>
    <row r="101" spans="1:6" x14ac:dyDescent="0.35">
      <c r="A101" s="358">
        <v>98</v>
      </c>
      <c r="B101" s="762"/>
      <c r="C101" s="133" t="s">
        <v>491</v>
      </c>
      <c r="D101" s="134">
        <v>1486</v>
      </c>
      <c r="E101" s="134">
        <v>2428</v>
      </c>
      <c r="F101" s="134">
        <v>3914</v>
      </c>
    </row>
    <row r="102" spans="1:6" x14ac:dyDescent="0.35">
      <c r="A102" s="358">
        <v>99</v>
      </c>
      <c r="B102" s="762"/>
      <c r="C102" s="133" t="s">
        <v>478</v>
      </c>
      <c r="D102" s="134">
        <v>24522</v>
      </c>
      <c r="E102" s="134">
        <v>47460</v>
      </c>
      <c r="F102" s="134">
        <v>71982</v>
      </c>
    </row>
    <row r="103" spans="1:6" x14ac:dyDescent="0.35">
      <c r="A103" s="358">
        <v>100</v>
      </c>
      <c r="B103" s="762"/>
      <c r="C103" s="133" t="s">
        <v>113</v>
      </c>
      <c r="D103" s="134">
        <v>156850</v>
      </c>
      <c r="E103" s="134">
        <v>453314</v>
      </c>
      <c r="F103" s="134">
        <v>610164</v>
      </c>
    </row>
    <row r="104" spans="1:6" x14ac:dyDescent="0.35">
      <c r="A104" s="358">
        <v>101</v>
      </c>
      <c r="B104" s="762"/>
      <c r="C104" s="133" t="s">
        <v>492</v>
      </c>
      <c r="D104" s="134">
        <v>2530</v>
      </c>
      <c r="E104" s="134">
        <v>4098</v>
      </c>
      <c r="F104" s="134">
        <v>6628</v>
      </c>
    </row>
    <row r="105" spans="1:6" x14ac:dyDescent="0.35">
      <c r="A105" s="358">
        <v>102</v>
      </c>
      <c r="B105" s="762"/>
      <c r="C105" s="133" t="s">
        <v>493</v>
      </c>
      <c r="D105" s="134">
        <v>3987</v>
      </c>
      <c r="E105" s="134">
        <v>5772</v>
      </c>
      <c r="F105" s="134">
        <v>9759</v>
      </c>
    </row>
    <row r="106" spans="1:6" x14ac:dyDescent="0.35">
      <c r="A106" s="358">
        <v>103</v>
      </c>
      <c r="B106" s="762"/>
      <c r="C106" s="133" t="s">
        <v>494</v>
      </c>
      <c r="D106" s="134">
        <v>5026</v>
      </c>
      <c r="E106" s="134">
        <v>7665</v>
      </c>
      <c r="F106" s="134">
        <v>12691</v>
      </c>
    </row>
    <row r="107" spans="1:6" x14ac:dyDescent="0.35">
      <c r="A107" s="358">
        <v>104</v>
      </c>
      <c r="B107" s="762"/>
      <c r="C107" s="133" t="s">
        <v>495</v>
      </c>
      <c r="D107" s="134">
        <v>1114</v>
      </c>
      <c r="E107" s="134">
        <v>2990</v>
      </c>
      <c r="F107" s="134">
        <v>4104</v>
      </c>
    </row>
    <row r="108" spans="1:6" x14ac:dyDescent="0.35">
      <c r="A108" s="358">
        <v>105</v>
      </c>
      <c r="B108" s="762"/>
      <c r="C108" s="133" t="s">
        <v>496</v>
      </c>
      <c r="D108" s="134">
        <v>112</v>
      </c>
      <c r="E108" s="134">
        <v>121</v>
      </c>
      <c r="F108" s="134">
        <v>233</v>
      </c>
    </row>
    <row r="109" spans="1:6" x14ac:dyDescent="0.35">
      <c r="A109" s="358">
        <v>106</v>
      </c>
      <c r="B109" s="762"/>
      <c r="C109" s="133" t="s">
        <v>497</v>
      </c>
      <c r="D109" s="134">
        <v>358520</v>
      </c>
      <c r="E109" s="134">
        <v>233126</v>
      </c>
      <c r="F109" s="134">
        <v>591646</v>
      </c>
    </row>
    <row r="110" spans="1:6" x14ac:dyDescent="0.35">
      <c r="A110" s="358">
        <v>107</v>
      </c>
      <c r="B110" s="762"/>
      <c r="C110" s="133" t="s">
        <v>498</v>
      </c>
      <c r="D110" s="134">
        <v>43377</v>
      </c>
      <c r="E110" s="134">
        <v>73017</v>
      </c>
      <c r="F110" s="134">
        <v>116394</v>
      </c>
    </row>
    <row r="111" spans="1:6" x14ac:dyDescent="0.35">
      <c r="A111" s="358">
        <v>108</v>
      </c>
      <c r="B111" s="762"/>
      <c r="C111" s="133" t="s">
        <v>499</v>
      </c>
      <c r="D111" s="134">
        <v>135</v>
      </c>
      <c r="E111" s="134">
        <v>148</v>
      </c>
      <c r="F111" s="134">
        <v>283</v>
      </c>
    </row>
    <row r="112" spans="1:6" x14ac:dyDescent="0.35">
      <c r="A112" s="358">
        <v>109</v>
      </c>
      <c r="B112" s="762"/>
      <c r="C112" s="133" t="s">
        <v>500</v>
      </c>
      <c r="D112" s="134">
        <v>112</v>
      </c>
      <c r="E112" s="134">
        <v>121</v>
      </c>
      <c r="F112" s="134">
        <v>233</v>
      </c>
    </row>
    <row r="113" spans="1:6" x14ac:dyDescent="0.35">
      <c r="A113" s="358">
        <v>110</v>
      </c>
      <c r="B113" s="763"/>
      <c r="C113" s="133" t="s">
        <v>501</v>
      </c>
      <c r="D113" s="134">
        <v>3527</v>
      </c>
      <c r="E113" s="134">
        <v>5169</v>
      </c>
      <c r="F113" s="134">
        <v>8696</v>
      </c>
    </row>
    <row r="114" spans="1:6" x14ac:dyDescent="0.3">
      <c r="A114" s="358">
        <v>111</v>
      </c>
      <c r="B114" s="766" t="s">
        <v>502</v>
      </c>
      <c r="C114" s="767"/>
      <c r="D114" s="304">
        <v>907721</v>
      </c>
      <c r="E114" s="304">
        <v>1223069</v>
      </c>
      <c r="F114" s="304">
        <v>2130790</v>
      </c>
    </row>
    <row r="115" spans="1:6" x14ac:dyDescent="0.35">
      <c r="A115" s="358">
        <v>112</v>
      </c>
      <c r="B115" s="190" t="s">
        <v>503</v>
      </c>
      <c r="C115" s="133"/>
      <c r="D115" s="134">
        <v>38018</v>
      </c>
      <c r="E115" s="134">
        <v>22668</v>
      </c>
      <c r="F115" s="134">
        <v>60686</v>
      </c>
    </row>
    <row r="116" spans="1:6" x14ac:dyDescent="0.35">
      <c r="A116" s="358">
        <v>113</v>
      </c>
      <c r="B116" s="190" t="s">
        <v>504</v>
      </c>
      <c r="C116" s="133"/>
      <c r="D116" s="134">
        <v>55046</v>
      </c>
      <c r="E116" s="134">
        <v>60224</v>
      </c>
      <c r="F116" s="134">
        <v>115270</v>
      </c>
    </row>
    <row r="117" spans="1:6" x14ac:dyDescent="0.35">
      <c r="A117" s="358">
        <v>114</v>
      </c>
      <c r="B117" s="190" t="s">
        <v>505</v>
      </c>
      <c r="C117" s="133"/>
      <c r="D117" s="134">
        <v>401</v>
      </c>
      <c r="E117" s="134">
        <v>513</v>
      </c>
      <c r="F117" s="134">
        <v>914</v>
      </c>
    </row>
    <row r="118" spans="1:6" x14ac:dyDescent="0.35">
      <c r="A118" s="358">
        <v>115</v>
      </c>
      <c r="B118" s="190" t="s">
        <v>506</v>
      </c>
      <c r="C118" s="133"/>
      <c r="D118" s="134">
        <v>55868</v>
      </c>
      <c r="E118" s="134">
        <v>24710</v>
      </c>
      <c r="F118" s="134">
        <v>80578</v>
      </c>
    </row>
    <row r="119" spans="1:6" x14ac:dyDescent="0.35">
      <c r="A119" s="358">
        <v>116</v>
      </c>
      <c r="B119" s="190" t="s">
        <v>507</v>
      </c>
      <c r="C119" s="133"/>
      <c r="D119" s="134">
        <v>1035</v>
      </c>
      <c r="E119" s="134">
        <v>304</v>
      </c>
      <c r="F119" s="134">
        <v>1339</v>
      </c>
    </row>
    <row r="120" spans="1:6" x14ac:dyDescent="0.35">
      <c r="A120" s="358">
        <v>117</v>
      </c>
      <c r="B120" s="190" t="s">
        <v>508</v>
      </c>
      <c r="C120" s="133"/>
      <c r="D120" s="134">
        <v>25</v>
      </c>
      <c r="E120" s="134">
        <v>25</v>
      </c>
      <c r="F120" s="134">
        <v>50</v>
      </c>
    </row>
    <row r="121" spans="1:6" x14ac:dyDescent="0.35">
      <c r="A121" s="358">
        <v>118</v>
      </c>
      <c r="B121" s="190" t="s">
        <v>509</v>
      </c>
      <c r="C121" s="133"/>
      <c r="D121" s="134">
        <v>1389</v>
      </c>
      <c r="E121" s="134">
        <v>1753</v>
      </c>
      <c r="F121" s="134">
        <v>3142</v>
      </c>
    </row>
    <row r="122" spans="1:6" x14ac:dyDescent="0.35">
      <c r="A122" s="358">
        <v>119</v>
      </c>
      <c r="B122" s="190" t="s">
        <v>510</v>
      </c>
      <c r="C122" s="133"/>
      <c r="D122" s="134">
        <v>416</v>
      </c>
      <c r="E122" s="134">
        <v>356</v>
      </c>
      <c r="F122" s="134">
        <v>772</v>
      </c>
    </row>
    <row r="123" spans="1:6" x14ac:dyDescent="0.35">
      <c r="A123" s="358">
        <v>120</v>
      </c>
      <c r="B123" s="190" t="s">
        <v>511</v>
      </c>
      <c r="C123" s="133"/>
      <c r="D123" s="134">
        <v>4150</v>
      </c>
      <c r="E123" s="134">
        <v>1431</v>
      </c>
      <c r="F123" s="134">
        <v>5581</v>
      </c>
    </row>
    <row r="124" spans="1:6" x14ac:dyDescent="0.35">
      <c r="A124" s="358">
        <v>121</v>
      </c>
      <c r="B124" s="190" t="s">
        <v>72</v>
      </c>
      <c r="C124" s="133"/>
      <c r="D124" s="134">
        <v>2126703</v>
      </c>
      <c r="E124" s="134">
        <v>2441696</v>
      </c>
      <c r="F124" s="134">
        <v>4568399</v>
      </c>
    </row>
    <row r="125" spans="1:6" x14ac:dyDescent="0.35">
      <c r="A125" s="358">
        <v>122</v>
      </c>
      <c r="B125" s="190" t="s">
        <v>512</v>
      </c>
      <c r="C125" s="133"/>
      <c r="D125" s="134">
        <v>209</v>
      </c>
      <c r="E125" s="134">
        <v>229</v>
      </c>
      <c r="F125" s="134">
        <v>438</v>
      </c>
    </row>
    <row r="126" spans="1:6" x14ac:dyDescent="0.35">
      <c r="A126" s="358">
        <v>123</v>
      </c>
      <c r="B126" s="190" t="s">
        <v>73</v>
      </c>
      <c r="C126" s="133"/>
      <c r="D126" s="134">
        <v>609550</v>
      </c>
      <c r="E126" s="134">
        <v>728576</v>
      </c>
      <c r="F126" s="134">
        <v>1338126</v>
      </c>
    </row>
    <row r="127" spans="1:6" x14ac:dyDescent="0.35">
      <c r="A127" s="358">
        <v>124</v>
      </c>
      <c r="B127" s="190" t="s">
        <v>513</v>
      </c>
      <c r="C127" s="133"/>
      <c r="D127" s="134">
        <v>25768</v>
      </c>
      <c r="E127" s="134">
        <v>21917</v>
      </c>
      <c r="F127" s="134">
        <v>47685</v>
      </c>
    </row>
    <row r="128" spans="1:6" x14ac:dyDescent="0.35">
      <c r="A128" s="358">
        <v>125</v>
      </c>
      <c r="B128" s="190" t="s">
        <v>76</v>
      </c>
      <c r="C128" s="133"/>
      <c r="D128" s="134">
        <v>17012</v>
      </c>
      <c r="E128" s="134">
        <v>11944</v>
      </c>
      <c r="F128" s="134">
        <v>28956</v>
      </c>
    </row>
    <row r="129" spans="1:6" ht="14.5" customHeight="1" x14ac:dyDescent="0.35">
      <c r="A129" s="358">
        <v>126</v>
      </c>
      <c r="B129" s="190" t="s">
        <v>514</v>
      </c>
      <c r="C129" s="133"/>
      <c r="D129" s="134">
        <v>1854</v>
      </c>
      <c r="E129" s="134">
        <v>722</v>
      </c>
      <c r="F129" s="134">
        <v>2576</v>
      </c>
    </row>
    <row r="130" spans="1:6" x14ac:dyDescent="0.35">
      <c r="A130" s="358">
        <v>127</v>
      </c>
      <c r="B130" s="190" t="s">
        <v>515</v>
      </c>
      <c r="C130" s="133"/>
      <c r="D130" s="134"/>
      <c r="E130" s="134">
        <v>1015</v>
      </c>
      <c r="F130" s="134">
        <v>1015</v>
      </c>
    </row>
    <row r="131" spans="1:6" x14ac:dyDescent="0.35">
      <c r="A131" s="747" t="s">
        <v>46</v>
      </c>
      <c r="B131" s="747"/>
      <c r="C131" s="747"/>
      <c r="D131" s="136">
        <v>17144881</v>
      </c>
      <c r="E131" s="136">
        <v>16783179</v>
      </c>
      <c r="F131" s="136">
        <v>33928060</v>
      </c>
    </row>
  </sheetData>
  <mergeCells count="7">
    <mergeCell ref="A1:F1"/>
    <mergeCell ref="A131:C131"/>
    <mergeCell ref="B2:C2"/>
    <mergeCell ref="B20:B60"/>
    <mergeCell ref="B61:C61"/>
    <mergeCell ref="B89:B113"/>
    <mergeCell ref="B114:C114"/>
  </mergeCells>
  <pageMargins left="0.43307086614173229" right="0.15748031496062992" top="0.39370078740157483" bottom="0.39370078740157483" header="0.31496062992125984" footer="0.19685039370078741"/>
  <pageSetup paperSize="9" scale="70" firstPageNumber="44" orientation="portrait" r:id="rId1"/>
  <headerFooter>
    <oddFooter>&amp;L&amp;"Arial,Italic"&amp;9AISHE 2023-24&amp;RT-12</oddFooter>
  </headerFooter>
  <rowBreaks count="1" manualBreakCount="1">
    <brk id="61" max="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D4E4-2902-47DB-B3C7-C52539B769D4}">
  <dimension ref="A1:L298"/>
  <sheetViews>
    <sheetView view="pageBreakPreview" zoomScaleNormal="100" zoomScaleSheetLayoutView="100" workbookViewId="0">
      <pane ySplit="4" topLeftCell="A5" activePane="bottomLeft" state="frozen"/>
      <selection activeCell="B16" sqref="B16:M16"/>
      <selection pane="bottomLeft" activeCell="B16" sqref="B16:M16"/>
    </sheetView>
  </sheetViews>
  <sheetFormatPr defaultColWidth="9.453125" defaultRowHeight="14" x14ac:dyDescent="0.35"/>
  <cols>
    <col min="1" max="1" width="4.26953125" style="142" bestFit="1" customWidth="1"/>
    <col min="2" max="2" width="26.1796875" style="143" customWidth="1"/>
    <col min="3" max="3" width="26.1796875" style="106" customWidth="1"/>
    <col min="4" max="6" width="10.1796875" style="130" bestFit="1" customWidth="1"/>
    <col min="7" max="7" width="5.81640625" style="130" bestFit="1" customWidth="1"/>
    <col min="8" max="8" width="7.81640625" style="130" bestFit="1" customWidth="1"/>
    <col min="9" max="9" width="7.26953125" style="130" bestFit="1" customWidth="1"/>
    <col min="10" max="12" width="11.26953125" style="130" bestFit="1" customWidth="1"/>
    <col min="13" max="16384" width="9.453125" style="106"/>
  </cols>
  <sheetData>
    <row r="1" spans="1:12" ht="26.25" customHeight="1" x14ac:dyDescent="0.35">
      <c r="B1" s="771" t="s">
        <v>516</v>
      </c>
      <c r="C1" s="771"/>
      <c r="D1" s="771"/>
      <c r="E1" s="771"/>
      <c r="F1" s="771"/>
      <c r="G1" s="771"/>
      <c r="H1" s="771"/>
      <c r="I1" s="771"/>
      <c r="J1" s="771"/>
      <c r="K1" s="771"/>
      <c r="L1" s="771"/>
    </row>
    <row r="2" spans="1:12" s="108" customFormat="1" x14ac:dyDescent="0.35">
      <c r="A2" s="757" t="s">
        <v>975</v>
      </c>
      <c r="B2" s="772" t="s">
        <v>399</v>
      </c>
      <c r="C2" s="772"/>
      <c r="D2" s="757" t="s">
        <v>95</v>
      </c>
      <c r="E2" s="757"/>
      <c r="F2" s="757"/>
      <c r="G2" s="757" t="s">
        <v>96</v>
      </c>
      <c r="H2" s="757"/>
      <c r="I2" s="757"/>
      <c r="J2" s="757" t="s">
        <v>97</v>
      </c>
      <c r="K2" s="757"/>
      <c r="L2" s="757"/>
    </row>
    <row r="3" spans="1:12" s="108" customFormat="1" x14ac:dyDescent="0.35">
      <c r="A3" s="772"/>
      <c r="B3" s="772"/>
      <c r="C3" s="772"/>
      <c r="D3" s="122" t="s">
        <v>103</v>
      </c>
      <c r="E3" s="122" t="s">
        <v>104</v>
      </c>
      <c r="F3" s="122" t="s">
        <v>89</v>
      </c>
      <c r="G3" s="122" t="s">
        <v>103</v>
      </c>
      <c r="H3" s="122" t="s">
        <v>104</v>
      </c>
      <c r="I3" s="122" t="s">
        <v>89</v>
      </c>
      <c r="J3" s="122" t="s">
        <v>103</v>
      </c>
      <c r="K3" s="122" t="s">
        <v>104</v>
      </c>
      <c r="L3" s="122" t="s">
        <v>89</v>
      </c>
    </row>
    <row r="4" spans="1:12" s="315" customFormat="1" ht="10.5" x14ac:dyDescent="0.35">
      <c r="A4" s="301">
        <v>1</v>
      </c>
      <c r="B4" s="312">
        <v>2</v>
      </c>
      <c r="C4" s="313">
        <v>3</v>
      </c>
      <c r="D4" s="314">
        <v>4</v>
      </c>
      <c r="E4" s="301">
        <v>5</v>
      </c>
      <c r="F4" s="314">
        <v>6</v>
      </c>
      <c r="G4" s="301">
        <v>7</v>
      </c>
      <c r="H4" s="314">
        <v>8</v>
      </c>
      <c r="I4" s="301">
        <v>9</v>
      </c>
      <c r="J4" s="314">
        <v>10</v>
      </c>
      <c r="K4" s="301">
        <v>11</v>
      </c>
      <c r="L4" s="314">
        <v>12</v>
      </c>
    </row>
    <row r="5" spans="1:12" ht="18" customHeight="1" x14ac:dyDescent="0.3">
      <c r="A5" s="359">
        <v>1</v>
      </c>
      <c r="B5" s="768" t="s">
        <v>62</v>
      </c>
      <c r="C5" s="139" t="s">
        <v>62</v>
      </c>
      <c r="D5" s="140">
        <v>4816</v>
      </c>
      <c r="E5" s="140">
        <v>4366</v>
      </c>
      <c r="F5" s="140">
        <v>9182</v>
      </c>
      <c r="G5" s="140"/>
      <c r="H5" s="140"/>
      <c r="I5" s="140"/>
      <c r="J5" s="140">
        <v>22896</v>
      </c>
      <c r="K5" s="140">
        <v>13175</v>
      </c>
      <c r="L5" s="140">
        <v>36071</v>
      </c>
    </row>
    <row r="6" spans="1:12" ht="18" customHeight="1" x14ac:dyDescent="0.3">
      <c r="A6" s="359">
        <v>2</v>
      </c>
      <c r="B6" s="769"/>
      <c r="C6" s="139" t="s">
        <v>517</v>
      </c>
      <c r="D6" s="140">
        <v>348</v>
      </c>
      <c r="E6" s="140">
        <v>416</v>
      </c>
      <c r="F6" s="140">
        <v>764</v>
      </c>
      <c r="G6" s="140"/>
      <c r="H6" s="140"/>
      <c r="I6" s="140"/>
      <c r="J6" s="140">
        <v>628</v>
      </c>
      <c r="K6" s="140">
        <v>711</v>
      </c>
      <c r="L6" s="140">
        <v>1339</v>
      </c>
    </row>
    <row r="7" spans="1:12" ht="18" customHeight="1" x14ac:dyDescent="0.3">
      <c r="A7" s="359">
        <v>3</v>
      </c>
      <c r="B7" s="769"/>
      <c r="C7" s="139" t="s">
        <v>518</v>
      </c>
      <c r="D7" s="140">
        <v>691</v>
      </c>
      <c r="E7" s="140">
        <v>863</v>
      </c>
      <c r="F7" s="140">
        <v>1554</v>
      </c>
      <c r="G7" s="140"/>
      <c r="H7" s="140"/>
      <c r="I7" s="140"/>
      <c r="J7" s="140">
        <v>3655</v>
      </c>
      <c r="K7" s="140">
        <v>2757</v>
      </c>
      <c r="L7" s="140">
        <v>6412</v>
      </c>
    </row>
    <row r="8" spans="1:12" ht="18" customHeight="1" x14ac:dyDescent="0.3">
      <c r="A8" s="359">
        <v>4</v>
      </c>
      <c r="B8" s="769"/>
      <c r="C8" s="139" t="s">
        <v>519</v>
      </c>
      <c r="D8" s="140">
        <v>20</v>
      </c>
      <c r="E8" s="140">
        <v>23</v>
      </c>
      <c r="F8" s="140">
        <v>43</v>
      </c>
      <c r="G8" s="140"/>
      <c r="H8" s="140"/>
      <c r="I8" s="140"/>
      <c r="J8" s="140">
        <v>45</v>
      </c>
      <c r="K8" s="140">
        <v>47</v>
      </c>
      <c r="L8" s="140">
        <v>92</v>
      </c>
    </row>
    <row r="9" spans="1:12" ht="18" customHeight="1" x14ac:dyDescent="0.3">
      <c r="A9" s="359">
        <v>5</v>
      </c>
      <c r="B9" s="768" t="s">
        <v>520</v>
      </c>
      <c r="C9" s="769"/>
      <c r="D9" s="141">
        <v>5875</v>
      </c>
      <c r="E9" s="141">
        <v>5668</v>
      </c>
      <c r="F9" s="141">
        <v>11543</v>
      </c>
      <c r="G9" s="141"/>
      <c r="H9" s="141"/>
      <c r="I9" s="141"/>
      <c r="J9" s="141">
        <v>27224</v>
      </c>
      <c r="K9" s="141">
        <v>16690</v>
      </c>
      <c r="L9" s="141">
        <v>43914</v>
      </c>
    </row>
    <row r="10" spans="1:12" ht="18" customHeight="1" x14ac:dyDescent="0.3">
      <c r="A10" s="359">
        <v>6</v>
      </c>
      <c r="B10" s="138" t="s">
        <v>402</v>
      </c>
      <c r="C10" s="139" t="s">
        <v>457</v>
      </c>
      <c r="D10" s="140"/>
      <c r="E10" s="140"/>
      <c r="F10" s="140"/>
      <c r="G10" s="140"/>
      <c r="H10" s="140"/>
      <c r="I10" s="140"/>
      <c r="J10" s="140">
        <v>102</v>
      </c>
      <c r="K10" s="140">
        <v>134</v>
      </c>
      <c r="L10" s="140">
        <v>236</v>
      </c>
    </row>
    <row r="11" spans="1:12" ht="18" customHeight="1" x14ac:dyDescent="0.3">
      <c r="A11" s="359">
        <v>7</v>
      </c>
      <c r="B11" s="768" t="s">
        <v>521</v>
      </c>
      <c r="C11" s="769"/>
      <c r="D11" s="141"/>
      <c r="E11" s="141"/>
      <c r="F11" s="141"/>
      <c r="G11" s="141"/>
      <c r="H11" s="141"/>
      <c r="I11" s="141"/>
      <c r="J11" s="141">
        <v>102</v>
      </c>
      <c r="K11" s="141">
        <v>134</v>
      </c>
      <c r="L11" s="141">
        <v>236</v>
      </c>
    </row>
    <row r="12" spans="1:12" ht="18" customHeight="1" x14ac:dyDescent="0.3">
      <c r="A12" s="359">
        <v>8</v>
      </c>
      <c r="B12" s="768" t="s">
        <v>404</v>
      </c>
      <c r="C12" s="139" t="s">
        <v>404</v>
      </c>
      <c r="D12" s="140">
        <v>3711</v>
      </c>
      <c r="E12" s="140">
        <v>4795</v>
      </c>
      <c r="F12" s="140">
        <v>8506</v>
      </c>
      <c r="G12" s="140">
        <v>4</v>
      </c>
      <c r="H12" s="140">
        <v>54</v>
      </c>
      <c r="I12" s="140">
        <v>58</v>
      </c>
      <c r="J12" s="140">
        <v>45970</v>
      </c>
      <c r="K12" s="140">
        <v>67226</v>
      </c>
      <c r="L12" s="140">
        <v>113196</v>
      </c>
    </row>
    <row r="13" spans="1:12" ht="18" customHeight="1" x14ac:dyDescent="0.3">
      <c r="A13" s="359">
        <v>9</v>
      </c>
      <c r="B13" s="769"/>
      <c r="C13" s="139" t="s">
        <v>522</v>
      </c>
      <c r="D13" s="140"/>
      <c r="E13" s="140"/>
      <c r="F13" s="140"/>
      <c r="G13" s="140"/>
      <c r="H13" s="140"/>
      <c r="I13" s="140"/>
      <c r="J13" s="140">
        <v>15</v>
      </c>
      <c r="K13" s="140">
        <v>8</v>
      </c>
      <c r="L13" s="140">
        <v>23</v>
      </c>
    </row>
    <row r="14" spans="1:12" ht="18" customHeight="1" x14ac:dyDescent="0.3">
      <c r="A14" s="359">
        <v>10</v>
      </c>
      <c r="B14" s="768" t="s">
        <v>523</v>
      </c>
      <c r="C14" s="769"/>
      <c r="D14" s="141">
        <v>3711</v>
      </c>
      <c r="E14" s="141">
        <v>4795</v>
      </c>
      <c r="F14" s="141">
        <v>8506</v>
      </c>
      <c r="G14" s="141">
        <v>4</v>
      </c>
      <c r="H14" s="141">
        <v>54</v>
      </c>
      <c r="I14" s="141">
        <v>58</v>
      </c>
      <c r="J14" s="141">
        <v>45985</v>
      </c>
      <c r="K14" s="141">
        <v>67234</v>
      </c>
      <c r="L14" s="141">
        <v>113219</v>
      </c>
    </row>
    <row r="15" spans="1:12" ht="18" customHeight="1" x14ac:dyDescent="0.3">
      <c r="A15" s="359">
        <v>11</v>
      </c>
      <c r="B15" s="768" t="s">
        <v>405</v>
      </c>
      <c r="C15" s="139" t="s">
        <v>404</v>
      </c>
      <c r="D15" s="140"/>
      <c r="E15" s="140"/>
      <c r="F15" s="140"/>
      <c r="G15" s="140"/>
      <c r="H15" s="140"/>
      <c r="I15" s="140"/>
      <c r="J15" s="140">
        <v>163</v>
      </c>
      <c r="K15" s="140">
        <v>341</v>
      </c>
      <c r="L15" s="140">
        <v>504</v>
      </c>
    </row>
    <row r="16" spans="1:12" ht="18" customHeight="1" x14ac:dyDescent="0.3">
      <c r="A16" s="359">
        <v>12</v>
      </c>
      <c r="B16" s="769"/>
      <c r="C16" s="139" t="s">
        <v>405</v>
      </c>
      <c r="D16" s="140"/>
      <c r="E16" s="140"/>
      <c r="F16" s="140"/>
      <c r="G16" s="140"/>
      <c r="H16" s="140"/>
      <c r="I16" s="140"/>
      <c r="J16" s="140">
        <v>45347</v>
      </c>
      <c r="K16" s="140">
        <v>78875</v>
      </c>
      <c r="L16" s="140">
        <v>124222</v>
      </c>
    </row>
    <row r="17" spans="1:12" ht="18" customHeight="1" x14ac:dyDescent="0.3">
      <c r="A17" s="359">
        <v>13</v>
      </c>
      <c r="B17" s="769"/>
      <c r="C17" s="139" t="s">
        <v>524</v>
      </c>
      <c r="D17" s="140"/>
      <c r="E17" s="140"/>
      <c r="F17" s="140"/>
      <c r="G17" s="140"/>
      <c r="H17" s="140"/>
      <c r="I17" s="140"/>
      <c r="J17" s="140">
        <v>1902</v>
      </c>
      <c r="K17" s="140">
        <v>2886</v>
      </c>
      <c r="L17" s="140">
        <v>4788</v>
      </c>
    </row>
    <row r="18" spans="1:12" ht="18" customHeight="1" x14ac:dyDescent="0.3">
      <c r="A18" s="359">
        <v>14</v>
      </c>
      <c r="B18" s="768" t="s">
        <v>525</v>
      </c>
      <c r="C18" s="769"/>
      <c r="D18" s="141"/>
      <c r="E18" s="141"/>
      <c r="F18" s="141"/>
      <c r="G18" s="141"/>
      <c r="H18" s="141"/>
      <c r="I18" s="141"/>
      <c r="J18" s="141">
        <v>47412</v>
      </c>
      <c r="K18" s="141">
        <v>82102</v>
      </c>
      <c r="L18" s="141">
        <v>129514</v>
      </c>
    </row>
    <row r="19" spans="1:12" ht="28" x14ac:dyDescent="0.3">
      <c r="A19" s="359">
        <v>15</v>
      </c>
      <c r="B19" s="138" t="s">
        <v>406</v>
      </c>
      <c r="C19" s="139" t="s">
        <v>406</v>
      </c>
      <c r="D19" s="140"/>
      <c r="E19" s="140"/>
      <c r="F19" s="140"/>
      <c r="G19" s="140"/>
      <c r="H19" s="140"/>
      <c r="I19" s="140"/>
      <c r="J19" s="140">
        <v>7</v>
      </c>
      <c r="K19" s="140">
        <v>17</v>
      </c>
      <c r="L19" s="140">
        <v>24</v>
      </c>
    </row>
    <row r="20" spans="1:12" ht="18" customHeight="1" x14ac:dyDescent="0.3">
      <c r="A20" s="359">
        <v>16</v>
      </c>
      <c r="B20" s="768" t="s">
        <v>526</v>
      </c>
      <c r="C20" s="769"/>
      <c r="D20" s="141"/>
      <c r="E20" s="141"/>
      <c r="F20" s="141"/>
      <c r="G20" s="141"/>
      <c r="H20" s="141"/>
      <c r="I20" s="141"/>
      <c r="J20" s="141">
        <v>7</v>
      </c>
      <c r="K20" s="141">
        <v>17</v>
      </c>
      <c r="L20" s="141">
        <v>24</v>
      </c>
    </row>
    <row r="21" spans="1:12" ht="18" customHeight="1" x14ac:dyDescent="0.3">
      <c r="A21" s="359">
        <v>17</v>
      </c>
      <c r="B21" s="768" t="s">
        <v>407</v>
      </c>
      <c r="C21" s="139" t="s">
        <v>527</v>
      </c>
      <c r="D21" s="140"/>
      <c r="E21" s="140"/>
      <c r="F21" s="140"/>
      <c r="G21" s="140"/>
      <c r="H21" s="140"/>
      <c r="I21" s="140"/>
      <c r="J21" s="140">
        <v>51</v>
      </c>
      <c r="K21" s="140">
        <v>95</v>
      </c>
      <c r="L21" s="140">
        <v>146</v>
      </c>
    </row>
    <row r="22" spans="1:12" ht="18" customHeight="1" x14ac:dyDescent="0.3">
      <c r="A22" s="359">
        <v>18</v>
      </c>
      <c r="B22" s="769"/>
      <c r="C22" s="139" t="s">
        <v>407</v>
      </c>
      <c r="D22" s="140">
        <v>5192</v>
      </c>
      <c r="E22" s="140">
        <v>7858</v>
      </c>
      <c r="F22" s="140">
        <v>13050</v>
      </c>
      <c r="G22" s="140">
        <v>49</v>
      </c>
      <c r="H22" s="140">
        <v>85</v>
      </c>
      <c r="I22" s="140">
        <v>134</v>
      </c>
      <c r="J22" s="140">
        <v>161524</v>
      </c>
      <c r="K22" s="140">
        <v>284317</v>
      </c>
      <c r="L22" s="140">
        <v>445841</v>
      </c>
    </row>
    <row r="23" spans="1:12" ht="18" customHeight="1" x14ac:dyDescent="0.3">
      <c r="A23" s="359">
        <v>19</v>
      </c>
      <c r="B23" s="769"/>
      <c r="C23" s="139" t="s">
        <v>528</v>
      </c>
      <c r="D23" s="140"/>
      <c r="E23" s="140"/>
      <c r="F23" s="140"/>
      <c r="G23" s="140"/>
      <c r="H23" s="140"/>
      <c r="I23" s="140"/>
      <c r="J23" s="140">
        <v>47</v>
      </c>
      <c r="K23" s="140">
        <v>114</v>
      </c>
      <c r="L23" s="140">
        <v>161</v>
      </c>
    </row>
    <row r="24" spans="1:12" ht="18" customHeight="1" x14ac:dyDescent="0.3">
      <c r="A24" s="359">
        <v>20</v>
      </c>
      <c r="B24" s="769"/>
      <c r="C24" s="139" t="s">
        <v>529</v>
      </c>
      <c r="D24" s="140">
        <v>15</v>
      </c>
      <c r="E24" s="140">
        <v>4</v>
      </c>
      <c r="F24" s="140">
        <v>19</v>
      </c>
      <c r="G24" s="140"/>
      <c r="H24" s="140"/>
      <c r="I24" s="140"/>
      <c r="J24" s="140"/>
      <c r="K24" s="140"/>
      <c r="L24" s="140"/>
    </row>
    <row r="25" spans="1:12" ht="18" customHeight="1" x14ac:dyDescent="0.3">
      <c r="A25" s="359">
        <v>21</v>
      </c>
      <c r="B25" s="769"/>
      <c r="C25" s="139" t="s">
        <v>530</v>
      </c>
      <c r="D25" s="140"/>
      <c r="E25" s="140"/>
      <c r="F25" s="140"/>
      <c r="G25" s="140"/>
      <c r="H25" s="140"/>
      <c r="I25" s="140"/>
      <c r="J25" s="140">
        <v>24</v>
      </c>
      <c r="K25" s="140">
        <v>20</v>
      </c>
      <c r="L25" s="140">
        <v>44</v>
      </c>
    </row>
    <row r="26" spans="1:12" ht="18" customHeight="1" x14ac:dyDescent="0.3">
      <c r="A26" s="359">
        <v>22</v>
      </c>
      <c r="B26" s="768" t="s">
        <v>531</v>
      </c>
      <c r="C26" s="769"/>
      <c r="D26" s="141">
        <v>5207</v>
      </c>
      <c r="E26" s="141">
        <v>7862</v>
      </c>
      <c r="F26" s="141">
        <v>13069</v>
      </c>
      <c r="G26" s="141">
        <v>49</v>
      </c>
      <c r="H26" s="141">
        <v>85</v>
      </c>
      <c r="I26" s="141">
        <v>134</v>
      </c>
      <c r="J26" s="141">
        <v>161646</v>
      </c>
      <c r="K26" s="141">
        <v>284546</v>
      </c>
      <c r="L26" s="141">
        <v>446192</v>
      </c>
    </row>
    <row r="27" spans="1:12" ht="27.75" customHeight="1" x14ac:dyDescent="0.3">
      <c r="A27" s="359">
        <v>23</v>
      </c>
      <c r="B27" s="138" t="s">
        <v>408</v>
      </c>
      <c r="C27" s="139" t="s">
        <v>532</v>
      </c>
      <c r="D27" s="140"/>
      <c r="E27" s="140"/>
      <c r="F27" s="140"/>
      <c r="G27" s="140"/>
      <c r="H27" s="140"/>
      <c r="I27" s="140"/>
      <c r="J27" s="140">
        <v>151</v>
      </c>
      <c r="K27" s="140">
        <v>198</v>
      </c>
      <c r="L27" s="140">
        <v>349</v>
      </c>
    </row>
    <row r="28" spans="1:12" ht="18" customHeight="1" x14ac:dyDescent="0.3">
      <c r="A28" s="359">
        <v>24</v>
      </c>
      <c r="B28" s="768" t="s">
        <v>533</v>
      </c>
      <c r="C28" s="769"/>
      <c r="D28" s="141"/>
      <c r="E28" s="141"/>
      <c r="F28" s="141"/>
      <c r="G28" s="141"/>
      <c r="H28" s="141"/>
      <c r="I28" s="141"/>
      <c r="J28" s="141">
        <v>151</v>
      </c>
      <c r="K28" s="141">
        <v>198</v>
      </c>
      <c r="L28" s="141">
        <v>349</v>
      </c>
    </row>
    <row r="29" spans="1:12" ht="28" x14ac:dyDescent="0.3">
      <c r="A29" s="359">
        <v>25</v>
      </c>
      <c r="B29" s="138" t="s">
        <v>409</v>
      </c>
      <c r="C29" s="139" t="s">
        <v>409</v>
      </c>
      <c r="D29" s="140">
        <v>35</v>
      </c>
      <c r="E29" s="140">
        <v>74</v>
      </c>
      <c r="F29" s="140">
        <v>109</v>
      </c>
      <c r="G29" s="140"/>
      <c r="H29" s="140">
        <v>9</v>
      </c>
      <c r="I29" s="140">
        <v>9</v>
      </c>
      <c r="J29" s="140">
        <v>823</v>
      </c>
      <c r="K29" s="140">
        <v>987</v>
      </c>
      <c r="L29" s="140">
        <v>1810</v>
      </c>
    </row>
    <row r="30" spans="1:12" ht="18" customHeight="1" x14ac:dyDescent="0.3">
      <c r="A30" s="359">
        <v>26</v>
      </c>
      <c r="B30" s="768" t="s">
        <v>534</v>
      </c>
      <c r="C30" s="769"/>
      <c r="D30" s="141">
        <v>35</v>
      </c>
      <c r="E30" s="141">
        <v>74</v>
      </c>
      <c r="F30" s="141">
        <v>109</v>
      </c>
      <c r="G30" s="141"/>
      <c r="H30" s="141">
        <v>9</v>
      </c>
      <c r="I30" s="141">
        <v>9</v>
      </c>
      <c r="J30" s="141">
        <v>823</v>
      </c>
      <c r="K30" s="141">
        <v>987</v>
      </c>
      <c r="L30" s="141">
        <v>1810</v>
      </c>
    </row>
    <row r="31" spans="1:12" ht="18" customHeight="1" x14ac:dyDescent="0.3">
      <c r="A31" s="359">
        <v>27</v>
      </c>
      <c r="B31" s="138" t="s">
        <v>411</v>
      </c>
      <c r="C31" s="139" t="s">
        <v>411</v>
      </c>
      <c r="D31" s="140">
        <v>307</v>
      </c>
      <c r="E31" s="140">
        <v>395</v>
      </c>
      <c r="F31" s="140">
        <v>702</v>
      </c>
      <c r="G31" s="140"/>
      <c r="H31" s="140"/>
      <c r="I31" s="140"/>
      <c r="J31" s="140">
        <v>3702</v>
      </c>
      <c r="K31" s="140">
        <v>7452</v>
      </c>
      <c r="L31" s="140">
        <v>11154</v>
      </c>
    </row>
    <row r="32" spans="1:12" ht="18" customHeight="1" x14ac:dyDescent="0.3">
      <c r="A32" s="359">
        <v>28</v>
      </c>
      <c r="B32" s="768" t="s">
        <v>535</v>
      </c>
      <c r="C32" s="769"/>
      <c r="D32" s="141">
        <v>307</v>
      </c>
      <c r="E32" s="141">
        <v>395</v>
      </c>
      <c r="F32" s="141">
        <v>702</v>
      </c>
      <c r="G32" s="141"/>
      <c r="H32" s="141"/>
      <c r="I32" s="141"/>
      <c r="J32" s="141">
        <v>3702</v>
      </c>
      <c r="K32" s="141">
        <v>7452</v>
      </c>
      <c r="L32" s="141">
        <v>11154</v>
      </c>
    </row>
    <row r="33" spans="1:12" ht="18" customHeight="1" x14ac:dyDescent="0.3">
      <c r="A33" s="359">
        <v>29</v>
      </c>
      <c r="B33" s="768" t="s">
        <v>536</v>
      </c>
      <c r="C33" s="139" t="s">
        <v>536</v>
      </c>
      <c r="D33" s="140"/>
      <c r="E33" s="140"/>
      <c r="F33" s="140"/>
      <c r="G33" s="140"/>
      <c r="H33" s="140"/>
      <c r="I33" s="140"/>
      <c r="J33" s="140">
        <v>327</v>
      </c>
      <c r="K33" s="140">
        <v>168</v>
      </c>
      <c r="L33" s="140">
        <v>495</v>
      </c>
    </row>
    <row r="34" spans="1:12" ht="18" customHeight="1" x14ac:dyDescent="0.3">
      <c r="A34" s="359">
        <v>30</v>
      </c>
      <c r="B34" s="769"/>
      <c r="C34" s="139" t="s">
        <v>537</v>
      </c>
      <c r="D34" s="140"/>
      <c r="E34" s="140"/>
      <c r="F34" s="140"/>
      <c r="G34" s="140"/>
      <c r="H34" s="140"/>
      <c r="I34" s="140"/>
      <c r="J34" s="140">
        <v>1821</v>
      </c>
      <c r="K34" s="140">
        <v>687</v>
      </c>
      <c r="L34" s="140">
        <v>2508</v>
      </c>
    </row>
    <row r="35" spans="1:12" ht="18" customHeight="1" x14ac:dyDescent="0.3">
      <c r="A35" s="359">
        <v>31</v>
      </c>
      <c r="B35" s="768" t="s">
        <v>538</v>
      </c>
      <c r="C35" s="769"/>
      <c r="D35" s="141"/>
      <c r="E35" s="141"/>
      <c r="F35" s="141"/>
      <c r="G35" s="141"/>
      <c r="H35" s="141"/>
      <c r="I35" s="141"/>
      <c r="J35" s="141">
        <v>2148</v>
      </c>
      <c r="K35" s="141">
        <v>855</v>
      </c>
      <c r="L35" s="141">
        <v>3003</v>
      </c>
    </row>
    <row r="36" spans="1:12" ht="18" customHeight="1" x14ac:dyDescent="0.3">
      <c r="A36" s="359">
        <v>32</v>
      </c>
      <c r="B36" s="768" t="s">
        <v>412</v>
      </c>
      <c r="C36" s="139" t="s">
        <v>412</v>
      </c>
      <c r="D36" s="140">
        <v>157</v>
      </c>
      <c r="E36" s="140">
        <v>52</v>
      </c>
      <c r="F36" s="140">
        <v>209</v>
      </c>
      <c r="G36" s="140"/>
      <c r="H36" s="140"/>
      <c r="I36" s="140"/>
      <c r="J36" s="140">
        <v>1686</v>
      </c>
      <c r="K36" s="140">
        <v>845</v>
      </c>
      <c r="L36" s="140">
        <v>2531</v>
      </c>
    </row>
    <row r="37" spans="1:12" ht="18" customHeight="1" x14ac:dyDescent="0.3">
      <c r="A37" s="359">
        <v>33</v>
      </c>
      <c r="B37" s="769"/>
      <c r="C37" s="139" t="s">
        <v>539</v>
      </c>
      <c r="D37" s="140"/>
      <c r="E37" s="140"/>
      <c r="F37" s="140"/>
      <c r="G37" s="140"/>
      <c r="H37" s="140"/>
      <c r="I37" s="140"/>
      <c r="J37" s="140">
        <v>4</v>
      </c>
      <c r="K37" s="140"/>
      <c r="L37" s="140">
        <v>4</v>
      </c>
    </row>
    <row r="38" spans="1:12" ht="18" customHeight="1" x14ac:dyDescent="0.3">
      <c r="A38" s="359">
        <v>34</v>
      </c>
      <c r="B38" s="768" t="s">
        <v>540</v>
      </c>
      <c r="C38" s="769"/>
      <c r="D38" s="141">
        <v>157</v>
      </c>
      <c r="E38" s="141">
        <v>52</v>
      </c>
      <c r="F38" s="141">
        <v>209</v>
      </c>
      <c r="G38" s="141"/>
      <c r="H38" s="141"/>
      <c r="I38" s="141"/>
      <c r="J38" s="141">
        <v>1690</v>
      </c>
      <c r="K38" s="141">
        <v>845</v>
      </c>
      <c r="L38" s="141">
        <v>2535</v>
      </c>
    </row>
    <row r="39" spans="1:12" ht="18" customHeight="1" x14ac:dyDescent="0.3">
      <c r="A39" s="359">
        <v>35</v>
      </c>
      <c r="B39" s="768" t="s">
        <v>63</v>
      </c>
      <c r="C39" s="139" t="s">
        <v>63</v>
      </c>
      <c r="D39" s="140">
        <v>340</v>
      </c>
      <c r="E39" s="140">
        <v>281</v>
      </c>
      <c r="F39" s="140">
        <v>621</v>
      </c>
      <c r="G39" s="140"/>
      <c r="H39" s="140"/>
      <c r="I39" s="140"/>
      <c r="J39" s="140">
        <v>1797</v>
      </c>
      <c r="K39" s="140">
        <v>2611</v>
      </c>
      <c r="L39" s="140">
        <v>4408</v>
      </c>
    </row>
    <row r="40" spans="1:12" ht="18" customHeight="1" x14ac:dyDescent="0.3">
      <c r="A40" s="359">
        <v>36</v>
      </c>
      <c r="B40" s="769"/>
      <c r="C40" s="139" t="s">
        <v>541</v>
      </c>
      <c r="D40" s="140">
        <v>2</v>
      </c>
      <c r="E40" s="140"/>
      <c r="F40" s="140">
        <v>2</v>
      </c>
      <c r="G40" s="140"/>
      <c r="H40" s="140"/>
      <c r="I40" s="140"/>
      <c r="J40" s="140">
        <v>186</v>
      </c>
      <c r="K40" s="140">
        <v>657</v>
      </c>
      <c r="L40" s="140">
        <v>843</v>
      </c>
    </row>
    <row r="41" spans="1:12" ht="18" customHeight="1" x14ac:dyDescent="0.3">
      <c r="A41" s="359">
        <v>37</v>
      </c>
      <c r="B41" s="768" t="s">
        <v>542</v>
      </c>
      <c r="C41" s="769"/>
      <c r="D41" s="141">
        <v>342</v>
      </c>
      <c r="E41" s="141">
        <v>281</v>
      </c>
      <c r="F41" s="141">
        <v>623</v>
      </c>
      <c r="G41" s="141"/>
      <c r="H41" s="141"/>
      <c r="I41" s="141"/>
      <c r="J41" s="141">
        <v>1983</v>
      </c>
      <c r="K41" s="141">
        <v>3268</v>
      </c>
      <c r="L41" s="141">
        <v>5251</v>
      </c>
    </row>
    <row r="42" spans="1:12" ht="18" customHeight="1" x14ac:dyDescent="0.3">
      <c r="A42" s="359">
        <v>38</v>
      </c>
      <c r="B42" s="138" t="s">
        <v>543</v>
      </c>
      <c r="C42" s="139" t="s">
        <v>543</v>
      </c>
      <c r="D42" s="140">
        <v>12</v>
      </c>
      <c r="E42" s="140">
        <v>32</v>
      </c>
      <c r="F42" s="140">
        <v>44</v>
      </c>
      <c r="G42" s="140">
        <v>6</v>
      </c>
      <c r="H42" s="140">
        <v>20</v>
      </c>
      <c r="I42" s="140">
        <v>26</v>
      </c>
      <c r="J42" s="140">
        <v>84</v>
      </c>
      <c r="K42" s="140">
        <v>143</v>
      </c>
      <c r="L42" s="140">
        <v>227</v>
      </c>
    </row>
    <row r="43" spans="1:12" ht="18" customHeight="1" x14ac:dyDescent="0.3">
      <c r="A43" s="359">
        <v>39</v>
      </c>
      <c r="B43" s="768" t="s">
        <v>544</v>
      </c>
      <c r="C43" s="769"/>
      <c r="D43" s="141">
        <v>12</v>
      </c>
      <c r="E43" s="141">
        <v>32</v>
      </c>
      <c r="F43" s="141">
        <v>44</v>
      </c>
      <c r="G43" s="141">
        <v>6</v>
      </c>
      <c r="H43" s="141">
        <v>20</v>
      </c>
      <c r="I43" s="141">
        <v>26</v>
      </c>
      <c r="J43" s="141">
        <v>84</v>
      </c>
      <c r="K43" s="141">
        <v>143</v>
      </c>
      <c r="L43" s="141">
        <v>227</v>
      </c>
    </row>
    <row r="44" spans="1:12" ht="18" customHeight="1" x14ac:dyDescent="0.3">
      <c r="A44" s="359">
        <v>40</v>
      </c>
      <c r="B44" s="138" t="s">
        <v>64</v>
      </c>
      <c r="C44" s="139" t="s">
        <v>64</v>
      </c>
      <c r="D44" s="140">
        <v>5000</v>
      </c>
      <c r="E44" s="140">
        <v>7550</v>
      </c>
      <c r="F44" s="140">
        <v>12550</v>
      </c>
      <c r="G44" s="140">
        <v>36</v>
      </c>
      <c r="H44" s="140">
        <v>62</v>
      </c>
      <c r="I44" s="140">
        <v>98</v>
      </c>
      <c r="J44" s="140">
        <v>82881</v>
      </c>
      <c r="K44" s="140">
        <v>157456</v>
      </c>
      <c r="L44" s="140">
        <v>240337</v>
      </c>
    </row>
    <row r="45" spans="1:12" ht="18" customHeight="1" x14ac:dyDescent="0.3">
      <c r="A45" s="359">
        <v>41</v>
      </c>
      <c r="B45" s="768" t="s">
        <v>545</v>
      </c>
      <c r="C45" s="769"/>
      <c r="D45" s="141">
        <v>5000</v>
      </c>
      <c r="E45" s="141">
        <v>7550</v>
      </c>
      <c r="F45" s="141">
        <v>12550</v>
      </c>
      <c r="G45" s="141">
        <v>36</v>
      </c>
      <c r="H45" s="141">
        <v>62</v>
      </c>
      <c r="I45" s="141">
        <v>98</v>
      </c>
      <c r="J45" s="141">
        <v>82881</v>
      </c>
      <c r="K45" s="141">
        <v>157456</v>
      </c>
      <c r="L45" s="141">
        <v>240337</v>
      </c>
    </row>
    <row r="46" spans="1:12" ht="18" customHeight="1" x14ac:dyDescent="0.3">
      <c r="A46" s="359">
        <v>42</v>
      </c>
      <c r="B46" s="768" t="s">
        <v>413</v>
      </c>
      <c r="C46" s="139" t="s">
        <v>414</v>
      </c>
      <c r="D46" s="140">
        <v>428</v>
      </c>
      <c r="E46" s="140">
        <v>77</v>
      </c>
      <c r="F46" s="140">
        <v>505</v>
      </c>
      <c r="G46" s="140"/>
      <c r="H46" s="140"/>
      <c r="I46" s="140"/>
      <c r="J46" s="140">
        <v>707</v>
      </c>
      <c r="K46" s="140">
        <v>187</v>
      </c>
      <c r="L46" s="140">
        <v>894</v>
      </c>
    </row>
    <row r="47" spans="1:12" s="129" customFormat="1" ht="18" customHeight="1" x14ac:dyDescent="0.3">
      <c r="A47" s="359">
        <v>43</v>
      </c>
      <c r="B47" s="769"/>
      <c r="C47" s="139" t="s">
        <v>415</v>
      </c>
      <c r="D47" s="140">
        <v>289</v>
      </c>
      <c r="E47" s="140">
        <v>174</v>
      </c>
      <c r="F47" s="140">
        <v>463</v>
      </c>
      <c r="G47" s="140"/>
      <c r="H47" s="140"/>
      <c r="I47" s="140"/>
      <c r="J47" s="140">
        <v>869</v>
      </c>
      <c r="K47" s="140">
        <v>511</v>
      </c>
      <c r="L47" s="140">
        <v>1380</v>
      </c>
    </row>
    <row r="48" spans="1:12" ht="18" customHeight="1" x14ac:dyDescent="0.3">
      <c r="A48" s="359">
        <v>44</v>
      </c>
      <c r="B48" s="769"/>
      <c r="C48" s="139" t="s">
        <v>417</v>
      </c>
      <c r="D48" s="140">
        <v>380</v>
      </c>
      <c r="E48" s="140">
        <v>491</v>
      </c>
      <c r="F48" s="140">
        <v>871</v>
      </c>
      <c r="G48" s="140"/>
      <c r="H48" s="140"/>
      <c r="I48" s="140"/>
      <c r="J48" s="140">
        <v>1230</v>
      </c>
      <c r="K48" s="140">
        <v>1583</v>
      </c>
      <c r="L48" s="140">
        <v>2813</v>
      </c>
    </row>
    <row r="49" spans="1:12" ht="18" customHeight="1" x14ac:dyDescent="0.3">
      <c r="A49" s="359">
        <v>45</v>
      </c>
      <c r="B49" s="769"/>
      <c r="C49" s="139" t="s">
        <v>418</v>
      </c>
      <c r="D49" s="140"/>
      <c r="E49" s="140"/>
      <c r="F49" s="140"/>
      <c r="G49" s="140"/>
      <c r="H49" s="140"/>
      <c r="I49" s="140"/>
      <c r="J49" s="140">
        <v>39</v>
      </c>
      <c r="K49" s="140">
        <v>16</v>
      </c>
      <c r="L49" s="140">
        <v>55</v>
      </c>
    </row>
    <row r="50" spans="1:12" ht="18" customHeight="1" x14ac:dyDescent="0.3">
      <c r="A50" s="359">
        <v>46</v>
      </c>
      <c r="B50" s="769"/>
      <c r="C50" s="139" t="s">
        <v>546</v>
      </c>
      <c r="D50" s="140"/>
      <c r="E50" s="140"/>
      <c r="F50" s="140"/>
      <c r="G50" s="140"/>
      <c r="H50" s="140"/>
      <c r="I50" s="140"/>
      <c r="J50" s="140">
        <v>1</v>
      </c>
      <c r="K50" s="140">
        <v>1</v>
      </c>
      <c r="L50" s="140">
        <v>2</v>
      </c>
    </row>
    <row r="51" spans="1:12" ht="18" customHeight="1" x14ac:dyDescent="0.3">
      <c r="A51" s="359">
        <v>47</v>
      </c>
      <c r="B51" s="769"/>
      <c r="C51" s="139" t="s">
        <v>424</v>
      </c>
      <c r="D51" s="140">
        <v>1194</v>
      </c>
      <c r="E51" s="140">
        <v>767</v>
      </c>
      <c r="F51" s="140">
        <v>1961</v>
      </c>
      <c r="G51" s="140"/>
      <c r="H51" s="140"/>
      <c r="I51" s="140"/>
      <c r="J51" s="140">
        <v>1827</v>
      </c>
      <c r="K51" s="140">
        <v>721</v>
      </c>
      <c r="L51" s="140">
        <v>2548</v>
      </c>
    </row>
    <row r="52" spans="1:12" ht="18" customHeight="1" x14ac:dyDescent="0.3">
      <c r="A52" s="359">
        <v>48</v>
      </c>
      <c r="B52" s="769"/>
      <c r="C52" s="139" t="s">
        <v>426</v>
      </c>
      <c r="D52" s="140">
        <v>4831</v>
      </c>
      <c r="E52" s="140">
        <v>2025</v>
      </c>
      <c r="F52" s="140">
        <v>6856</v>
      </c>
      <c r="G52" s="140"/>
      <c r="H52" s="140"/>
      <c r="I52" s="140"/>
      <c r="J52" s="140">
        <v>21770</v>
      </c>
      <c r="K52" s="140">
        <v>7615</v>
      </c>
      <c r="L52" s="140">
        <v>29385</v>
      </c>
    </row>
    <row r="53" spans="1:12" ht="18" customHeight="1" x14ac:dyDescent="0.3">
      <c r="A53" s="359">
        <v>49</v>
      </c>
      <c r="B53" s="769"/>
      <c r="C53" s="139" t="s">
        <v>427</v>
      </c>
      <c r="D53" s="140">
        <v>6205</v>
      </c>
      <c r="E53" s="140">
        <v>5743</v>
      </c>
      <c r="F53" s="140">
        <v>11948</v>
      </c>
      <c r="G53" s="140"/>
      <c r="H53" s="140"/>
      <c r="I53" s="140"/>
      <c r="J53" s="140">
        <v>17674</v>
      </c>
      <c r="K53" s="140">
        <v>12883</v>
      </c>
      <c r="L53" s="140">
        <v>30557</v>
      </c>
    </row>
    <row r="54" spans="1:12" s="129" customFormat="1" ht="18" customHeight="1" x14ac:dyDescent="0.3">
      <c r="A54" s="359">
        <v>50</v>
      </c>
      <c r="B54" s="769"/>
      <c r="C54" s="139" t="s">
        <v>429</v>
      </c>
      <c r="D54" s="140">
        <v>3</v>
      </c>
      <c r="E54" s="140">
        <v>17</v>
      </c>
      <c r="F54" s="140">
        <v>20</v>
      </c>
      <c r="G54" s="140"/>
      <c r="H54" s="140"/>
      <c r="I54" s="140"/>
      <c r="J54" s="140">
        <v>91</v>
      </c>
      <c r="K54" s="140">
        <v>72</v>
      </c>
      <c r="L54" s="140">
        <v>163</v>
      </c>
    </row>
    <row r="55" spans="1:12" s="129" customFormat="1" ht="18" customHeight="1" x14ac:dyDescent="0.3">
      <c r="A55" s="359">
        <v>51</v>
      </c>
      <c r="B55" s="769"/>
      <c r="C55" s="139" t="s">
        <v>433</v>
      </c>
      <c r="D55" s="140">
        <v>4235</v>
      </c>
      <c r="E55" s="140">
        <v>1925</v>
      </c>
      <c r="F55" s="140">
        <v>6160</v>
      </c>
      <c r="G55" s="140"/>
      <c r="H55" s="140"/>
      <c r="I55" s="140"/>
      <c r="J55" s="140">
        <v>8969</v>
      </c>
      <c r="K55" s="140">
        <v>3762</v>
      </c>
      <c r="L55" s="140">
        <v>12731</v>
      </c>
    </row>
    <row r="56" spans="1:12" ht="28" x14ac:dyDescent="0.3">
      <c r="A56" s="359">
        <v>52</v>
      </c>
      <c r="B56" s="769"/>
      <c r="C56" s="139" t="s">
        <v>547</v>
      </c>
      <c r="D56" s="140">
        <v>26</v>
      </c>
      <c r="E56" s="140">
        <v>17</v>
      </c>
      <c r="F56" s="140">
        <v>43</v>
      </c>
      <c r="G56" s="140"/>
      <c r="H56" s="140"/>
      <c r="I56" s="140"/>
      <c r="J56" s="140"/>
      <c r="K56" s="140"/>
      <c r="L56" s="140"/>
    </row>
    <row r="57" spans="1:12" ht="15.75" customHeight="1" x14ac:dyDescent="0.3">
      <c r="A57" s="359">
        <v>53</v>
      </c>
      <c r="B57" s="769"/>
      <c r="C57" s="139" t="s">
        <v>435</v>
      </c>
      <c r="D57" s="140">
        <v>4174</v>
      </c>
      <c r="E57" s="140">
        <v>3541</v>
      </c>
      <c r="F57" s="140">
        <v>7715</v>
      </c>
      <c r="G57" s="140"/>
      <c r="H57" s="140"/>
      <c r="I57" s="140"/>
      <c r="J57" s="140">
        <v>8840</v>
      </c>
      <c r="K57" s="140">
        <v>6421</v>
      </c>
      <c r="L57" s="140">
        <v>15261</v>
      </c>
    </row>
    <row r="58" spans="1:12" ht="18" customHeight="1" x14ac:dyDescent="0.3">
      <c r="A58" s="359">
        <v>54</v>
      </c>
      <c r="B58" s="769"/>
      <c r="C58" s="139" t="s">
        <v>413</v>
      </c>
      <c r="D58" s="140"/>
      <c r="E58" s="140"/>
      <c r="F58" s="140"/>
      <c r="G58" s="140"/>
      <c r="H58" s="140"/>
      <c r="I58" s="140"/>
      <c r="J58" s="140">
        <v>63</v>
      </c>
      <c r="K58" s="140">
        <v>54</v>
      </c>
      <c r="L58" s="140">
        <v>117</v>
      </c>
    </row>
    <row r="59" spans="1:12" ht="18" customHeight="1" x14ac:dyDescent="0.3">
      <c r="A59" s="359">
        <v>55</v>
      </c>
      <c r="B59" s="769"/>
      <c r="C59" s="139" t="s">
        <v>438</v>
      </c>
      <c r="D59" s="140">
        <v>143</v>
      </c>
      <c r="E59" s="140">
        <v>256</v>
      </c>
      <c r="F59" s="140">
        <v>399</v>
      </c>
      <c r="G59" s="140"/>
      <c r="H59" s="140"/>
      <c r="I59" s="140"/>
      <c r="J59" s="140">
        <v>661</v>
      </c>
      <c r="K59" s="140">
        <v>804</v>
      </c>
      <c r="L59" s="140">
        <v>1465</v>
      </c>
    </row>
    <row r="60" spans="1:12" ht="18" customHeight="1" x14ac:dyDescent="0.3">
      <c r="A60" s="359">
        <v>56</v>
      </c>
      <c r="B60" s="769"/>
      <c r="C60" s="139" t="s">
        <v>439</v>
      </c>
      <c r="D60" s="140">
        <v>472</v>
      </c>
      <c r="E60" s="140">
        <v>431</v>
      </c>
      <c r="F60" s="140">
        <v>903</v>
      </c>
      <c r="G60" s="140"/>
      <c r="H60" s="140"/>
      <c r="I60" s="140"/>
      <c r="J60" s="140">
        <v>1233</v>
      </c>
      <c r="K60" s="140">
        <v>650</v>
      </c>
      <c r="L60" s="140">
        <v>1883</v>
      </c>
    </row>
    <row r="61" spans="1:12" ht="18" customHeight="1" x14ac:dyDescent="0.3">
      <c r="A61" s="359">
        <v>57</v>
      </c>
      <c r="B61" s="769"/>
      <c r="C61" s="139" t="s">
        <v>440</v>
      </c>
      <c r="D61" s="140">
        <v>15</v>
      </c>
      <c r="E61" s="140">
        <v>16</v>
      </c>
      <c r="F61" s="140">
        <v>31</v>
      </c>
      <c r="G61" s="140"/>
      <c r="H61" s="140"/>
      <c r="I61" s="140"/>
      <c r="J61" s="140">
        <v>113</v>
      </c>
      <c r="K61" s="140">
        <v>16</v>
      </c>
      <c r="L61" s="140">
        <v>129</v>
      </c>
    </row>
    <row r="62" spans="1:12" ht="18" customHeight="1" x14ac:dyDescent="0.3">
      <c r="A62" s="359">
        <v>58</v>
      </c>
      <c r="B62" s="769"/>
      <c r="C62" s="139" t="s">
        <v>442</v>
      </c>
      <c r="D62" s="140">
        <v>7878</v>
      </c>
      <c r="E62" s="140">
        <v>955</v>
      </c>
      <c r="F62" s="140">
        <v>8833</v>
      </c>
      <c r="G62" s="140"/>
      <c r="H62" s="140"/>
      <c r="I62" s="140"/>
      <c r="J62" s="140">
        <v>14653</v>
      </c>
      <c r="K62" s="140">
        <v>1813</v>
      </c>
      <c r="L62" s="140">
        <v>16466</v>
      </c>
    </row>
    <row r="63" spans="1:12" ht="18" customHeight="1" x14ac:dyDescent="0.3">
      <c r="A63" s="359">
        <v>59</v>
      </c>
      <c r="B63" s="769"/>
      <c r="C63" s="139" t="s">
        <v>443</v>
      </c>
      <c r="D63" s="140"/>
      <c r="E63" s="140"/>
      <c r="F63" s="140"/>
      <c r="G63" s="140"/>
      <c r="H63" s="140"/>
      <c r="I63" s="140"/>
      <c r="J63" s="140">
        <v>2</v>
      </c>
      <c r="K63" s="140"/>
      <c r="L63" s="140">
        <v>2</v>
      </c>
    </row>
    <row r="64" spans="1:12" ht="18" customHeight="1" x14ac:dyDescent="0.3">
      <c r="A64" s="359">
        <v>60</v>
      </c>
      <c r="B64" s="769"/>
      <c r="C64" s="139" t="s">
        <v>445</v>
      </c>
      <c r="D64" s="140">
        <v>1048</v>
      </c>
      <c r="E64" s="140">
        <v>263</v>
      </c>
      <c r="F64" s="140">
        <v>1311</v>
      </c>
      <c r="G64" s="140"/>
      <c r="H64" s="140"/>
      <c r="I64" s="140"/>
      <c r="J64" s="140">
        <v>814</v>
      </c>
      <c r="K64" s="140">
        <v>122</v>
      </c>
      <c r="L64" s="140">
        <v>936</v>
      </c>
    </row>
    <row r="65" spans="1:12" ht="18" customHeight="1" x14ac:dyDescent="0.3">
      <c r="A65" s="359">
        <v>61</v>
      </c>
      <c r="B65" s="769"/>
      <c r="C65" s="139" t="s">
        <v>446</v>
      </c>
      <c r="D65" s="140">
        <v>328</v>
      </c>
      <c r="E65" s="140">
        <v>33</v>
      </c>
      <c r="F65" s="140">
        <v>361</v>
      </c>
      <c r="G65" s="140"/>
      <c r="H65" s="140"/>
      <c r="I65" s="140"/>
      <c r="J65" s="140">
        <v>437</v>
      </c>
      <c r="K65" s="140">
        <v>60</v>
      </c>
      <c r="L65" s="140">
        <v>497</v>
      </c>
    </row>
    <row r="66" spans="1:12" ht="28" x14ac:dyDescent="0.3">
      <c r="A66" s="359">
        <v>62</v>
      </c>
      <c r="B66" s="769"/>
      <c r="C66" s="139" t="s">
        <v>448</v>
      </c>
      <c r="D66" s="140">
        <v>12688</v>
      </c>
      <c r="E66" s="140">
        <v>9256</v>
      </c>
      <c r="F66" s="140">
        <v>21944</v>
      </c>
      <c r="G66" s="140"/>
      <c r="H66" s="140"/>
      <c r="I66" s="140"/>
      <c r="J66" s="140">
        <v>14737</v>
      </c>
      <c r="K66" s="140">
        <v>6560</v>
      </c>
      <c r="L66" s="140">
        <v>21297</v>
      </c>
    </row>
    <row r="67" spans="1:12" ht="18" customHeight="1" x14ac:dyDescent="0.3">
      <c r="A67" s="359">
        <v>63</v>
      </c>
      <c r="B67" s="769"/>
      <c r="C67" s="139" t="s">
        <v>451</v>
      </c>
      <c r="D67" s="140">
        <v>64</v>
      </c>
      <c r="E67" s="140">
        <v>44</v>
      </c>
      <c r="F67" s="140">
        <v>108</v>
      </c>
      <c r="G67" s="140"/>
      <c r="H67" s="140"/>
      <c r="I67" s="140"/>
      <c r="J67" s="140">
        <v>1032</v>
      </c>
      <c r="K67" s="140">
        <v>979</v>
      </c>
      <c r="L67" s="140">
        <v>2011</v>
      </c>
    </row>
    <row r="68" spans="1:12" ht="18" customHeight="1" x14ac:dyDescent="0.3">
      <c r="A68" s="359">
        <v>64</v>
      </c>
      <c r="B68" s="769"/>
      <c r="C68" s="139" t="s">
        <v>548</v>
      </c>
      <c r="D68" s="140">
        <v>1</v>
      </c>
      <c r="E68" s="140">
        <v>1</v>
      </c>
      <c r="F68" s="140">
        <v>2</v>
      </c>
      <c r="G68" s="140"/>
      <c r="H68" s="140"/>
      <c r="I68" s="140"/>
      <c r="J68" s="140">
        <v>1</v>
      </c>
      <c r="K68" s="140"/>
      <c r="L68" s="140">
        <v>1</v>
      </c>
    </row>
    <row r="69" spans="1:12" ht="18" customHeight="1" x14ac:dyDescent="0.3">
      <c r="A69" s="359">
        <v>65</v>
      </c>
      <c r="B69" s="769"/>
      <c r="C69" s="139" t="s">
        <v>549</v>
      </c>
      <c r="D69" s="140">
        <v>9</v>
      </c>
      <c r="E69" s="140">
        <v>8</v>
      </c>
      <c r="F69" s="140">
        <v>17</v>
      </c>
      <c r="G69" s="140"/>
      <c r="H69" s="140"/>
      <c r="I69" s="140"/>
      <c r="J69" s="140">
        <v>73</v>
      </c>
      <c r="K69" s="140">
        <v>46</v>
      </c>
      <c r="L69" s="140">
        <v>119</v>
      </c>
    </row>
    <row r="70" spans="1:12" ht="18" customHeight="1" x14ac:dyDescent="0.3">
      <c r="A70" s="359">
        <v>66</v>
      </c>
      <c r="B70" s="768" t="s">
        <v>454</v>
      </c>
      <c r="C70" s="769"/>
      <c r="D70" s="141">
        <v>44411</v>
      </c>
      <c r="E70" s="141">
        <v>26040</v>
      </c>
      <c r="F70" s="141">
        <v>70451</v>
      </c>
      <c r="G70" s="141"/>
      <c r="H70" s="141"/>
      <c r="I70" s="141"/>
      <c r="J70" s="141">
        <v>95836</v>
      </c>
      <c r="K70" s="141">
        <v>44876</v>
      </c>
      <c r="L70" s="141">
        <v>140712</v>
      </c>
    </row>
    <row r="71" spans="1:12" x14ac:dyDescent="0.3">
      <c r="A71" s="359">
        <v>67</v>
      </c>
      <c r="B71" s="768" t="s">
        <v>455</v>
      </c>
      <c r="C71" s="139" t="s">
        <v>424</v>
      </c>
      <c r="D71" s="140">
        <v>107</v>
      </c>
      <c r="E71" s="140">
        <v>90</v>
      </c>
      <c r="F71" s="140">
        <v>197</v>
      </c>
      <c r="G71" s="140"/>
      <c r="H71" s="140"/>
      <c r="I71" s="140"/>
      <c r="J71" s="140"/>
      <c r="K71" s="140"/>
      <c r="L71" s="140"/>
    </row>
    <row r="72" spans="1:12" ht="28" x14ac:dyDescent="0.3">
      <c r="A72" s="359">
        <v>68</v>
      </c>
      <c r="B72" s="769"/>
      <c r="C72" s="139" t="s">
        <v>425</v>
      </c>
      <c r="D72" s="140">
        <v>41</v>
      </c>
      <c r="E72" s="140">
        <v>24</v>
      </c>
      <c r="F72" s="140">
        <v>65</v>
      </c>
      <c r="G72" s="140"/>
      <c r="H72" s="140"/>
      <c r="I72" s="140"/>
      <c r="J72" s="140"/>
      <c r="K72" s="140"/>
      <c r="L72" s="140"/>
    </row>
    <row r="73" spans="1:12" ht="24" customHeight="1" x14ac:dyDescent="0.3">
      <c r="A73" s="359">
        <v>69</v>
      </c>
      <c r="B73" s="769"/>
      <c r="C73" s="139" t="s">
        <v>550</v>
      </c>
      <c r="D73" s="140">
        <v>92</v>
      </c>
      <c r="E73" s="140">
        <v>61</v>
      </c>
      <c r="F73" s="140">
        <v>153</v>
      </c>
      <c r="G73" s="140"/>
      <c r="H73" s="140"/>
      <c r="I73" s="140"/>
      <c r="J73" s="140"/>
      <c r="K73" s="140"/>
      <c r="L73" s="140"/>
    </row>
    <row r="74" spans="1:12" ht="28" x14ac:dyDescent="0.3">
      <c r="A74" s="359">
        <v>70</v>
      </c>
      <c r="B74" s="769"/>
      <c r="C74" s="139" t="s">
        <v>431</v>
      </c>
      <c r="D74" s="140">
        <v>8</v>
      </c>
      <c r="E74" s="140">
        <v>5</v>
      </c>
      <c r="F74" s="140">
        <v>13</v>
      </c>
      <c r="G74" s="140"/>
      <c r="H74" s="140"/>
      <c r="I74" s="140"/>
      <c r="J74" s="140"/>
      <c r="K74" s="140"/>
      <c r="L74" s="140"/>
    </row>
    <row r="75" spans="1:12" ht="28" x14ac:dyDescent="0.3">
      <c r="A75" s="359">
        <v>71</v>
      </c>
      <c r="B75" s="769"/>
      <c r="C75" s="139" t="s">
        <v>432</v>
      </c>
      <c r="D75" s="140">
        <v>76</v>
      </c>
      <c r="E75" s="140">
        <v>27</v>
      </c>
      <c r="F75" s="140">
        <v>103</v>
      </c>
      <c r="G75" s="140"/>
      <c r="H75" s="140"/>
      <c r="I75" s="140"/>
      <c r="J75" s="140"/>
      <c r="K75" s="140"/>
      <c r="L75" s="140"/>
    </row>
    <row r="76" spans="1:12" ht="28" x14ac:dyDescent="0.3">
      <c r="A76" s="359">
        <v>72</v>
      </c>
      <c r="B76" s="769"/>
      <c r="C76" s="139" t="s">
        <v>547</v>
      </c>
      <c r="D76" s="140">
        <v>33</v>
      </c>
      <c r="E76" s="140">
        <v>37</v>
      </c>
      <c r="F76" s="140">
        <v>70</v>
      </c>
      <c r="G76" s="140"/>
      <c r="H76" s="140"/>
      <c r="I76" s="140"/>
      <c r="J76" s="140"/>
      <c r="K76" s="140"/>
      <c r="L76" s="140"/>
    </row>
    <row r="77" spans="1:12" ht="28" x14ac:dyDescent="0.3">
      <c r="A77" s="359">
        <v>73</v>
      </c>
      <c r="B77" s="769"/>
      <c r="C77" s="139" t="s">
        <v>441</v>
      </c>
      <c r="D77" s="140">
        <v>71</v>
      </c>
      <c r="E77" s="140">
        <v>16</v>
      </c>
      <c r="F77" s="140">
        <v>87</v>
      </c>
      <c r="G77" s="140"/>
      <c r="H77" s="140"/>
      <c r="I77" s="140"/>
      <c r="J77" s="140"/>
      <c r="K77" s="140"/>
      <c r="L77" s="140"/>
    </row>
    <row r="78" spans="1:12" ht="18" customHeight="1" x14ac:dyDescent="0.3">
      <c r="A78" s="359">
        <v>74</v>
      </c>
      <c r="B78" s="768" t="s">
        <v>551</v>
      </c>
      <c r="C78" s="769"/>
      <c r="D78" s="141">
        <v>428</v>
      </c>
      <c r="E78" s="141">
        <v>260</v>
      </c>
      <c r="F78" s="141">
        <v>688</v>
      </c>
      <c r="G78" s="141"/>
      <c r="H78" s="141"/>
      <c r="I78" s="141"/>
      <c r="J78" s="141"/>
      <c r="K78" s="141"/>
      <c r="L78" s="141"/>
    </row>
    <row r="79" spans="1:12" ht="18" customHeight="1" x14ac:dyDescent="0.3">
      <c r="A79" s="359">
        <v>75</v>
      </c>
      <c r="B79" s="138" t="s">
        <v>457</v>
      </c>
      <c r="C79" s="139" t="s">
        <v>457</v>
      </c>
      <c r="D79" s="140">
        <v>18</v>
      </c>
      <c r="E79" s="140">
        <v>88</v>
      </c>
      <c r="F79" s="140">
        <v>106</v>
      </c>
      <c r="G79" s="140">
        <v>1</v>
      </c>
      <c r="H79" s="140">
        <v>2</v>
      </c>
      <c r="I79" s="140">
        <v>3</v>
      </c>
      <c r="J79" s="140">
        <v>313</v>
      </c>
      <c r="K79" s="140">
        <v>1967</v>
      </c>
      <c r="L79" s="140">
        <v>2280</v>
      </c>
    </row>
    <row r="80" spans="1:12" ht="18" customHeight="1" x14ac:dyDescent="0.3">
      <c r="A80" s="359">
        <v>76</v>
      </c>
      <c r="B80" s="768" t="s">
        <v>552</v>
      </c>
      <c r="C80" s="769"/>
      <c r="D80" s="141">
        <v>18</v>
      </c>
      <c r="E80" s="141">
        <v>88</v>
      </c>
      <c r="F80" s="141">
        <v>106</v>
      </c>
      <c r="G80" s="141">
        <v>1</v>
      </c>
      <c r="H80" s="141">
        <v>2</v>
      </c>
      <c r="I80" s="141">
        <v>3</v>
      </c>
      <c r="J80" s="141">
        <v>313</v>
      </c>
      <c r="K80" s="141">
        <v>1967</v>
      </c>
      <c r="L80" s="141">
        <v>2280</v>
      </c>
    </row>
    <row r="81" spans="1:12" ht="18" customHeight="1" x14ac:dyDescent="0.3">
      <c r="A81" s="359">
        <v>77</v>
      </c>
      <c r="B81" s="768" t="s">
        <v>65</v>
      </c>
      <c r="C81" s="139" t="s">
        <v>65</v>
      </c>
      <c r="D81" s="140">
        <v>302</v>
      </c>
      <c r="E81" s="140">
        <v>349</v>
      </c>
      <c r="F81" s="140">
        <v>651</v>
      </c>
      <c r="G81" s="140">
        <v>4</v>
      </c>
      <c r="H81" s="140">
        <v>30</v>
      </c>
      <c r="I81" s="140">
        <v>34</v>
      </c>
      <c r="J81" s="140">
        <v>1622</v>
      </c>
      <c r="K81" s="140">
        <v>2286</v>
      </c>
      <c r="L81" s="140">
        <v>3908</v>
      </c>
    </row>
    <row r="82" spans="1:12" ht="18" customHeight="1" x14ac:dyDescent="0.3">
      <c r="A82" s="359">
        <v>78</v>
      </c>
      <c r="B82" s="769"/>
      <c r="C82" s="139" t="s">
        <v>553</v>
      </c>
      <c r="D82" s="140">
        <v>175</v>
      </c>
      <c r="E82" s="140">
        <v>228</v>
      </c>
      <c r="F82" s="140">
        <v>403</v>
      </c>
      <c r="G82" s="140"/>
      <c r="H82" s="140"/>
      <c r="I82" s="140"/>
      <c r="J82" s="140">
        <v>859</v>
      </c>
      <c r="K82" s="140">
        <v>1139</v>
      </c>
      <c r="L82" s="140">
        <v>1998</v>
      </c>
    </row>
    <row r="83" spans="1:12" ht="18" customHeight="1" x14ac:dyDescent="0.3">
      <c r="A83" s="359">
        <v>79</v>
      </c>
      <c r="B83" s="769"/>
      <c r="C83" s="139" t="s">
        <v>505</v>
      </c>
      <c r="D83" s="140">
        <v>232</v>
      </c>
      <c r="E83" s="140">
        <v>334</v>
      </c>
      <c r="F83" s="140">
        <v>566</v>
      </c>
      <c r="G83" s="140"/>
      <c r="H83" s="140"/>
      <c r="I83" s="140"/>
      <c r="J83" s="140">
        <v>2224</v>
      </c>
      <c r="K83" s="140">
        <v>2440</v>
      </c>
      <c r="L83" s="140">
        <v>4664</v>
      </c>
    </row>
    <row r="84" spans="1:12" ht="18" customHeight="1" x14ac:dyDescent="0.3">
      <c r="A84" s="359">
        <v>80</v>
      </c>
      <c r="B84" s="769"/>
      <c r="C84" s="139" t="s">
        <v>554</v>
      </c>
      <c r="D84" s="140">
        <v>106</v>
      </c>
      <c r="E84" s="140">
        <v>124</v>
      </c>
      <c r="F84" s="140">
        <v>230</v>
      </c>
      <c r="G84" s="140"/>
      <c r="H84" s="140"/>
      <c r="I84" s="140"/>
      <c r="J84" s="140">
        <v>890</v>
      </c>
      <c r="K84" s="140">
        <v>710</v>
      </c>
      <c r="L84" s="140">
        <v>1600</v>
      </c>
    </row>
    <row r="85" spans="1:12" ht="18" customHeight="1" x14ac:dyDescent="0.3">
      <c r="A85" s="359">
        <v>81</v>
      </c>
      <c r="B85" s="768" t="s">
        <v>555</v>
      </c>
      <c r="C85" s="769"/>
      <c r="D85" s="141">
        <v>815</v>
      </c>
      <c r="E85" s="141">
        <v>1035</v>
      </c>
      <c r="F85" s="141">
        <v>1850</v>
      </c>
      <c r="G85" s="141">
        <v>4</v>
      </c>
      <c r="H85" s="141">
        <v>30</v>
      </c>
      <c r="I85" s="141">
        <v>34</v>
      </c>
      <c r="J85" s="141">
        <v>5595</v>
      </c>
      <c r="K85" s="141">
        <v>6575</v>
      </c>
      <c r="L85" s="141">
        <v>12170</v>
      </c>
    </row>
    <row r="86" spans="1:12" ht="18" customHeight="1" x14ac:dyDescent="0.3">
      <c r="A86" s="359">
        <v>82</v>
      </c>
      <c r="B86" s="138" t="s">
        <v>458</v>
      </c>
      <c r="C86" s="139" t="s">
        <v>458</v>
      </c>
      <c r="D86" s="140">
        <v>201</v>
      </c>
      <c r="E86" s="140">
        <v>240</v>
      </c>
      <c r="F86" s="140">
        <v>441</v>
      </c>
      <c r="G86" s="140"/>
      <c r="H86" s="140"/>
      <c r="I86" s="140"/>
      <c r="J86" s="140">
        <v>1281</v>
      </c>
      <c r="K86" s="140">
        <v>984</v>
      </c>
      <c r="L86" s="140">
        <v>2265</v>
      </c>
    </row>
    <row r="87" spans="1:12" ht="18" customHeight="1" x14ac:dyDescent="0.3">
      <c r="A87" s="359">
        <v>83</v>
      </c>
      <c r="B87" s="768" t="s">
        <v>556</v>
      </c>
      <c r="C87" s="769"/>
      <c r="D87" s="141">
        <v>201</v>
      </c>
      <c r="E87" s="141">
        <v>240</v>
      </c>
      <c r="F87" s="141">
        <v>441</v>
      </c>
      <c r="G87" s="141"/>
      <c r="H87" s="141"/>
      <c r="I87" s="141"/>
      <c r="J87" s="141">
        <v>1281</v>
      </c>
      <c r="K87" s="141">
        <v>984</v>
      </c>
      <c r="L87" s="141">
        <v>2265</v>
      </c>
    </row>
    <row r="88" spans="1:12" x14ac:dyDescent="0.3">
      <c r="A88" s="359">
        <v>84</v>
      </c>
      <c r="B88" s="768" t="s">
        <v>460</v>
      </c>
      <c r="C88" s="139" t="s">
        <v>557</v>
      </c>
      <c r="D88" s="140"/>
      <c r="E88" s="140"/>
      <c r="F88" s="140"/>
      <c r="G88" s="140"/>
      <c r="H88" s="140"/>
      <c r="I88" s="140"/>
      <c r="J88" s="140">
        <v>17</v>
      </c>
      <c r="K88" s="140">
        <v>11</v>
      </c>
      <c r="L88" s="140">
        <v>28</v>
      </c>
    </row>
    <row r="89" spans="1:12" x14ac:dyDescent="0.3">
      <c r="A89" s="359">
        <v>85</v>
      </c>
      <c r="B89" s="769"/>
      <c r="C89" s="139" t="s">
        <v>558</v>
      </c>
      <c r="D89" s="140"/>
      <c r="E89" s="140"/>
      <c r="F89" s="140"/>
      <c r="G89" s="140"/>
      <c r="H89" s="140"/>
      <c r="I89" s="140"/>
      <c r="J89" s="140">
        <v>98</v>
      </c>
      <c r="K89" s="140">
        <v>118</v>
      </c>
      <c r="L89" s="140">
        <v>216</v>
      </c>
    </row>
    <row r="90" spans="1:12" ht="18" customHeight="1" x14ac:dyDescent="0.3">
      <c r="A90" s="359">
        <v>86</v>
      </c>
      <c r="B90" s="768" t="s">
        <v>559</v>
      </c>
      <c r="C90" s="769"/>
      <c r="D90" s="141"/>
      <c r="E90" s="141"/>
      <c r="F90" s="141"/>
      <c r="G90" s="141"/>
      <c r="H90" s="141"/>
      <c r="I90" s="141"/>
      <c r="J90" s="141">
        <v>115</v>
      </c>
      <c r="K90" s="141">
        <v>129</v>
      </c>
      <c r="L90" s="141">
        <v>244</v>
      </c>
    </row>
    <row r="91" spans="1:12" ht="18" customHeight="1" x14ac:dyDescent="0.3">
      <c r="A91" s="359">
        <v>87</v>
      </c>
      <c r="B91" s="768" t="s">
        <v>462</v>
      </c>
      <c r="C91" s="139" t="s">
        <v>560</v>
      </c>
      <c r="D91" s="140">
        <v>2945</v>
      </c>
      <c r="E91" s="140">
        <v>6074</v>
      </c>
      <c r="F91" s="140">
        <v>9019</v>
      </c>
      <c r="G91" s="140">
        <v>27</v>
      </c>
      <c r="H91" s="140">
        <v>66</v>
      </c>
      <c r="I91" s="140">
        <v>93</v>
      </c>
      <c r="J91" s="140">
        <v>83831</v>
      </c>
      <c r="K91" s="140">
        <v>173544</v>
      </c>
      <c r="L91" s="140">
        <v>257375</v>
      </c>
    </row>
    <row r="92" spans="1:12" ht="18" customHeight="1" x14ac:dyDescent="0.3">
      <c r="A92" s="359">
        <v>88</v>
      </c>
      <c r="B92" s="769"/>
      <c r="C92" s="139" t="s">
        <v>561</v>
      </c>
      <c r="D92" s="140">
        <v>18</v>
      </c>
      <c r="E92" s="140">
        <v>39</v>
      </c>
      <c r="F92" s="140">
        <v>57</v>
      </c>
      <c r="G92" s="140"/>
      <c r="H92" s="140"/>
      <c r="I92" s="140"/>
      <c r="J92" s="140">
        <v>231</v>
      </c>
      <c r="K92" s="140">
        <v>569</v>
      </c>
      <c r="L92" s="140">
        <v>800</v>
      </c>
    </row>
    <row r="93" spans="1:12" ht="18" customHeight="1" x14ac:dyDescent="0.3">
      <c r="A93" s="359">
        <v>89</v>
      </c>
      <c r="B93" s="769"/>
      <c r="C93" s="139" t="s">
        <v>562</v>
      </c>
      <c r="D93" s="140">
        <v>12</v>
      </c>
      <c r="E93" s="140">
        <v>21</v>
      </c>
      <c r="F93" s="140">
        <v>33</v>
      </c>
      <c r="G93" s="140"/>
      <c r="H93" s="140"/>
      <c r="I93" s="140"/>
      <c r="J93" s="140">
        <v>68</v>
      </c>
      <c r="K93" s="140">
        <v>90</v>
      </c>
      <c r="L93" s="140">
        <v>158</v>
      </c>
    </row>
    <row r="94" spans="1:12" ht="18" customHeight="1" x14ac:dyDescent="0.3">
      <c r="A94" s="359">
        <v>90</v>
      </c>
      <c r="B94" s="769"/>
      <c r="C94" s="139" t="s">
        <v>563</v>
      </c>
      <c r="D94" s="140">
        <v>438</v>
      </c>
      <c r="E94" s="140">
        <v>233</v>
      </c>
      <c r="F94" s="140">
        <v>671</v>
      </c>
      <c r="G94" s="140">
        <v>5</v>
      </c>
      <c r="H94" s="140"/>
      <c r="I94" s="140">
        <v>5</v>
      </c>
      <c r="J94" s="140">
        <v>4436</v>
      </c>
      <c r="K94" s="140">
        <v>3195</v>
      </c>
      <c r="L94" s="140">
        <v>7631</v>
      </c>
    </row>
    <row r="95" spans="1:12" ht="18" customHeight="1" x14ac:dyDescent="0.3">
      <c r="A95" s="359">
        <v>91</v>
      </c>
      <c r="B95" s="769"/>
      <c r="C95" s="139" t="s">
        <v>564</v>
      </c>
      <c r="D95" s="140">
        <v>8</v>
      </c>
      <c r="E95" s="140">
        <v>9</v>
      </c>
      <c r="F95" s="140">
        <v>17</v>
      </c>
      <c r="G95" s="140"/>
      <c r="H95" s="140"/>
      <c r="I95" s="140"/>
      <c r="J95" s="140">
        <v>35</v>
      </c>
      <c r="K95" s="140">
        <v>40</v>
      </c>
      <c r="L95" s="140">
        <v>75</v>
      </c>
    </row>
    <row r="96" spans="1:12" ht="18" customHeight="1" x14ac:dyDescent="0.3">
      <c r="A96" s="359">
        <v>92</v>
      </c>
      <c r="B96" s="768" t="s">
        <v>565</v>
      </c>
      <c r="C96" s="769"/>
      <c r="D96" s="141">
        <v>3421</v>
      </c>
      <c r="E96" s="141">
        <v>6376</v>
      </c>
      <c r="F96" s="141">
        <v>9797</v>
      </c>
      <c r="G96" s="141">
        <v>32</v>
      </c>
      <c r="H96" s="141">
        <v>66</v>
      </c>
      <c r="I96" s="141">
        <v>98</v>
      </c>
      <c r="J96" s="141">
        <v>88601</v>
      </c>
      <c r="K96" s="141">
        <v>177438</v>
      </c>
      <c r="L96" s="141">
        <v>266039</v>
      </c>
    </row>
    <row r="97" spans="1:12" ht="18" customHeight="1" x14ac:dyDescent="0.3">
      <c r="A97" s="359">
        <v>93</v>
      </c>
      <c r="B97" s="768" t="s">
        <v>566</v>
      </c>
      <c r="C97" s="139" t="s">
        <v>567</v>
      </c>
      <c r="D97" s="140"/>
      <c r="E97" s="140"/>
      <c r="F97" s="140"/>
      <c r="G97" s="140"/>
      <c r="H97" s="140"/>
      <c r="I97" s="140"/>
      <c r="J97" s="140">
        <v>27</v>
      </c>
      <c r="K97" s="140">
        <v>80</v>
      </c>
      <c r="L97" s="140">
        <v>107</v>
      </c>
    </row>
    <row r="98" spans="1:12" ht="18" customHeight="1" x14ac:dyDescent="0.3">
      <c r="A98" s="359">
        <v>94</v>
      </c>
      <c r="B98" s="769"/>
      <c r="C98" s="139" t="s">
        <v>566</v>
      </c>
      <c r="D98" s="140"/>
      <c r="E98" s="140"/>
      <c r="F98" s="140"/>
      <c r="G98" s="140"/>
      <c r="H98" s="140"/>
      <c r="I98" s="140"/>
      <c r="J98" s="140">
        <v>318</v>
      </c>
      <c r="K98" s="140">
        <v>635</v>
      </c>
      <c r="L98" s="140">
        <v>953</v>
      </c>
    </row>
    <row r="99" spans="1:12" ht="18" customHeight="1" x14ac:dyDescent="0.3">
      <c r="A99" s="359">
        <v>95</v>
      </c>
      <c r="B99" s="768" t="s">
        <v>568</v>
      </c>
      <c r="C99" s="769"/>
      <c r="D99" s="141"/>
      <c r="E99" s="141"/>
      <c r="F99" s="141"/>
      <c r="G99" s="141"/>
      <c r="H99" s="141"/>
      <c r="I99" s="141"/>
      <c r="J99" s="141">
        <v>345</v>
      </c>
      <c r="K99" s="141">
        <v>715</v>
      </c>
      <c r="L99" s="141">
        <v>1060</v>
      </c>
    </row>
    <row r="100" spans="1:12" ht="18" customHeight="1" x14ac:dyDescent="0.3">
      <c r="A100" s="359">
        <v>96</v>
      </c>
      <c r="B100" s="768" t="s">
        <v>464</v>
      </c>
      <c r="C100" s="139" t="s">
        <v>464</v>
      </c>
      <c r="D100" s="140">
        <v>72</v>
      </c>
      <c r="E100" s="140">
        <v>38</v>
      </c>
      <c r="F100" s="140">
        <v>110</v>
      </c>
      <c r="G100" s="140"/>
      <c r="H100" s="140"/>
      <c r="I100" s="140"/>
      <c r="J100" s="140">
        <v>1025</v>
      </c>
      <c r="K100" s="140">
        <v>1049</v>
      </c>
      <c r="L100" s="140">
        <v>2074</v>
      </c>
    </row>
    <row r="101" spans="1:12" ht="18" customHeight="1" x14ac:dyDescent="0.3">
      <c r="A101" s="359">
        <v>97</v>
      </c>
      <c r="B101" s="769"/>
      <c r="C101" s="139" t="s">
        <v>524</v>
      </c>
      <c r="D101" s="140"/>
      <c r="E101" s="140"/>
      <c r="F101" s="140"/>
      <c r="G101" s="140"/>
      <c r="H101" s="140"/>
      <c r="I101" s="140"/>
      <c r="J101" s="140">
        <v>2</v>
      </c>
      <c r="K101" s="140">
        <v>3</v>
      </c>
      <c r="L101" s="140">
        <v>5</v>
      </c>
    </row>
    <row r="102" spans="1:12" ht="18" customHeight="1" x14ac:dyDescent="0.3">
      <c r="A102" s="359">
        <v>98</v>
      </c>
      <c r="B102" s="768" t="s">
        <v>569</v>
      </c>
      <c r="C102" s="769"/>
      <c r="D102" s="141">
        <v>72</v>
      </c>
      <c r="E102" s="141">
        <v>38</v>
      </c>
      <c r="F102" s="141">
        <v>110</v>
      </c>
      <c r="G102" s="141"/>
      <c r="H102" s="141"/>
      <c r="I102" s="141"/>
      <c r="J102" s="141">
        <v>1027</v>
      </c>
      <c r="K102" s="141">
        <v>1052</v>
      </c>
      <c r="L102" s="141">
        <v>2079</v>
      </c>
    </row>
    <row r="103" spans="1:12" ht="18" customHeight="1" x14ac:dyDescent="0.3">
      <c r="A103" s="359">
        <v>99</v>
      </c>
      <c r="B103" s="768" t="s">
        <v>466</v>
      </c>
      <c r="C103" s="139" t="s">
        <v>570</v>
      </c>
      <c r="D103" s="140"/>
      <c r="E103" s="140"/>
      <c r="F103" s="140"/>
      <c r="G103" s="140"/>
      <c r="H103" s="140"/>
      <c r="I103" s="140"/>
      <c r="J103" s="140">
        <v>202</v>
      </c>
      <c r="K103" s="140">
        <v>286</v>
      </c>
      <c r="L103" s="140">
        <v>488</v>
      </c>
    </row>
    <row r="104" spans="1:12" ht="18" customHeight="1" x14ac:dyDescent="0.3">
      <c r="A104" s="359">
        <v>100</v>
      </c>
      <c r="B104" s="769"/>
      <c r="C104" s="139" t="s">
        <v>438</v>
      </c>
      <c r="D104" s="140">
        <v>26</v>
      </c>
      <c r="E104" s="140">
        <v>43</v>
      </c>
      <c r="F104" s="140">
        <v>69</v>
      </c>
      <c r="G104" s="140"/>
      <c r="H104" s="140"/>
      <c r="I104" s="140"/>
      <c r="J104" s="140">
        <v>328</v>
      </c>
      <c r="K104" s="140">
        <v>895</v>
      </c>
      <c r="L104" s="140">
        <v>1223</v>
      </c>
    </row>
    <row r="105" spans="1:12" ht="18" customHeight="1" x14ac:dyDescent="0.3">
      <c r="A105" s="359">
        <v>101</v>
      </c>
      <c r="B105" s="769"/>
      <c r="C105" s="139" t="s">
        <v>466</v>
      </c>
      <c r="D105" s="140">
        <v>140</v>
      </c>
      <c r="E105" s="140">
        <v>1339</v>
      </c>
      <c r="F105" s="140">
        <v>1479</v>
      </c>
      <c r="G105" s="140">
        <v>7</v>
      </c>
      <c r="H105" s="140">
        <v>18</v>
      </c>
      <c r="I105" s="140">
        <v>25</v>
      </c>
      <c r="J105" s="140">
        <v>565</v>
      </c>
      <c r="K105" s="140">
        <v>11976</v>
      </c>
      <c r="L105" s="140">
        <v>12541</v>
      </c>
    </row>
    <row r="106" spans="1:12" ht="18" customHeight="1" x14ac:dyDescent="0.3">
      <c r="A106" s="359">
        <v>102</v>
      </c>
      <c r="B106" s="769"/>
      <c r="C106" s="139" t="s">
        <v>571</v>
      </c>
      <c r="D106" s="140">
        <v>10</v>
      </c>
      <c r="E106" s="140">
        <v>139</v>
      </c>
      <c r="F106" s="140">
        <v>149</v>
      </c>
      <c r="G106" s="140">
        <v>1</v>
      </c>
      <c r="H106" s="140"/>
      <c r="I106" s="140">
        <v>1</v>
      </c>
      <c r="J106" s="140">
        <v>482</v>
      </c>
      <c r="K106" s="140">
        <v>4245</v>
      </c>
      <c r="L106" s="140">
        <v>4727</v>
      </c>
    </row>
    <row r="107" spans="1:12" ht="18" customHeight="1" x14ac:dyDescent="0.3">
      <c r="A107" s="359">
        <v>103</v>
      </c>
      <c r="B107" s="768" t="s">
        <v>572</v>
      </c>
      <c r="C107" s="769"/>
      <c r="D107" s="141">
        <v>176</v>
      </c>
      <c r="E107" s="141">
        <v>1521</v>
      </c>
      <c r="F107" s="141">
        <v>1697</v>
      </c>
      <c r="G107" s="141">
        <v>8</v>
      </c>
      <c r="H107" s="141">
        <v>18</v>
      </c>
      <c r="I107" s="141">
        <v>26</v>
      </c>
      <c r="J107" s="141">
        <v>1577</v>
      </c>
      <c r="K107" s="141">
        <v>17402</v>
      </c>
      <c r="L107" s="141">
        <v>18979</v>
      </c>
    </row>
    <row r="108" spans="1:12" ht="30" customHeight="1" x14ac:dyDescent="0.3">
      <c r="A108" s="359">
        <v>104</v>
      </c>
      <c r="B108" s="768" t="s">
        <v>467</v>
      </c>
      <c r="C108" s="139" t="s">
        <v>573</v>
      </c>
      <c r="D108" s="140"/>
      <c r="E108" s="140"/>
      <c r="F108" s="140"/>
      <c r="G108" s="140"/>
      <c r="H108" s="140"/>
      <c r="I108" s="140"/>
      <c r="J108" s="140">
        <v>3</v>
      </c>
      <c r="K108" s="140">
        <v>7</v>
      </c>
      <c r="L108" s="140">
        <v>10</v>
      </c>
    </row>
    <row r="109" spans="1:12" ht="18" customHeight="1" x14ac:dyDescent="0.3">
      <c r="A109" s="359">
        <v>105</v>
      </c>
      <c r="B109" s="769"/>
      <c r="C109" s="139" t="s">
        <v>574</v>
      </c>
      <c r="D109" s="140"/>
      <c r="E109" s="140"/>
      <c r="F109" s="140"/>
      <c r="G109" s="140"/>
      <c r="H109" s="140"/>
      <c r="I109" s="140"/>
      <c r="J109" s="140">
        <v>315</v>
      </c>
      <c r="K109" s="140">
        <v>212</v>
      </c>
      <c r="L109" s="140">
        <v>527</v>
      </c>
    </row>
    <row r="110" spans="1:12" ht="18" customHeight="1" x14ac:dyDescent="0.3">
      <c r="A110" s="359">
        <v>106</v>
      </c>
      <c r="B110" s="768" t="s">
        <v>575</v>
      </c>
      <c r="C110" s="769"/>
      <c r="D110" s="141"/>
      <c r="E110" s="141"/>
      <c r="F110" s="141"/>
      <c r="G110" s="141"/>
      <c r="H110" s="141"/>
      <c r="I110" s="141"/>
      <c r="J110" s="141">
        <v>318</v>
      </c>
      <c r="K110" s="141">
        <v>219</v>
      </c>
      <c r="L110" s="141">
        <v>537</v>
      </c>
    </row>
    <row r="111" spans="1:12" ht="18" customHeight="1" x14ac:dyDescent="0.3">
      <c r="A111" s="359">
        <v>107</v>
      </c>
      <c r="B111" s="768" t="s">
        <v>67</v>
      </c>
      <c r="C111" s="139" t="s">
        <v>576</v>
      </c>
      <c r="D111" s="140">
        <v>416</v>
      </c>
      <c r="E111" s="140">
        <v>383</v>
      </c>
      <c r="F111" s="140">
        <v>799</v>
      </c>
      <c r="G111" s="140">
        <v>13</v>
      </c>
      <c r="H111" s="140">
        <v>10</v>
      </c>
      <c r="I111" s="140">
        <v>23</v>
      </c>
      <c r="J111" s="140">
        <v>10515</v>
      </c>
      <c r="K111" s="140">
        <v>31921</v>
      </c>
      <c r="L111" s="140">
        <v>42436</v>
      </c>
    </row>
    <row r="112" spans="1:12" ht="18" customHeight="1" x14ac:dyDescent="0.3">
      <c r="A112" s="359">
        <v>108</v>
      </c>
      <c r="B112" s="769"/>
      <c r="C112" s="139" t="s">
        <v>577</v>
      </c>
      <c r="D112" s="140">
        <v>3074</v>
      </c>
      <c r="E112" s="140">
        <v>3413</v>
      </c>
      <c r="F112" s="140">
        <v>6487</v>
      </c>
      <c r="G112" s="140">
        <v>3</v>
      </c>
      <c r="H112" s="140"/>
      <c r="I112" s="140">
        <v>3</v>
      </c>
      <c r="J112" s="140">
        <v>76172</v>
      </c>
      <c r="K112" s="140">
        <v>144133</v>
      </c>
      <c r="L112" s="140">
        <v>220305</v>
      </c>
    </row>
    <row r="113" spans="1:12" ht="18" customHeight="1" x14ac:dyDescent="0.3">
      <c r="A113" s="359">
        <v>109</v>
      </c>
      <c r="B113" s="769"/>
      <c r="C113" s="139" t="s">
        <v>578</v>
      </c>
      <c r="D113" s="140">
        <v>220</v>
      </c>
      <c r="E113" s="140">
        <v>155</v>
      </c>
      <c r="F113" s="140">
        <v>375</v>
      </c>
      <c r="G113" s="140"/>
      <c r="H113" s="140">
        <v>1</v>
      </c>
      <c r="I113" s="140">
        <v>1</v>
      </c>
      <c r="J113" s="140">
        <v>2359</v>
      </c>
      <c r="K113" s="140">
        <v>4631</v>
      </c>
      <c r="L113" s="140">
        <v>6990</v>
      </c>
    </row>
    <row r="114" spans="1:12" ht="18" customHeight="1" x14ac:dyDescent="0.3">
      <c r="A114" s="359">
        <v>110</v>
      </c>
      <c r="B114" s="769"/>
      <c r="C114" s="139" t="s">
        <v>579</v>
      </c>
      <c r="D114" s="140">
        <v>141</v>
      </c>
      <c r="E114" s="140">
        <v>433</v>
      </c>
      <c r="F114" s="140">
        <v>574</v>
      </c>
      <c r="G114" s="140"/>
      <c r="H114" s="140"/>
      <c r="I114" s="140"/>
      <c r="J114" s="140">
        <v>1922</v>
      </c>
      <c r="K114" s="140">
        <v>4827</v>
      </c>
      <c r="L114" s="140">
        <v>6749</v>
      </c>
    </row>
    <row r="115" spans="1:12" ht="18" customHeight="1" x14ac:dyDescent="0.3">
      <c r="A115" s="359">
        <v>111</v>
      </c>
      <c r="B115" s="769"/>
      <c r="C115" s="139" t="s">
        <v>580</v>
      </c>
      <c r="D115" s="140">
        <v>137</v>
      </c>
      <c r="E115" s="140">
        <v>117</v>
      </c>
      <c r="F115" s="140">
        <v>254</v>
      </c>
      <c r="G115" s="140">
        <v>3</v>
      </c>
      <c r="H115" s="140">
        <v>5</v>
      </c>
      <c r="I115" s="140">
        <v>8</v>
      </c>
      <c r="J115" s="140">
        <v>2442</v>
      </c>
      <c r="K115" s="140">
        <v>6425</v>
      </c>
      <c r="L115" s="140">
        <v>8867</v>
      </c>
    </row>
    <row r="116" spans="1:12" ht="18" customHeight="1" x14ac:dyDescent="0.3">
      <c r="A116" s="359">
        <v>112</v>
      </c>
      <c r="B116" s="769"/>
      <c r="C116" s="139" t="s">
        <v>581</v>
      </c>
      <c r="D116" s="140">
        <v>1344</v>
      </c>
      <c r="E116" s="140">
        <v>1470</v>
      </c>
      <c r="F116" s="140">
        <v>2814</v>
      </c>
      <c r="G116" s="140">
        <v>2</v>
      </c>
      <c r="H116" s="140"/>
      <c r="I116" s="140">
        <v>2</v>
      </c>
      <c r="J116" s="140">
        <v>28476</v>
      </c>
      <c r="K116" s="140">
        <v>50053</v>
      </c>
      <c r="L116" s="140">
        <v>78529</v>
      </c>
    </row>
    <row r="117" spans="1:12" ht="18" customHeight="1" x14ac:dyDescent="0.3">
      <c r="A117" s="359">
        <v>113</v>
      </c>
      <c r="B117" s="769"/>
      <c r="C117" s="139" t="s">
        <v>582</v>
      </c>
      <c r="D117" s="140">
        <v>349</v>
      </c>
      <c r="E117" s="140">
        <v>361</v>
      </c>
      <c r="F117" s="140">
        <v>710</v>
      </c>
      <c r="G117" s="140"/>
      <c r="H117" s="140"/>
      <c r="I117" s="140"/>
      <c r="J117" s="140">
        <v>1989</v>
      </c>
      <c r="K117" s="140">
        <v>4816</v>
      </c>
      <c r="L117" s="140">
        <v>6805</v>
      </c>
    </row>
    <row r="118" spans="1:12" ht="18" customHeight="1" x14ac:dyDescent="0.3">
      <c r="A118" s="359">
        <v>114</v>
      </c>
      <c r="B118" s="769"/>
      <c r="C118" s="139" t="s">
        <v>583</v>
      </c>
      <c r="D118" s="140">
        <v>1252</v>
      </c>
      <c r="E118" s="140">
        <v>983</v>
      </c>
      <c r="F118" s="140">
        <v>2235</v>
      </c>
      <c r="G118" s="140">
        <v>6</v>
      </c>
      <c r="H118" s="140">
        <v>3</v>
      </c>
      <c r="I118" s="140">
        <v>9</v>
      </c>
      <c r="J118" s="140">
        <v>11975</v>
      </c>
      <c r="K118" s="140">
        <v>22627</v>
      </c>
      <c r="L118" s="140">
        <v>34602</v>
      </c>
    </row>
    <row r="119" spans="1:12" ht="18" customHeight="1" x14ac:dyDescent="0.3">
      <c r="A119" s="359">
        <v>115</v>
      </c>
      <c r="B119" s="769"/>
      <c r="C119" s="139" t="s">
        <v>584</v>
      </c>
      <c r="D119" s="140">
        <v>559</v>
      </c>
      <c r="E119" s="140">
        <v>1144</v>
      </c>
      <c r="F119" s="140">
        <v>1703</v>
      </c>
      <c r="G119" s="140">
        <v>19</v>
      </c>
      <c r="H119" s="140">
        <v>30</v>
      </c>
      <c r="I119" s="140">
        <v>49</v>
      </c>
      <c r="J119" s="140">
        <v>3036</v>
      </c>
      <c r="K119" s="140">
        <v>8138</v>
      </c>
      <c r="L119" s="140">
        <v>11174</v>
      </c>
    </row>
    <row r="120" spans="1:12" ht="18" customHeight="1" x14ac:dyDescent="0.3">
      <c r="A120" s="359">
        <v>116</v>
      </c>
      <c r="B120" s="769"/>
      <c r="C120" s="139" t="s">
        <v>585</v>
      </c>
      <c r="D120" s="140">
        <v>297</v>
      </c>
      <c r="E120" s="140">
        <v>136</v>
      </c>
      <c r="F120" s="140">
        <v>433</v>
      </c>
      <c r="G120" s="140"/>
      <c r="H120" s="140">
        <v>1</v>
      </c>
      <c r="I120" s="140">
        <v>1</v>
      </c>
      <c r="J120" s="140">
        <v>4041</v>
      </c>
      <c r="K120" s="140">
        <v>8998</v>
      </c>
      <c r="L120" s="140">
        <v>13039</v>
      </c>
    </row>
    <row r="121" spans="1:12" ht="18" customHeight="1" x14ac:dyDescent="0.3">
      <c r="A121" s="359">
        <v>117</v>
      </c>
      <c r="B121" s="769"/>
      <c r="C121" s="139" t="s">
        <v>586</v>
      </c>
      <c r="D121" s="140">
        <v>672</v>
      </c>
      <c r="E121" s="140">
        <v>339</v>
      </c>
      <c r="F121" s="140">
        <v>1011</v>
      </c>
      <c r="G121" s="140"/>
      <c r="H121" s="140">
        <v>1</v>
      </c>
      <c r="I121" s="140">
        <v>1</v>
      </c>
      <c r="J121" s="140">
        <v>7187</v>
      </c>
      <c r="K121" s="140">
        <v>13229</v>
      </c>
      <c r="L121" s="140">
        <v>20416</v>
      </c>
    </row>
    <row r="122" spans="1:12" ht="18" customHeight="1" x14ac:dyDescent="0.3">
      <c r="A122" s="359">
        <v>118</v>
      </c>
      <c r="B122" s="769"/>
      <c r="C122" s="139" t="s">
        <v>524</v>
      </c>
      <c r="D122" s="140"/>
      <c r="E122" s="140"/>
      <c r="F122" s="140"/>
      <c r="G122" s="140"/>
      <c r="H122" s="140"/>
      <c r="I122" s="140"/>
      <c r="J122" s="140">
        <v>26</v>
      </c>
      <c r="K122" s="140">
        <v>15</v>
      </c>
      <c r="L122" s="140">
        <v>41</v>
      </c>
    </row>
    <row r="123" spans="1:12" ht="18" customHeight="1" x14ac:dyDescent="0.3">
      <c r="A123" s="359">
        <v>119</v>
      </c>
      <c r="B123" s="768" t="s">
        <v>587</v>
      </c>
      <c r="C123" s="769"/>
      <c r="D123" s="141">
        <v>8461</v>
      </c>
      <c r="E123" s="141">
        <v>8934</v>
      </c>
      <c r="F123" s="141">
        <v>17395</v>
      </c>
      <c r="G123" s="141">
        <v>46</v>
      </c>
      <c r="H123" s="141">
        <v>51</v>
      </c>
      <c r="I123" s="141">
        <v>97</v>
      </c>
      <c r="J123" s="141">
        <v>150140</v>
      </c>
      <c r="K123" s="141">
        <v>299813</v>
      </c>
      <c r="L123" s="141">
        <v>449953</v>
      </c>
    </row>
    <row r="124" spans="1:12" ht="18" customHeight="1" x14ac:dyDescent="0.3">
      <c r="A124" s="359">
        <v>120</v>
      </c>
      <c r="B124" s="138" t="s">
        <v>439</v>
      </c>
      <c r="C124" s="139" t="s">
        <v>439</v>
      </c>
      <c r="D124" s="140"/>
      <c r="E124" s="140"/>
      <c r="F124" s="140"/>
      <c r="G124" s="140"/>
      <c r="H124" s="140"/>
      <c r="I124" s="140"/>
      <c r="J124" s="140">
        <v>11</v>
      </c>
      <c r="K124" s="140">
        <v>16</v>
      </c>
      <c r="L124" s="140">
        <v>27</v>
      </c>
    </row>
    <row r="125" spans="1:12" ht="18" customHeight="1" x14ac:dyDescent="0.3">
      <c r="A125" s="359">
        <v>121</v>
      </c>
      <c r="B125" s="768" t="s">
        <v>588</v>
      </c>
      <c r="C125" s="769"/>
      <c r="D125" s="141"/>
      <c r="E125" s="141"/>
      <c r="F125" s="141"/>
      <c r="G125" s="141"/>
      <c r="H125" s="141"/>
      <c r="I125" s="141"/>
      <c r="J125" s="141">
        <v>11</v>
      </c>
      <c r="K125" s="141">
        <v>16</v>
      </c>
      <c r="L125" s="141">
        <v>27</v>
      </c>
    </row>
    <row r="126" spans="1:12" ht="18" customHeight="1" x14ac:dyDescent="0.3">
      <c r="A126" s="359">
        <v>122</v>
      </c>
      <c r="B126" s="768" t="s">
        <v>468</v>
      </c>
      <c r="C126" s="139" t="s">
        <v>589</v>
      </c>
      <c r="D126" s="140">
        <v>1</v>
      </c>
      <c r="E126" s="140">
        <v>2</v>
      </c>
      <c r="F126" s="140">
        <v>3</v>
      </c>
      <c r="G126" s="140"/>
      <c r="H126" s="140"/>
      <c r="I126" s="140"/>
      <c r="J126" s="140">
        <v>67</v>
      </c>
      <c r="K126" s="140">
        <v>36</v>
      </c>
      <c r="L126" s="140">
        <v>103</v>
      </c>
    </row>
    <row r="127" spans="1:12" ht="18" customHeight="1" x14ac:dyDescent="0.3">
      <c r="A127" s="359">
        <v>123</v>
      </c>
      <c r="B127" s="769"/>
      <c r="C127" s="139" t="s">
        <v>590</v>
      </c>
      <c r="D127" s="140">
        <v>954</v>
      </c>
      <c r="E127" s="140">
        <v>950</v>
      </c>
      <c r="F127" s="140">
        <v>1904</v>
      </c>
      <c r="G127" s="140">
        <v>1</v>
      </c>
      <c r="H127" s="140"/>
      <c r="I127" s="140">
        <v>1</v>
      </c>
      <c r="J127" s="140">
        <v>145289</v>
      </c>
      <c r="K127" s="140">
        <v>93735</v>
      </c>
      <c r="L127" s="140">
        <v>239024</v>
      </c>
    </row>
    <row r="128" spans="1:12" ht="28" x14ac:dyDescent="0.3">
      <c r="A128" s="359">
        <v>124</v>
      </c>
      <c r="B128" s="769"/>
      <c r="C128" s="139" t="s">
        <v>591</v>
      </c>
      <c r="D128" s="140"/>
      <c r="E128" s="140"/>
      <c r="F128" s="140"/>
      <c r="G128" s="140"/>
      <c r="H128" s="140"/>
      <c r="I128" s="140"/>
      <c r="J128" s="140">
        <v>72</v>
      </c>
      <c r="K128" s="140">
        <v>46</v>
      </c>
      <c r="L128" s="140">
        <v>118</v>
      </c>
    </row>
    <row r="129" spans="1:12" ht="18" customHeight="1" x14ac:dyDescent="0.3">
      <c r="A129" s="359">
        <v>125</v>
      </c>
      <c r="B129" s="769"/>
      <c r="C129" s="139" t="s">
        <v>592</v>
      </c>
      <c r="D129" s="140">
        <v>2256</v>
      </c>
      <c r="E129" s="140">
        <v>3006</v>
      </c>
      <c r="F129" s="140">
        <v>5262</v>
      </c>
      <c r="G129" s="140">
        <v>46</v>
      </c>
      <c r="H129" s="140">
        <v>64</v>
      </c>
      <c r="I129" s="140">
        <v>110</v>
      </c>
      <c r="J129" s="140">
        <v>19550</v>
      </c>
      <c r="K129" s="140">
        <v>24024</v>
      </c>
      <c r="L129" s="140">
        <v>43574</v>
      </c>
    </row>
    <row r="130" spans="1:12" ht="18" customHeight="1" x14ac:dyDescent="0.3">
      <c r="A130" s="359">
        <v>126</v>
      </c>
      <c r="B130" s="769"/>
      <c r="C130" s="139" t="s">
        <v>593</v>
      </c>
      <c r="D130" s="140"/>
      <c r="E130" s="140"/>
      <c r="F130" s="140"/>
      <c r="G130" s="140"/>
      <c r="H130" s="140"/>
      <c r="I130" s="140"/>
      <c r="J130" s="140">
        <v>39</v>
      </c>
      <c r="K130" s="140">
        <v>23</v>
      </c>
      <c r="L130" s="140">
        <v>62</v>
      </c>
    </row>
    <row r="131" spans="1:12" ht="18" customHeight="1" x14ac:dyDescent="0.3">
      <c r="A131" s="359">
        <v>127</v>
      </c>
      <c r="B131" s="769"/>
      <c r="C131" s="139" t="s">
        <v>439</v>
      </c>
      <c r="D131" s="140">
        <v>181</v>
      </c>
      <c r="E131" s="140">
        <v>128</v>
      </c>
      <c r="F131" s="140">
        <v>309</v>
      </c>
      <c r="G131" s="140">
        <v>1</v>
      </c>
      <c r="H131" s="140">
        <v>1</v>
      </c>
      <c r="I131" s="140">
        <v>2</v>
      </c>
      <c r="J131" s="140">
        <v>8487</v>
      </c>
      <c r="K131" s="140">
        <v>6156</v>
      </c>
      <c r="L131" s="140">
        <v>14643</v>
      </c>
    </row>
    <row r="132" spans="1:12" ht="18" customHeight="1" x14ac:dyDescent="0.3">
      <c r="A132" s="359">
        <v>128</v>
      </c>
      <c r="B132" s="769"/>
      <c r="C132" s="139" t="s">
        <v>594</v>
      </c>
      <c r="D132" s="140"/>
      <c r="E132" s="140"/>
      <c r="F132" s="140"/>
      <c r="G132" s="140"/>
      <c r="H132" s="140"/>
      <c r="I132" s="140"/>
      <c r="J132" s="140">
        <v>75</v>
      </c>
      <c r="K132" s="140">
        <v>51</v>
      </c>
      <c r="L132" s="140">
        <v>126</v>
      </c>
    </row>
    <row r="133" spans="1:12" ht="18" customHeight="1" x14ac:dyDescent="0.3">
      <c r="A133" s="359">
        <v>129</v>
      </c>
      <c r="B133" s="768" t="s">
        <v>595</v>
      </c>
      <c r="C133" s="769"/>
      <c r="D133" s="141">
        <v>3392</v>
      </c>
      <c r="E133" s="141">
        <v>4086</v>
      </c>
      <c r="F133" s="141">
        <v>7478</v>
      </c>
      <c r="G133" s="141">
        <v>48</v>
      </c>
      <c r="H133" s="141">
        <v>65</v>
      </c>
      <c r="I133" s="141">
        <v>113</v>
      </c>
      <c r="J133" s="141">
        <v>173579</v>
      </c>
      <c r="K133" s="141">
        <v>124071</v>
      </c>
      <c r="L133" s="141">
        <v>297650</v>
      </c>
    </row>
    <row r="134" spans="1:12" ht="28" x14ac:dyDescent="0.3">
      <c r="A134" s="359">
        <v>130</v>
      </c>
      <c r="B134" s="138" t="s">
        <v>469</v>
      </c>
      <c r="C134" s="139" t="s">
        <v>469</v>
      </c>
      <c r="D134" s="140">
        <v>963</v>
      </c>
      <c r="E134" s="140">
        <v>871</v>
      </c>
      <c r="F134" s="140">
        <v>1834</v>
      </c>
      <c r="G134" s="140">
        <v>3</v>
      </c>
      <c r="H134" s="140">
        <v>2</v>
      </c>
      <c r="I134" s="140">
        <v>5</v>
      </c>
      <c r="J134" s="140">
        <v>13486</v>
      </c>
      <c r="K134" s="140">
        <v>12388</v>
      </c>
      <c r="L134" s="140">
        <v>25874</v>
      </c>
    </row>
    <row r="135" spans="1:12" ht="18" customHeight="1" x14ac:dyDescent="0.3">
      <c r="A135" s="359">
        <v>131</v>
      </c>
      <c r="B135" s="768" t="s">
        <v>596</v>
      </c>
      <c r="C135" s="769"/>
      <c r="D135" s="141">
        <v>963</v>
      </c>
      <c r="E135" s="141">
        <v>871</v>
      </c>
      <c r="F135" s="141">
        <v>1834</v>
      </c>
      <c r="G135" s="141">
        <v>3</v>
      </c>
      <c r="H135" s="141">
        <v>2</v>
      </c>
      <c r="I135" s="141">
        <v>5</v>
      </c>
      <c r="J135" s="141">
        <v>13486</v>
      </c>
      <c r="K135" s="141">
        <v>12388</v>
      </c>
      <c r="L135" s="141">
        <v>25874</v>
      </c>
    </row>
    <row r="136" spans="1:12" ht="18" customHeight="1" x14ac:dyDescent="0.3">
      <c r="A136" s="359">
        <v>132</v>
      </c>
      <c r="B136" s="768" t="s">
        <v>68</v>
      </c>
      <c r="C136" s="139" t="s">
        <v>597</v>
      </c>
      <c r="D136" s="140"/>
      <c r="E136" s="140"/>
      <c r="F136" s="140"/>
      <c r="G136" s="140"/>
      <c r="H136" s="140"/>
      <c r="I136" s="140"/>
      <c r="J136" s="140">
        <v>60</v>
      </c>
      <c r="K136" s="140">
        <v>66</v>
      </c>
      <c r="L136" s="140">
        <v>126</v>
      </c>
    </row>
    <row r="137" spans="1:12" ht="18" customHeight="1" x14ac:dyDescent="0.3">
      <c r="A137" s="359">
        <v>133</v>
      </c>
      <c r="B137" s="769"/>
      <c r="C137" s="139" t="s">
        <v>598</v>
      </c>
      <c r="D137" s="140">
        <v>15</v>
      </c>
      <c r="E137" s="140">
        <v>14</v>
      </c>
      <c r="F137" s="140">
        <v>29</v>
      </c>
      <c r="G137" s="140"/>
      <c r="H137" s="140"/>
      <c r="I137" s="140"/>
      <c r="J137" s="140">
        <v>988</v>
      </c>
      <c r="K137" s="140">
        <v>804</v>
      </c>
      <c r="L137" s="140">
        <v>1792</v>
      </c>
    </row>
    <row r="138" spans="1:12" ht="18" customHeight="1" x14ac:dyDescent="0.3">
      <c r="A138" s="359">
        <v>134</v>
      </c>
      <c r="B138" s="769"/>
      <c r="C138" s="139" t="s">
        <v>599</v>
      </c>
      <c r="D138" s="140">
        <v>2</v>
      </c>
      <c r="E138" s="140"/>
      <c r="F138" s="140">
        <v>2</v>
      </c>
      <c r="G138" s="140"/>
      <c r="H138" s="140"/>
      <c r="I138" s="140"/>
      <c r="J138" s="140">
        <v>103</v>
      </c>
      <c r="K138" s="140">
        <v>118</v>
      </c>
      <c r="L138" s="140">
        <v>221</v>
      </c>
    </row>
    <row r="139" spans="1:12" ht="18" customHeight="1" x14ac:dyDescent="0.3">
      <c r="A139" s="359">
        <v>135</v>
      </c>
      <c r="B139" s="769"/>
      <c r="C139" s="139" t="s">
        <v>600</v>
      </c>
      <c r="D139" s="140">
        <v>1</v>
      </c>
      <c r="E139" s="140">
        <v>1</v>
      </c>
      <c r="F139" s="140">
        <v>2</v>
      </c>
      <c r="G139" s="140"/>
      <c r="H139" s="140"/>
      <c r="I139" s="140"/>
      <c r="J139" s="140">
        <v>116</v>
      </c>
      <c r="K139" s="140">
        <v>111</v>
      </c>
      <c r="L139" s="140">
        <v>227</v>
      </c>
    </row>
    <row r="140" spans="1:12" ht="18" customHeight="1" x14ac:dyDescent="0.3">
      <c r="A140" s="359">
        <v>136</v>
      </c>
      <c r="B140" s="769"/>
      <c r="C140" s="139" t="s">
        <v>68</v>
      </c>
      <c r="D140" s="140">
        <v>3788</v>
      </c>
      <c r="E140" s="140">
        <v>4188</v>
      </c>
      <c r="F140" s="140">
        <v>7976</v>
      </c>
      <c r="G140" s="140"/>
      <c r="H140" s="140"/>
      <c r="I140" s="140"/>
      <c r="J140" s="140">
        <v>26048</v>
      </c>
      <c r="K140" s="140">
        <v>22227</v>
      </c>
      <c r="L140" s="140">
        <v>48275</v>
      </c>
    </row>
    <row r="141" spans="1:12" ht="18" customHeight="1" x14ac:dyDescent="0.3">
      <c r="A141" s="359">
        <v>137</v>
      </c>
      <c r="B141" s="768" t="s">
        <v>601</v>
      </c>
      <c r="C141" s="769"/>
      <c r="D141" s="141">
        <v>3806</v>
      </c>
      <c r="E141" s="141">
        <v>4203</v>
      </c>
      <c r="F141" s="141">
        <v>8009</v>
      </c>
      <c r="G141" s="141"/>
      <c r="H141" s="141"/>
      <c r="I141" s="141"/>
      <c r="J141" s="141">
        <v>27315</v>
      </c>
      <c r="K141" s="141">
        <v>23326</v>
      </c>
      <c r="L141" s="141">
        <v>50641</v>
      </c>
    </row>
    <row r="142" spans="1:12" ht="28" x14ac:dyDescent="0.3">
      <c r="A142" s="359">
        <v>138</v>
      </c>
      <c r="B142" s="138" t="s">
        <v>470</v>
      </c>
      <c r="C142" s="139" t="s">
        <v>470</v>
      </c>
      <c r="D142" s="140">
        <v>1012</v>
      </c>
      <c r="E142" s="140">
        <v>830</v>
      </c>
      <c r="F142" s="140">
        <v>1842</v>
      </c>
      <c r="G142" s="140">
        <v>5</v>
      </c>
      <c r="H142" s="140"/>
      <c r="I142" s="140">
        <v>5</v>
      </c>
      <c r="J142" s="140">
        <v>7471</v>
      </c>
      <c r="K142" s="140">
        <v>7744</v>
      </c>
      <c r="L142" s="140">
        <v>15215</v>
      </c>
    </row>
    <row r="143" spans="1:12" ht="18" customHeight="1" x14ac:dyDescent="0.3">
      <c r="A143" s="359">
        <v>139</v>
      </c>
      <c r="B143" s="768" t="s">
        <v>602</v>
      </c>
      <c r="C143" s="769"/>
      <c r="D143" s="141">
        <v>1012</v>
      </c>
      <c r="E143" s="141">
        <v>830</v>
      </c>
      <c r="F143" s="141">
        <v>1842</v>
      </c>
      <c r="G143" s="141">
        <v>5</v>
      </c>
      <c r="H143" s="141"/>
      <c r="I143" s="141">
        <v>5</v>
      </c>
      <c r="J143" s="141">
        <v>7471</v>
      </c>
      <c r="K143" s="141">
        <v>7744</v>
      </c>
      <c r="L143" s="141">
        <v>15215</v>
      </c>
    </row>
    <row r="144" spans="1:12" ht="18" customHeight="1" x14ac:dyDescent="0.3">
      <c r="A144" s="359">
        <v>140</v>
      </c>
      <c r="B144" s="768" t="s">
        <v>472</v>
      </c>
      <c r="C144" s="139" t="s">
        <v>603</v>
      </c>
      <c r="D144" s="140"/>
      <c r="E144" s="140">
        <v>3</v>
      </c>
      <c r="F144" s="140">
        <v>3</v>
      </c>
      <c r="G144" s="140"/>
      <c r="H144" s="140"/>
      <c r="I144" s="140"/>
      <c r="J144" s="140"/>
      <c r="K144" s="140"/>
      <c r="L144" s="140"/>
    </row>
    <row r="145" spans="1:12" s="129" customFormat="1" ht="18" customHeight="1" x14ac:dyDescent="0.3">
      <c r="A145" s="359">
        <v>141</v>
      </c>
      <c r="B145" s="769"/>
      <c r="C145" s="139" t="s">
        <v>472</v>
      </c>
      <c r="D145" s="140">
        <v>814</v>
      </c>
      <c r="E145" s="140">
        <v>928</v>
      </c>
      <c r="F145" s="140">
        <v>1742</v>
      </c>
      <c r="G145" s="140">
        <v>13</v>
      </c>
      <c r="H145" s="140">
        <v>13</v>
      </c>
      <c r="I145" s="140">
        <v>26</v>
      </c>
      <c r="J145" s="140">
        <v>47</v>
      </c>
      <c r="K145" s="140">
        <v>155</v>
      </c>
      <c r="L145" s="140">
        <v>202</v>
      </c>
    </row>
    <row r="146" spans="1:12" ht="18" customHeight="1" x14ac:dyDescent="0.3">
      <c r="A146" s="359">
        <v>142</v>
      </c>
      <c r="B146" s="768" t="s">
        <v>604</v>
      </c>
      <c r="C146" s="769"/>
      <c r="D146" s="141">
        <v>814</v>
      </c>
      <c r="E146" s="141">
        <v>931</v>
      </c>
      <c r="F146" s="141">
        <v>1745</v>
      </c>
      <c r="G146" s="141">
        <v>13</v>
      </c>
      <c r="H146" s="141">
        <v>13</v>
      </c>
      <c r="I146" s="141">
        <v>26</v>
      </c>
      <c r="J146" s="141">
        <v>47</v>
      </c>
      <c r="K146" s="141">
        <v>155</v>
      </c>
      <c r="L146" s="141">
        <v>202</v>
      </c>
    </row>
    <row r="147" spans="1:12" ht="28" x14ac:dyDescent="0.3">
      <c r="A147" s="359">
        <v>143</v>
      </c>
      <c r="B147" s="138" t="s">
        <v>605</v>
      </c>
      <c r="C147" s="139" t="s">
        <v>605</v>
      </c>
      <c r="D147" s="140"/>
      <c r="E147" s="140"/>
      <c r="F147" s="140"/>
      <c r="G147" s="140"/>
      <c r="H147" s="140"/>
      <c r="I147" s="140"/>
      <c r="J147" s="140">
        <v>87</v>
      </c>
      <c r="K147" s="140">
        <v>20</v>
      </c>
      <c r="L147" s="140">
        <v>107</v>
      </c>
    </row>
    <row r="148" spans="1:12" ht="18" customHeight="1" x14ac:dyDescent="0.3">
      <c r="A148" s="359">
        <v>144</v>
      </c>
      <c r="B148" s="768" t="s">
        <v>606</v>
      </c>
      <c r="C148" s="769"/>
      <c r="D148" s="141"/>
      <c r="E148" s="141"/>
      <c r="F148" s="141"/>
      <c r="G148" s="141"/>
      <c r="H148" s="141"/>
      <c r="I148" s="141"/>
      <c r="J148" s="141">
        <v>87</v>
      </c>
      <c r="K148" s="141">
        <v>20</v>
      </c>
      <c r="L148" s="141">
        <v>107</v>
      </c>
    </row>
    <row r="149" spans="1:12" ht="18" customHeight="1" x14ac:dyDescent="0.3">
      <c r="A149" s="359">
        <v>145</v>
      </c>
      <c r="B149" s="768" t="s">
        <v>474</v>
      </c>
      <c r="C149" s="139" t="s">
        <v>607</v>
      </c>
      <c r="D149" s="140">
        <v>25</v>
      </c>
      <c r="E149" s="140">
        <v>27</v>
      </c>
      <c r="F149" s="140">
        <v>52</v>
      </c>
      <c r="G149" s="140"/>
      <c r="H149" s="140"/>
      <c r="I149" s="140"/>
      <c r="J149" s="140">
        <v>172</v>
      </c>
      <c r="K149" s="140">
        <v>69</v>
      </c>
      <c r="L149" s="140">
        <v>241</v>
      </c>
    </row>
    <row r="150" spans="1:12" ht="18" customHeight="1" x14ac:dyDescent="0.3">
      <c r="A150" s="359">
        <v>146</v>
      </c>
      <c r="B150" s="769"/>
      <c r="C150" s="139" t="s">
        <v>608</v>
      </c>
      <c r="D150" s="140">
        <v>3267</v>
      </c>
      <c r="E150" s="140">
        <v>3368</v>
      </c>
      <c r="F150" s="140">
        <v>6635</v>
      </c>
      <c r="G150" s="140">
        <v>1</v>
      </c>
      <c r="H150" s="140">
        <v>1</v>
      </c>
      <c r="I150" s="140">
        <v>2</v>
      </c>
      <c r="J150" s="140">
        <v>541933</v>
      </c>
      <c r="K150" s="140">
        <v>417849</v>
      </c>
      <c r="L150" s="140">
        <v>959782</v>
      </c>
    </row>
    <row r="151" spans="1:12" ht="18" customHeight="1" x14ac:dyDescent="0.3">
      <c r="A151" s="359">
        <v>147</v>
      </c>
      <c r="B151" s="769"/>
      <c r="C151" s="139" t="s">
        <v>609</v>
      </c>
      <c r="D151" s="140">
        <v>4560</v>
      </c>
      <c r="E151" s="140">
        <v>4226</v>
      </c>
      <c r="F151" s="140">
        <v>8786</v>
      </c>
      <c r="G151" s="140">
        <v>1</v>
      </c>
      <c r="H151" s="140"/>
      <c r="I151" s="140">
        <v>1</v>
      </c>
      <c r="J151" s="140">
        <v>12808</v>
      </c>
      <c r="K151" s="140">
        <v>7338</v>
      </c>
      <c r="L151" s="140">
        <v>20146</v>
      </c>
    </row>
    <row r="152" spans="1:12" ht="18" customHeight="1" x14ac:dyDescent="0.3">
      <c r="A152" s="359">
        <v>148</v>
      </c>
      <c r="B152" s="769"/>
      <c r="C152" s="139" t="s">
        <v>590</v>
      </c>
      <c r="D152" s="140"/>
      <c r="E152" s="140"/>
      <c r="F152" s="140"/>
      <c r="G152" s="140"/>
      <c r="H152" s="140"/>
      <c r="I152" s="140"/>
      <c r="J152" s="140">
        <v>10340</v>
      </c>
      <c r="K152" s="140">
        <v>5757</v>
      </c>
      <c r="L152" s="140">
        <v>16097</v>
      </c>
    </row>
    <row r="153" spans="1:12" ht="18" customHeight="1" x14ac:dyDescent="0.3">
      <c r="A153" s="359">
        <v>149</v>
      </c>
      <c r="B153" s="769"/>
      <c r="C153" s="139" t="s">
        <v>610</v>
      </c>
      <c r="D153" s="140"/>
      <c r="E153" s="140"/>
      <c r="F153" s="140"/>
      <c r="G153" s="140"/>
      <c r="H153" s="140"/>
      <c r="I153" s="140"/>
      <c r="J153" s="140">
        <v>436</v>
      </c>
      <c r="K153" s="140">
        <v>472</v>
      </c>
      <c r="L153" s="140">
        <v>908</v>
      </c>
    </row>
    <row r="154" spans="1:12" ht="18" customHeight="1" x14ac:dyDescent="0.3">
      <c r="A154" s="359">
        <v>150</v>
      </c>
      <c r="B154" s="769"/>
      <c r="C154" s="139" t="s">
        <v>611</v>
      </c>
      <c r="D154" s="140"/>
      <c r="E154" s="140"/>
      <c r="F154" s="140"/>
      <c r="G154" s="140"/>
      <c r="H154" s="140"/>
      <c r="I154" s="140"/>
      <c r="J154" s="140">
        <v>58</v>
      </c>
      <c r="K154" s="140">
        <v>30</v>
      </c>
      <c r="L154" s="140">
        <v>88</v>
      </c>
    </row>
    <row r="155" spans="1:12" ht="18" customHeight="1" x14ac:dyDescent="0.3">
      <c r="A155" s="359">
        <v>151</v>
      </c>
      <c r="B155" s="769"/>
      <c r="C155" s="139" t="s">
        <v>612</v>
      </c>
      <c r="D155" s="140">
        <v>96</v>
      </c>
      <c r="E155" s="140">
        <v>112</v>
      </c>
      <c r="F155" s="140">
        <v>208</v>
      </c>
      <c r="G155" s="140"/>
      <c r="H155" s="140">
        <v>1</v>
      </c>
      <c r="I155" s="140">
        <v>1</v>
      </c>
      <c r="J155" s="140">
        <v>1353</v>
      </c>
      <c r="K155" s="140">
        <v>855</v>
      </c>
      <c r="L155" s="140">
        <v>2208</v>
      </c>
    </row>
    <row r="156" spans="1:12" ht="18" customHeight="1" x14ac:dyDescent="0.3">
      <c r="A156" s="359">
        <v>152</v>
      </c>
      <c r="B156" s="769"/>
      <c r="C156" s="139" t="s">
        <v>613</v>
      </c>
      <c r="D156" s="140"/>
      <c r="E156" s="140"/>
      <c r="F156" s="140"/>
      <c r="G156" s="140"/>
      <c r="H156" s="140"/>
      <c r="I156" s="140"/>
      <c r="J156" s="140">
        <v>4681</v>
      </c>
      <c r="K156" s="140">
        <v>2596</v>
      </c>
      <c r="L156" s="140">
        <v>7277</v>
      </c>
    </row>
    <row r="157" spans="1:12" ht="18" customHeight="1" x14ac:dyDescent="0.3">
      <c r="A157" s="359">
        <v>153</v>
      </c>
      <c r="B157" s="769"/>
      <c r="C157" s="139" t="s">
        <v>489</v>
      </c>
      <c r="D157" s="140">
        <v>13</v>
      </c>
      <c r="E157" s="140">
        <v>27</v>
      </c>
      <c r="F157" s="140">
        <v>40</v>
      </c>
      <c r="G157" s="140"/>
      <c r="H157" s="140"/>
      <c r="I157" s="140"/>
      <c r="J157" s="140">
        <v>2840</v>
      </c>
      <c r="K157" s="140">
        <v>3069</v>
      </c>
      <c r="L157" s="140">
        <v>5909</v>
      </c>
    </row>
    <row r="158" spans="1:12" ht="18" customHeight="1" x14ac:dyDescent="0.3">
      <c r="A158" s="359">
        <v>154</v>
      </c>
      <c r="B158" s="769"/>
      <c r="C158" s="139" t="s">
        <v>614</v>
      </c>
      <c r="D158" s="140">
        <v>145</v>
      </c>
      <c r="E158" s="140">
        <v>93</v>
      </c>
      <c r="F158" s="140">
        <v>238</v>
      </c>
      <c r="G158" s="140">
        <v>1</v>
      </c>
      <c r="H158" s="140"/>
      <c r="I158" s="140">
        <v>1</v>
      </c>
      <c r="J158" s="140">
        <v>56</v>
      </c>
      <c r="K158" s="140">
        <v>14</v>
      </c>
      <c r="L158" s="140">
        <v>70</v>
      </c>
    </row>
    <row r="159" spans="1:12" ht="27" customHeight="1" x14ac:dyDescent="0.3">
      <c r="A159" s="359">
        <v>155</v>
      </c>
      <c r="B159" s="769"/>
      <c r="C159" s="139" t="s">
        <v>615</v>
      </c>
      <c r="D159" s="140">
        <v>128</v>
      </c>
      <c r="E159" s="140">
        <v>154</v>
      </c>
      <c r="F159" s="140">
        <v>282</v>
      </c>
      <c r="G159" s="140"/>
      <c r="H159" s="140"/>
      <c r="I159" s="140"/>
      <c r="J159" s="140">
        <v>1611</v>
      </c>
      <c r="K159" s="140">
        <v>1234</v>
      </c>
      <c r="L159" s="140">
        <v>2845</v>
      </c>
    </row>
    <row r="160" spans="1:12" ht="18" customHeight="1" x14ac:dyDescent="0.3">
      <c r="A160" s="359">
        <v>156</v>
      </c>
      <c r="B160" s="769"/>
      <c r="C160" s="139" t="s">
        <v>616</v>
      </c>
      <c r="D160" s="140"/>
      <c r="E160" s="140"/>
      <c r="F160" s="140"/>
      <c r="G160" s="140"/>
      <c r="H160" s="140"/>
      <c r="I160" s="140"/>
      <c r="J160" s="140">
        <v>531</v>
      </c>
      <c r="K160" s="140">
        <v>363</v>
      </c>
      <c r="L160" s="140">
        <v>894</v>
      </c>
    </row>
    <row r="161" spans="1:12" ht="18" customHeight="1" x14ac:dyDescent="0.3">
      <c r="A161" s="359">
        <v>157</v>
      </c>
      <c r="B161" s="769"/>
      <c r="C161" s="139" t="s">
        <v>474</v>
      </c>
      <c r="D161" s="140"/>
      <c r="E161" s="140"/>
      <c r="F161" s="140"/>
      <c r="G161" s="140"/>
      <c r="H161" s="140"/>
      <c r="I161" s="140"/>
      <c r="J161" s="140">
        <v>2944</v>
      </c>
      <c r="K161" s="140">
        <v>2065</v>
      </c>
      <c r="L161" s="140">
        <v>5009</v>
      </c>
    </row>
    <row r="162" spans="1:12" ht="28" x14ac:dyDescent="0.3">
      <c r="A162" s="359">
        <v>158</v>
      </c>
      <c r="B162" s="769"/>
      <c r="C162" s="139" t="s">
        <v>617</v>
      </c>
      <c r="D162" s="140"/>
      <c r="E162" s="140"/>
      <c r="F162" s="140"/>
      <c r="G162" s="140"/>
      <c r="H162" s="140"/>
      <c r="I162" s="140"/>
      <c r="J162" s="140">
        <v>1025</v>
      </c>
      <c r="K162" s="140">
        <v>867</v>
      </c>
      <c r="L162" s="140">
        <v>1892</v>
      </c>
    </row>
    <row r="163" spans="1:12" ht="18" customHeight="1" x14ac:dyDescent="0.3">
      <c r="A163" s="359">
        <v>159</v>
      </c>
      <c r="B163" s="769"/>
      <c r="C163" s="139" t="s">
        <v>618</v>
      </c>
      <c r="D163" s="140">
        <v>208</v>
      </c>
      <c r="E163" s="140">
        <v>227</v>
      </c>
      <c r="F163" s="140">
        <v>435</v>
      </c>
      <c r="G163" s="140">
        <v>6</v>
      </c>
      <c r="H163" s="140"/>
      <c r="I163" s="140">
        <v>6</v>
      </c>
      <c r="J163" s="140">
        <v>844</v>
      </c>
      <c r="K163" s="140">
        <v>486</v>
      </c>
      <c r="L163" s="140">
        <v>1330</v>
      </c>
    </row>
    <row r="164" spans="1:12" ht="18" customHeight="1" x14ac:dyDescent="0.3">
      <c r="A164" s="359">
        <v>160</v>
      </c>
      <c r="B164" s="769"/>
      <c r="C164" s="139" t="s">
        <v>619</v>
      </c>
      <c r="D164" s="140">
        <v>2165</v>
      </c>
      <c r="E164" s="140">
        <v>2149</v>
      </c>
      <c r="F164" s="140">
        <v>4314</v>
      </c>
      <c r="G164" s="140">
        <v>1</v>
      </c>
      <c r="H164" s="140"/>
      <c r="I164" s="140">
        <v>1</v>
      </c>
      <c r="J164" s="140">
        <v>3372</v>
      </c>
      <c r="K164" s="140">
        <v>3199</v>
      </c>
      <c r="L164" s="140">
        <v>6571</v>
      </c>
    </row>
    <row r="165" spans="1:12" ht="18" customHeight="1" x14ac:dyDescent="0.3">
      <c r="A165" s="359">
        <v>161</v>
      </c>
      <c r="B165" s="769"/>
      <c r="C165" s="139" t="s">
        <v>620</v>
      </c>
      <c r="D165" s="140"/>
      <c r="E165" s="140"/>
      <c r="F165" s="140"/>
      <c r="G165" s="140"/>
      <c r="H165" s="140"/>
      <c r="I165" s="140"/>
      <c r="J165" s="140">
        <v>221</v>
      </c>
      <c r="K165" s="140">
        <v>176</v>
      </c>
      <c r="L165" s="140">
        <v>397</v>
      </c>
    </row>
    <row r="166" spans="1:12" ht="18" customHeight="1" x14ac:dyDescent="0.3">
      <c r="A166" s="359">
        <v>162</v>
      </c>
      <c r="B166" s="769"/>
      <c r="C166" s="139" t="s">
        <v>621</v>
      </c>
      <c r="D166" s="140"/>
      <c r="E166" s="140"/>
      <c r="F166" s="140"/>
      <c r="G166" s="140"/>
      <c r="H166" s="140"/>
      <c r="I166" s="140"/>
      <c r="J166" s="140">
        <v>1347</v>
      </c>
      <c r="K166" s="140">
        <v>927</v>
      </c>
      <c r="L166" s="140">
        <v>2274</v>
      </c>
    </row>
    <row r="167" spans="1:12" ht="28" x14ac:dyDescent="0.3">
      <c r="A167" s="359">
        <v>163</v>
      </c>
      <c r="B167" s="769"/>
      <c r="C167" s="139" t="s">
        <v>622</v>
      </c>
      <c r="D167" s="140"/>
      <c r="E167" s="140"/>
      <c r="F167" s="140"/>
      <c r="G167" s="140"/>
      <c r="H167" s="140"/>
      <c r="I167" s="140"/>
      <c r="J167" s="140">
        <v>166</v>
      </c>
      <c r="K167" s="140">
        <v>136</v>
      </c>
      <c r="L167" s="140">
        <v>302</v>
      </c>
    </row>
    <row r="168" spans="1:12" ht="18" customHeight="1" x14ac:dyDescent="0.3">
      <c r="A168" s="359">
        <v>164</v>
      </c>
      <c r="B168" s="769"/>
      <c r="C168" s="139" t="s">
        <v>623</v>
      </c>
      <c r="D168" s="140">
        <v>34</v>
      </c>
      <c r="E168" s="140">
        <v>24</v>
      </c>
      <c r="F168" s="140">
        <v>58</v>
      </c>
      <c r="G168" s="140"/>
      <c r="H168" s="140"/>
      <c r="I168" s="140"/>
      <c r="J168" s="140">
        <v>1535</v>
      </c>
      <c r="K168" s="140">
        <v>1167</v>
      </c>
      <c r="L168" s="140">
        <v>2702</v>
      </c>
    </row>
    <row r="169" spans="1:12" ht="18" customHeight="1" x14ac:dyDescent="0.3">
      <c r="A169" s="359">
        <v>165</v>
      </c>
      <c r="B169" s="769"/>
      <c r="C169" s="139" t="s">
        <v>624</v>
      </c>
      <c r="D169" s="140">
        <v>161</v>
      </c>
      <c r="E169" s="140">
        <v>101</v>
      </c>
      <c r="F169" s="140">
        <v>262</v>
      </c>
      <c r="G169" s="140"/>
      <c r="H169" s="140"/>
      <c r="I169" s="140"/>
      <c r="J169" s="140">
        <v>2228</v>
      </c>
      <c r="K169" s="140">
        <v>1454</v>
      </c>
      <c r="L169" s="140">
        <v>3682</v>
      </c>
    </row>
    <row r="170" spans="1:12" ht="18" customHeight="1" x14ac:dyDescent="0.3">
      <c r="A170" s="359">
        <v>166</v>
      </c>
      <c r="B170" s="768" t="s">
        <v>625</v>
      </c>
      <c r="C170" s="769"/>
      <c r="D170" s="141">
        <v>10802</v>
      </c>
      <c r="E170" s="141">
        <v>10508</v>
      </c>
      <c r="F170" s="141">
        <v>21310</v>
      </c>
      <c r="G170" s="141">
        <v>10</v>
      </c>
      <c r="H170" s="141">
        <v>2</v>
      </c>
      <c r="I170" s="141">
        <v>12</v>
      </c>
      <c r="J170" s="141">
        <v>590501</v>
      </c>
      <c r="K170" s="141">
        <v>450123</v>
      </c>
      <c r="L170" s="141">
        <v>1040624</v>
      </c>
    </row>
    <row r="171" spans="1:12" ht="28" x14ac:dyDescent="0.3">
      <c r="A171" s="359">
        <v>167</v>
      </c>
      <c r="B171" s="138" t="s">
        <v>476</v>
      </c>
      <c r="C171" s="139" t="s">
        <v>476</v>
      </c>
      <c r="D171" s="140">
        <v>258</v>
      </c>
      <c r="E171" s="140">
        <v>288</v>
      </c>
      <c r="F171" s="140">
        <v>546</v>
      </c>
      <c r="G171" s="140"/>
      <c r="H171" s="140"/>
      <c r="I171" s="140"/>
      <c r="J171" s="140">
        <v>321</v>
      </c>
      <c r="K171" s="140">
        <v>560</v>
      </c>
      <c r="L171" s="140">
        <v>881</v>
      </c>
    </row>
    <row r="172" spans="1:12" ht="18" customHeight="1" x14ac:dyDescent="0.3">
      <c r="A172" s="359">
        <v>168</v>
      </c>
      <c r="B172" s="768" t="s">
        <v>626</v>
      </c>
      <c r="C172" s="769"/>
      <c r="D172" s="141">
        <v>258</v>
      </c>
      <c r="E172" s="141">
        <v>288</v>
      </c>
      <c r="F172" s="141">
        <v>546</v>
      </c>
      <c r="G172" s="141"/>
      <c r="H172" s="141"/>
      <c r="I172" s="141"/>
      <c r="J172" s="141">
        <v>321</v>
      </c>
      <c r="K172" s="141">
        <v>560</v>
      </c>
      <c r="L172" s="141">
        <v>881</v>
      </c>
    </row>
    <row r="173" spans="1:12" ht="18" customHeight="1" x14ac:dyDescent="0.3">
      <c r="A173" s="359">
        <v>169</v>
      </c>
      <c r="B173" s="768" t="s">
        <v>478</v>
      </c>
      <c r="C173" s="139" t="s">
        <v>479</v>
      </c>
      <c r="D173" s="140">
        <v>36</v>
      </c>
      <c r="E173" s="140">
        <v>66</v>
      </c>
      <c r="F173" s="140">
        <v>102</v>
      </c>
      <c r="G173" s="140"/>
      <c r="H173" s="140"/>
      <c r="I173" s="140"/>
      <c r="J173" s="140">
        <v>837</v>
      </c>
      <c r="K173" s="140">
        <v>804</v>
      </c>
      <c r="L173" s="140">
        <v>1641</v>
      </c>
    </row>
    <row r="174" spans="1:12" ht="18" customHeight="1" x14ac:dyDescent="0.3">
      <c r="A174" s="359">
        <v>170</v>
      </c>
      <c r="B174" s="769"/>
      <c r="C174" s="139" t="s">
        <v>627</v>
      </c>
      <c r="D174" s="140">
        <v>70</v>
      </c>
      <c r="E174" s="140">
        <v>49</v>
      </c>
      <c r="F174" s="140">
        <v>119</v>
      </c>
      <c r="G174" s="140"/>
      <c r="H174" s="140"/>
      <c r="I174" s="140"/>
      <c r="J174" s="140">
        <v>4788</v>
      </c>
      <c r="K174" s="140">
        <v>5594</v>
      </c>
      <c r="L174" s="140">
        <v>10382</v>
      </c>
    </row>
    <row r="175" spans="1:12" ht="18" customHeight="1" x14ac:dyDescent="0.3">
      <c r="A175" s="359">
        <v>171</v>
      </c>
      <c r="B175" s="769"/>
      <c r="C175" s="139" t="s">
        <v>480</v>
      </c>
      <c r="D175" s="140">
        <v>854</v>
      </c>
      <c r="E175" s="140">
        <v>1061</v>
      </c>
      <c r="F175" s="140">
        <v>1915</v>
      </c>
      <c r="G175" s="140">
        <v>2</v>
      </c>
      <c r="H175" s="140">
        <v>8</v>
      </c>
      <c r="I175" s="140">
        <v>10</v>
      </c>
      <c r="J175" s="140">
        <v>3563</v>
      </c>
      <c r="K175" s="140">
        <v>7290</v>
      </c>
      <c r="L175" s="140">
        <v>10853</v>
      </c>
    </row>
    <row r="176" spans="1:12" ht="18" customHeight="1" x14ac:dyDescent="0.3">
      <c r="A176" s="359">
        <v>172</v>
      </c>
      <c r="B176" s="769"/>
      <c r="C176" s="139" t="s">
        <v>481</v>
      </c>
      <c r="D176" s="140">
        <v>128</v>
      </c>
      <c r="E176" s="140">
        <v>265</v>
      </c>
      <c r="F176" s="140">
        <v>393</v>
      </c>
      <c r="G176" s="140"/>
      <c r="H176" s="140"/>
      <c r="I176" s="140"/>
      <c r="J176" s="140">
        <v>785</v>
      </c>
      <c r="K176" s="140">
        <v>912</v>
      </c>
      <c r="L176" s="140">
        <v>1697</v>
      </c>
    </row>
    <row r="177" spans="1:12" ht="18" customHeight="1" x14ac:dyDescent="0.3">
      <c r="A177" s="359">
        <v>173</v>
      </c>
      <c r="B177" s="769"/>
      <c r="C177" s="139" t="s">
        <v>628</v>
      </c>
      <c r="D177" s="140">
        <v>8</v>
      </c>
      <c r="E177" s="140">
        <v>15</v>
      </c>
      <c r="F177" s="140">
        <v>23</v>
      </c>
      <c r="G177" s="140"/>
      <c r="H177" s="140"/>
      <c r="I177" s="140"/>
      <c r="J177" s="140">
        <v>11</v>
      </c>
      <c r="K177" s="140">
        <v>17</v>
      </c>
      <c r="L177" s="140">
        <v>28</v>
      </c>
    </row>
    <row r="178" spans="1:12" ht="18" customHeight="1" x14ac:dyDescent="0.3">
      <c r="A178" s="359">
        <v>174</v>
      </c>
      <c r="B178" s="769"/>
      <c r="C178" s="139" t="s">
        <v>629</v>
      </c>
      <c r="D178" s="140">
        <v>2</v>
      </c>
      <c r="E178" s="140"/>
      <c r="F178" s="140">
        <v>2</v>
      </c>
      <c r="G178" s="140"/>
      <c r="H178" s="140"/>
      <c r="I178" s="140"/>
      <c r="J178" s="140">
        <v>21</v>
      </c>
      <c r="K178" s="140">
        <v>44</v>
      </c>
      <c r="L178" s="140">
        <v>65</v>
      </c>
    </row>
    <row r="179" spans="1:12" ht="18" customHeight="1" x14ac:dyDescent="0.3">
      <c r="A179" s="359">
        <v>175</v>
      </c>
      <c r="B179" s="769"/>
      <c r="C179" s="139" t="s">
        <v>630</v>
      </c>
      <c r="D179" s="140">
        <v>90</v>
      </c>
      <c r="E179" s="140">
        <v>239</v>
      </c>
      <c r="F179" s="140">
        <v>329</v>
      </c>
      <c r="G179" s="140"/>
      <c r="H179" s="140"/>
      <c r="I179" s="140"/>
      <c r="J179" s="140">
        <v>433</v>
      </c>
      <c r="K179" s="140">
        <v>878</v>
      </c>
      <c r="L179" s="140">
        <v>1311</v>
      </c>
    </row>
    <row r="180" spans="1:12" ht="18" customHeight="1" x14ac:dyDescent="0.3">
      <c r="A180" s="359">
        <v>176</v>
      </c>
      <c r="B180" s="769"/>
      <c r="C180" s="139" t="s">
        <v>631</v>
      </c>
      <c r="D180" s="140">
        <v>362</v>
      </c>
      <c r="E180" s="140">
        <v>77</v>
      </c>
      <c r="F180" s="140">
        <v>439</v>
      </c>
      <c r="G180" s="140"/>
      <c r="H180" s="140"/>
      <c r="I180" s="140"/>
      <c r="J180" s="140">
        <v>324</v>
      </c>
      <c r="K180" s="140">
        <v>182</v>
      </c>
      <c r="L180" s="140">
        <v>506</v>
      </c>
    </row>
    <row r="181" spans="1:12" ht="18" customHeight="1" x14ac:dyDescent="0.3">
      <c r="A181" s="359">
        <v>177</v>
      </c>
      <c r="B181" s="769"/>
      <c r="C181" s="139" t="s">
        <v>482</v>
      </c>
      <c r="D181" s="140">
        <v>508</v>
      </c>
      <c r="E181" s="140">
        <v>614</v>
      </c>
      <c r="F181" s="140">
        <v>1122</v>
      </c>
      <c r="G181" s="140"/>
      <c r="H181" s="140"/>
      <c r="I181" s="140"/>
      <c r="J181" s="140">
        <v>5551</v>
      </c>
      <c r="K181" s="140">
        <v>12902</v>
      </c>
      <c r="L181" s="140">
        <v>18453</v>
      </c>
    </row>
    <row r="182" spans="1:12" ht="18" customHeight="1" x14ac:dyDescent="0.3">
      <c r="A182" s="359">
        <v>178</v>
      </c>
      <c r="B182" s="769"/>
      <c r="C182" s="139" t="s">
        <v>632</v>
      </c>
      <c r="D182" s="140">
        <v>2</v>
      </c>
      <c r="E182" s="140">
        <v>1</v>
      </c>
      <c r="F182" s="140">
        <v>3</v>
      </c>
      <c r="G182" s="140"/>
      <c r="H182" s="140"/>
      <c r="I182" s="140"/>
      <c r="J182" s="140">
        <v>1084</v>
      </c>
      <c r="K182" s="140">
        <v>1974</v>
      </c>
      <c r="L182" s="140">
        <v>3058</v>
      </c>
    </row>
    <row r="183" spans="1:12" ht="18" customHeight="1" x14ac:dyDescent="0.3">
      <c r="A183" s="359">
        <v>179</v>
      </c>
      <c r="B183" s="769"/>
      <c r="C183" s="139" t="s">
        <v>633</v>
      </c>
      <c r="D183" s="140">
        <v>59</v>
      </c>
      <c r="E183" s="140">
        <v>51</v>
      </c>
      <c r="F183" s="140">
        <v>110</v>
      </c>
      <c r="G183" s="140"/>
      <c r="H183" s="140"/>
      <c r="I183" s="140"/>
      <c r="J183" s="140">
        <v>57</v>
      </c>
      <c r="K183" s="140">
        <v>54</v>
      </c>
      <c r="L183" s="140">
        <v>111</v>
      </c>
    </row>
    <row r="184" spans="1:12" ht="18" customHeight="1" x14ac:dyDescent="0.3">
      <c r="A184" s="359">
        <v>180</v>
      </c>
      <c r="B184" s="769"/>
      <c r="C184" s="139" t="s">
        <v>483</v>
      </c>
      <c r="D184" s="140">
        <v>11</v>
      </c>
      <c r="E184" s="140">
        <v>14</v>
      </c>
      <c r="F184" s="140">
        <v>25</v>
      </c>
      <c r="G184" s="140"/>
      <c r="H184" s="140"/>
      <c r="I184" s="140"/>
      <c r="J184" s="140">
        <v>1310</v>
      </c>
      <c r="K184" s="140">
        <v>1996</v>
      </c>
      <c r="L184" s="140">
        <v>3306</v>
      </c>
    </row>
    <row r="185" spans="1:12" ht="27.75" customHeight="1" x14ac:dyDescent="0.3">
      <c r="A185" s="359">
        <v>181</v>
      </c>
      <c r="B185" s="769"/>
      <c r="C185" s="139" t="s">
        <v>484</v>
      </c>
      <c r="D185" s="140">
        <v>17</v>
      </c>
      <c r="E185" s="140">
        <v>35</v>
      </c>
      <c r="F185" s="140">
        <v>52</v>
      </c>
      <c r="G185" s="140"/>
      <c r="H185" s="140"/>
      <c r="I185" s="140"/>
      <c r="J185" s="140">
        <v>671</v>
      </c>
      <c r="K185" s="140">
        <v>288</v>
      </c>
      <c r="L185" s="140">
        <v>959</v>
      </c>
    </row>
    <row r="186" spans="1:12" ht="18" customHeight="1" x14ac:dyDescent="0.3">
      <c r="A186" s="359">
        <v>182</v>
      </c>
      <c r="B186" s="769"/>
      <c r="C186" s="139" t="s">
        <v>634</v>
      </c>
      <c r="D186" s="140">
        <v>271</v>
      </c>
      <c r="E186" s="140">
        <v>48</v>
      </c>
      <c r="F186" s="140">
        <v>319</v>
      </c>
      <c r="G186" s="140"/>
      <c r="H186" s="140"/>
      <c r="I186" s="140"/>
      <c r="J186" s="140">
        <v>133</v>
      </c>
      <c r="K186" s="140">
        <v>49</v>
      </c>
      <c r="L186" s="140">
        <v>182</v>
      </c>
    </row>
    <row r="187" spans="1:12" ht="18" customHeight="1" x14ac:dyDescent="0.3">
      <c r="A187" s="359">
        <v>183</v>
      </c>
      <c r="B187" s="769"/>
      <c r="C187" s="139" t="s">
        <v>485</v>
      </c>
      <c r="D187" s="140">
        <v>428</v>
      </c>
      <c r="E187" s="140">
        <v>339</v>
      </c>
      <c r="F187" s="140">
        <v>767</v>
      </c>
      <c r="G187" s="140">
        <v>9</v>
      </c>
      <c r="H187" s="140">
        <v>14</v>
      </c>
      <c r="I187" s="140">
        <v>23</v>
      </c>
      <c r="J187" s="140">
        <v>10141</v>
      </c>
      <c r="K187" s="140">
        <v>5618</v>
      </c>
      <c r="L187" s="140">
        <v>15759</v>
      </c>
    </row>
    <row r="188" spans="1:12" ht="18" customHeight="1" x14ac:dyDescent="0.3">
      <c r="A188" s="359">
        <v>184</v>
      </c>
      <c r="B188" s="769"/>
      <c r="C188" s="139" t="s">
        <v>486</v>
      </c>
      <c r="D188" s="140">
        <v>38</v>
      </c>
      <c r="E188" s="140">
        <v>9</v>
      </c>
      <c r="F188" s="140">
        <v>47</v>
      </c>
      <c r="G188" s="140"/>
      <c r="H188" s="140"/>
      <c r="I188" s="140"/>
      <c r="J188" s="140">
        <v>7485</v>
      </c>
      <c r="K188" s="140">
        <v>4157</v>
      </c>
      <c r="L188" s="140">
        <v>11642</v>
      </c>
    </row>
    <row r="189" spans="1:12" ht="18" customHeight="1" x14ac:dyDescent="0.3">
      <c r="A189" s="359">
        <v>185</v>
      </c>
      <c r="B189" s="769"/>
      <c r="C189" s="139" t="s">
        <v>487</v>
      </c>
      <c r="D189" s="140">
        <v>2</v>
      </c>
      <c r="E189" s="140">
        <v>6</v>
      </c>
      <c r="F189" s="140">
        <v>8</v>
      </c>
      <c r="G189" s="140"/>
      <c r="H189" s="140"/>
      <c r="I189" s="140"/>
      <c r="J189" s="140">
        <v>803</v>
      </c>
      <c r="K189" s="140">
        <v>7103</v>
      </c>
      <c r="L189" s="140">
        <v>7906</v>
      </c>
    </row>
    <row r="190" spans="1:12" ht="18" customHeight="1" x14ac:dyDescent="0.3">
      <c r="A190" s="359">
        <v>186</v>
      </c>
      <c r="B190" s="769"/>
      <c r="C190" s="139" t="s">
        <v>635</v>
      </c>
      <c r="D190" s="140">
        <v>25</v>
      </c>
      <c r="E190" s="140">
        <v>11</v>
      </c>
      <c r="F190" s="140">
        <v>36</v>
      </c>
      <c r="G190" s="140"/>
      <c r="H190" s="140"/>
      <c r="I190" s="140"/>
      <c r="J190" s="140">
        <v>89</v>
      </c>
      <c r="K190" s="140">
        <v>106</v>
      </c>
      <c r="L190" s="140">
        <v>195</v>
      </c>
    </row>
    <row r="191" spans="1:12" ht="18" customHeight="1" x14ac:dyDescent="0.3">
      <c r="A191" s="359">
        <v>187</v>
      </c>
      <c r="B191" s="769"/>
      <c r="C191" s="139" t="s">
        <v>636</v>
      </c>
      <c r="D191" s="140">
        <v>7</v>
      </c>
      <c r="E191" s="140">
        <v>4</v>
      </c>
      <c r="F191" s="140">
        <v>11</v>
      </c>
      <c r="G191" s="140"/>
      <c r="H191" s="140"/>
      <c r="I191" s="140"/>
      <c r="J191" s="140">
        <v>16</v>
      </c>
      <c r="K191" s="140">
        <v>6</v>
      </c>
      <c r="L191" s="140">
        <v>22</v>
      </c>
    </row>
    <row r="192" spans="1:12" ht="18" customHeight="1" x14ac:dyDescent="0.3">
      <c r="A192" s="359">
        <v>188</v>
      </c>
      <c r="B192" s="769"/>
      <c r="C192" s="139" t="s">
        <v>488</v>
      </c>
      <c r="D192" s="140">
        <v>243</v>
      </c>
      <c r="E192" s="140">
        <v>243</v>
      </c>
      <c r="F192" s="140">
        <v>486</v>
      </c>
      <c r="G192" s="140"/>
      <c r="H192" s="140"/>
      <c r="I192" s="140"/>
      <c r="J192" s="140">
        <v>1012</v>
      </c>
      <c r="K192" s="140">
        <v>2436</v>
      </c>
      <c r="L192" s="140">
        <v>3448</v>
      </c>
    </row>
    <row r="193" spans="1:12" ht="18" customHeight="1" x14ac:dyDescent="0.3">
      <c r="A193" s="359">
        <v>189</v>
      </c>
      <c r="B193" s="769"/>
      <c r="C193" s="139" t="s">
        <v>489</v>
      </c>
      <c r="D193" s="140">
        <v>4</v>
      </c>
      <c r="E193" s="140">
        <v>4</v>
      </c>
      <c r="F193" s="140">
        <v>8</v>
      </c>
      <c r="G193" s="140"/>
      <c r="H193" s="140"/>
      <c r="I193" s="140"/>
      <c r="J193" s="140">
        <v>44</v>
      </c>
      <c r="K193" s="140">
        <v>18</v>
      </c>
      <c r="L193" s="140">
        <v>62</v>
      </c>
    </row>
    <row r="194" spans="1:12" ht="18" customHeight="1" x14ac:dyDescent="0.3">
      <c r="A194" s="359">
        <v>190</v>
      </c>
      <c r="B194" s="769"/>
      <c r="C194" s="139" t="s">
        <v>490</v>
      </c>
      <c r="D194" s="140">
        <v>38</v>
      </c>
      <c r="E194" s="140">
        <v>36</v>
      </c>
      <c r="F194" s="140">
        <v>74</v>
      </c>
      <c r="G194" s="140"/>
      <c r="H194" s="140"/>
      <c r="I194" s="140"/>
      <c r="J194" s="140">
        <v>462</v>
      </c>
      <c r="K194" s="140">
        <v>917</v>
      </c>
      <c r="L194" s="140">
        <v>1379</v>
      </c>
    </row>
    <row r="195" spans="1:12" ht="18" customHeight="1" x14ac:dyDescent="0.3">
      <c r="A195" s="359">
        <v>191</v>
      </c>
      <c r="B195" s="769"/>
      <c r="C195" s="139" t="s">
        <v>637</v>
      </c>
      <c r="D195" s="140">
        <v>10</v>
      </c>
      <c r="E195" s="140">
        <v>31</v>
      </c>
      <c r="F195" s="140">
        <v>41</v>
      </c>
      <c r="G195" s="140"/>
      <c r="H195" s="140"/>
      <c r="I195" s="140"/>
      <c r="J195" s="140">
        <v>65</v>
      </c>
      <c r="K195" s="140">
        <v>103</v>
      </c>
      <c r="L195" s="140">
        <v>168</v>
      </c>
    </row>
    <row r="196" spans="1:12" ht="18" customHeight="1" x14ac:dyDescent="0.3">
      <c r="A196" s="359">
        <v>192</v>
      </c>
      <c r="B196" s="769"/>
      <c r="C196" s="139" t="s">
        <v>638</v>
      </c>
      <c r="D196" s="140">
        <v>3</v>
      </c>
      <c r="E196" s="140">
        <v>9</v>
      </c>
      <c r="F196" s="140">
        <v>12</v>
      </c>
      <c r="G196" s="140"/>
      <c r="H196" s="140"/>
      <c r="I196" s="140"/>
      <c r="J196" s="140">
        <v>100</v>
      </c>
      <c r="K196" s="140">
        <v>56</v>
      </c>
      <c r="L196" s="140">
        <v>156</v>
      </c>
    </row>
    <row r="197" spans="1:12" ht="18" customHeight="1" x14ac:dyDescent="0.3">
      <c r="A197" s="359">
        <v>193</v>
      </c>
      <c r="B197" s="769"/>
      <c r="C197" s="139" t="s">
        <v>478</v>
      </c>
      <c r="D197" s="140"/>
      <c r="E197" s="140"/>
      <c r="F197" s="140"/>
      <c r="G197" s="140"/>
      <c r="H197" s="140"/>
      <c r="I197" s="140"/>
      <c r="J197" s="140">
        <v>1050</v>
      </c>
      <c r="K197" s="140">
        <v>2106</v>
      </c>
      <c r="L197" s="140">
        <v>3156</v>
      </c>
    </row>
    <row r="198" spans="1:12" ht="18" customHeight="1" x14ac:dyDescent="0.3">
      <c r="A198" s="359">
        <v>194</v>
      </c>
      <c r="B198" s="769"/>
      <c r="C198" s="139" t="s">
        <v>639</v>
      </c>
      <c r="D198" s="140">
        <v>116</v>
      </c>
      <c r="E198" s="140">
        <v>226</v>
      </c>
      <c r="F198" s="140">
        <v>342</v>
      </c>
      <c r="G198" s="140">
        <v>1</v>
      </c>
      <c r="H198" s="140"/>
      <c r="I198" s="140">
        <v>1</v>
      </c>
      <c r="J198" s="140">
        <v>996</v>
      </c>
      <c r="K198" s="140">
        <v>2084</v>
      </c>
      <c r="L198" s="140">
        <v>3080</v>
      </c>
    </row>
    <row r="199" spans="1:12" ht="18" customHeight="1" x14ac:dyDescent="0.3">
      <c r="A199" s="359">
        <v>195</v>
      </c>
      <c r="B199" s="769"/>
      <c r="C199" s="139" t="s">
        <v>640</v>
      </c>
      <c r="D199" s="140">
        <v>122</v>
      </c>
      <c r="E199" s="140">
        <v>63</v>
      </c>
      <c r="F199" s="140">
        <v>185</v>
      </c>
      <c r="G199" s="140"/>
      <c r="H199" s="140"/>
      <c r="I199" s="140"/>
      <c r="J199" s="140">
        <v>106</v>
      </c>
      <c r="K199" s="140">
        <v>92</v>
      </c>
      <c r="L199" s="140">
        <v>198</v>
      </c>
    </row>
    <row r="200" spans="1:12" ht="18" customHeight="1" x14ac:dyDescent="0.3">
      <c r="A200" s="359">
        <v>196</v>
      </c>
      <c r="B200" s="769"/>
      <c r="C200" s="139" t="s">
        <v>641</v>
      </c>
      <c r="D200" s="140">
        <v>473</v>
      </c>
      <c r="E200" s="140">
        <v>198</v>
      </c>
      <c r="F200" s="140">
        <v>671</v>
      </c>
      <c r="G200" s="140"/>
      <c r="H200" s="140"/>
      <c r="I200" s="140"/>
      <c r="J200" s="140">
        <v>196</v>
      </c>
      <c r="K200" s="140">
        <v>123</v>
      </c>
      <c r="L200" s="140">
        <v>319</v>
      </c>
    </row>
    <row r="201" spans="1:12" ht="18" customHeight="1" x14ac:dyDescent="0.3">
      <c r="A201" s="359">
        <v>197</v>
      </c>
      <c r="B201" s="769"/>
      <c r="C201" s="139" t="s">
        <v>642</v>
      </c>
      <c r="D201" s="140">
        <v>52</v>
      </c>
      <c r="E201" s="140">
        <v>59</v>
      </c>
      <c r="F201" s="140">
        <v>111</v>
      </c>
      <c r="G201" s="140"/>
      <c r="H201" s="140"/>
      <c r="I201" s="140"/>
      <c r="J201" s="140">
        <v>129</v>
      </c>
      <c r="K201" s="140">
        <v>77</v>
      </c>
      <c r="L201" s="140">
        <v>206</v>
      </c>
    </row>
    <row r="202" spans="1:12" ht="18" customHeight="1" x14ac:dyDescent="0.3">
      <c r="A202" s="359">
        <v>198</v>
      </c>
      <c r="B202" s="769"/>
      <c r="C202" s="139" t="s">
        <v>113</v>
      </c>
      <c r="D202" s="140">
        <v>315</v>
      </c>
      <c r="E202" s="140">
        <v>1071</v>
      </c>
      <c r="F202" s="140">
        <v>1386</v>
      </c>
      <c r="G202" s="140">
        <v>1</v>
      </c>
      <c r="H202" s="140">
        <v>5</v>
      </c>
      <c r="I202" s="140">
        <v>6</v>
      </c>
      <c r="J202" s="140">
        <v>4067</v>
      </c>
      <c r="K202" s="140">
        <v>15076</v>
      </c>
      <c r="L202" s="140">
        <v>19143</v>
      </c>
    </row>
    <row r="203" spans="1:12" ht="18" customHeight="1" x14ac:dyDescent="0.3">
      <c r="A203" s="359">
        <v>199</v>
      </c>
      <c r="B203" s="769"/>
      <c r="C203" s="139" t="s">
        <v>492</v>
      </c>
      <c r="D203" s="140">
        <v>30</v>
      </c>
      <c r="E203" s="140">
        <v>33</v>
      </c>
      <c r="F203" s="140">
        <v>63</v>
      </c>
      <c r="G203" s="140"/>
      <c r="H203" s="140"/>
      <c r="I203" s="140"/>
      <c r="J203" s="140">
        <v>255</v>
      </c>
      <c r="K203" s="140">
        <v>612</v>
      </c>
      <c r="L203" s="140">
        <v>867</v>
      </c>
    </row>
    <row r="204" spans="1:12" ht="18" customHeight="1" x14ac:dyDescent="0.3">
      <c r="A204" s="359">
        <v>200</v>
      </c>
      <c r="B204" s="769"/>
      <c r="C204" s="139" t="s">
        <v>643</v>
      </c>
      <c r="D204" s="140">
        <v>258</v>
      </c>
      <c r="E204" s="140">
        <v>170</v>
      </c>
      <c r="F204" s="140">
        <v>428</v>
      </c>
      <c r="G204" s="140"/>
      <c r="H204" s="140"/>
      <c r="I204" s="140"/>
      <c r="J204" s="140">
        <v>166</v>
      </c>
      <c r="K204" s="140">
        <v>135</v>
      </c>
      <c r="L204" s="140">
        <v>301</v>
      </c>
    </row>
    <row r="205" spans="1:12" ht="18" customHeight="1" x14ac:dyDescent="0.3">
      <c r="A205" s="359">
        <v>201</v>
      </c>
      <c r="B205" s="769"/>
      <c r="C205" s="139" t="s">
        <v>493</v>
      </c>
      <c r="D205" s="140">
        <v>10</v>
      </c>
      <c r="E205" s="140">
        <v>14</v>
      </c>
      <c r="F205" s="140">
        <v>24</v>
      </c>
      <c r="G205" s="140"/>
      <c r="H205" s="140"/>
      <c r="I205" s="140"/>
      <c r="J205" s="140">
        <v>1684</v>
      </c>
      <c r="K205" s="140">
        <v>3743</v>
      </c>
      <c r="L205" s="140">
        <v>5427</v>
      </c>
    </row>
    <row r="206" spans="1:12" ht="18" customHeight="1" x14ac:dyDescent="0.3">
      <c r="A206" s="359">
        <v>202</v>
      </c>
      <c r="B206" s="769"/>
      <c r="C206" s="139" t="s">
        <v>644</v>
      </c>
      <c r="D206" s="140">
        <v>6</v>
      </c>
      <c r="E206" s="140">
        <v>1</v>
      </c>
      <c r="F206" s="140">
        <v>7</v>
      </c>
      <c r="G206" s="140"/>
      <c r="H206" s="140"/>
      <c r="I206" s="140"/>
      <c r="J206" s="140">
        <v>5570</v>
      </c>
      <c r="K206" s="140">
        <v>412</v>
      </c>
      <c r="L206" s="140">
        <v>5982</v>
      </c>
    </row>
    <row r="207" spans="1:12" ht="18" customHeight="1" x14ac:dyDescent="0.3">
      <c r="A207" s="359">
        <v>203</v>
      </c>
      <c r="B207" s="769"/>
      <c r="C207" s="139" t="s">
        <v>494</v>
      </c>
      <c r="D207" s="140">
        <v>1624</v>
      </c>
      <c r="E207" s="140">
        <v>2036</v>
      </c>
      <c r="F207" s="140">
        <v>3660</v>
      </c>
      <c r="G207" s="140">
        <v>12</v>
      </c>
      <c r="H207" s="140">
        <v>60</v>
      </c>
      <c r="I207" s="140">
        <v>72</v>
      </c>
      <c r="J207" s="140">
        <v>8293</v>
      </c>
      <c r="K207" s="140">
        <v>8829</v>
      </c>
      <c r="L207" s="140">
        <v>17122</v>
      </c>
    </row>
    <row r="208" spans="1:12" ht="18" customHeight="1" x14ac:dyDescent="0.3">
      <c r="A208" s="359">
        <v>204</v>
      </c>
      <c r="B208" s="769"/>
      <c r="C208" s="139" t="s">
        <v>495</v>
      </c>
      <c r="D208" s="140">
        <v>25</v>
      </c>
      <c r="E208" s="140">
        <v>44</v>
      </c>
      <c r="F208" s="140">
        <v>69</v>
      </c>
      <c r="G208" s="140"/>
      <c r="H208" s="140"/>
      <c r="I208" s="140"/>
      <c r="J208" s="140">
        <v>1518</v>
      </c>
      <c r="K208" s="140">
        <v>3985</v>
      </c>
      <c r="L208" s="140">
        <v>5503</v>
      </c>
    </row>
    <row r="209" spans="1:12" ht="18" customHeight="1" x14ac:dyDescent="0.3">
      <c r="A209" s="359">
        <v>205</v>
      </c>
      <c r="B209" s="769"/>
      <c r="C209" s="139" t="s">
        <v>496</v>
      </c>
      <c r="D209" s="140">
        <v>127</v>
      </c>
      <c r="E209" s="140">
        <v>85</v>
      </c>
      <c r="F209" s="140">
        <v>212</v>
      </c>
      <c r="G209" s="140"/>
      <c r="H209" s="140"/>
      <c r="I209" s="140"/>
      <c r="J209" s="140">
        <v>3410</v>
      </c>
      <c r="K209" s="140">
        <v>4109</v>
      </c>
      <c r="L209" s="140">
        <v>7519</v>
      </c>
    </row>
    <row r="210" spans="1:12" ht="18" customHeight="1" x14ac:dyDescent="0.3">
      <c r="A210" s="359">
        <v>206</v>
      </c>
      <c r="B210" s="769"/>
      <c r="C210" s="139" t="s">
        <v>497</v>
      </c>
      <c r="D210" s="140">
        <v>3488</v>
      </c>
      <c r="E210" s="140">
        <v>4003</v>
      </c>
      <c r="F210" s="140">
        <v>7491</v>
      </c>
      <c r="G210" s="140"/>
      <c r="H210" s="140"/>
      <c r="I210" s="140"/>
      <c r="J210" s="140">
        <v>42236</v>
      </c>
      <c r="K210" s="140">
        <v>53218</v>
      </c>
      <c r="L210" s="140">
        <v>95454</v>
      </c>
    </row>
    <row r="211" spans="1:12" ht="18" customHeight="1" x14ac:dyDescent="0.3">
      <c r="A211" s="359">
        <v>207</v>
      </c>
      <c r="B211" s="769"/>
      <c r="C211" s="139" t="s">
        <v>645</v>
      </c>
      <c r="D211" s="140">
        <v>62</v>
      </c>
      <c r="E211" s="140">
        <v>146</v>
      </c>
      <c r="F211" s="140">
        <v>208</v>
      </c>
      <c r="G211" s="140"/>
      <c r="H211" s="140"/>
      <c r="I211" s="140"/>
      <c r="J211" s="140">
        <v>684</v>
      </c>
      <c r="K211" s="140">
        <v>790</v>
      </c>
      <c r="L211" s="140">
        <v>1474</v>
      </c>
    </row>
    <row r="212" spans="1:12" ht="18" customHeight="1" x14ac:dyDescent="0.3">
      <c r="A212" s="359">
        <v>208</v>
      </c>
      <c r="B212" s="769"/>
      <c r="C212" s="139" t="s">
        <v>498</v>
      </c>
      <c r="D212" s="140">
        <v>355</v>
      </c>
      <c r="E212" s="140">
        <v>477</v>
      </c>
      <c r="F212" s="140">
        <v>832</v>
      </c>
      <c r="G212" s="140"/>
      <c r="H212" s="140"/>
      <c r="I212" s="140"/>
      <c r="J212" s="140">
        <v>3671</v>
      </c>
      <c r="K212" s="140">
        <v>7859</v>
      </c>
      <c r="L212" s="140">
        <v>11530</v>
      </c>
    </row>
    <row r="213" spans="1:12" ht="18" customHeight="1" x14ac:dyDescent="0.3">
      <c r="A213" s="359">
        <v>209</v>
      </c>
      <c r="B213" s="769"/>
      <c r="C213" s="139" t="s">
        <v>646</v>
      </c>
      <c r="D213" s="140">
        <v>156</v>
      </c>
      <c r="E213" s="140">
        <v>117</v>
      </c>
      <c r="F213" s="140">
        <v>273</v>
      </c>
      <c r="G213" s="140"/>
      <c r="H213" s="140"/>
      <c r="I213" s="140"/>
      <c r="J213" s="140">
        <v>71</v>
      </c>
      <c r="K213" s="140">
        <v>48</v>
      </c>
      <c r="L213" s="140">
        <v>119</v>
      </c>
    </row>
    <row r="214" spans="1:12" ht="18" customHeight="1" x14ac:dyDescent="0.3">
      <c r="A214" s="359">
        <v>210</v>
      </c>
      <c r="B214" s="769"/>
      <c r="C214" s="139" t="s">
        <v>499</v>
      </c>
      <c r="D214" s="140"/>
      <c r="E214" s="140"/>
      <c r="F214" s="140"/>
      <c r="G214" s="140"/>
      <c r="H214" s="140"/>
      <c r="I214" s="140"/>
      <c r="J214" s="140">
        <v>17</v>
      </c>
      <c r="K214" s="140">
        <v>15</v>
      </c>
      <c r="L214" s="140">
        <v>32</v>
      </c>
    </row>
    <row r="215" spans="1:12" ht="18" customHeight="1" x14ac:dyDescent="0.3">
      <c r="A215" s="359">
        <v>211</v>
      </c>
      <c r="B215" s="769"/>
      <c r="C215" s="139" t="s">
        <v>647</v>
      </c>
      <c r="D215" s="140">
        <v>34</v>
      </c>
      <c r="E215" s="140">
        <v>103</v>
      </c>
      <c r="F215" s="140">
        <v>137</v>
      </c>
      <c r="G215" s="140">
        <v>5</v>
      </c>
      <c r="H215" s="140">
        <v>95</v>
      </c>
      <c r="I215" s="140">
        <v>100</v>
      </c>
      <c r="J215" s="140">
        <v>1329</v>
      </c>
      <c r="K215" s="140">
        <v>1907</v>
      </c>
      <c r="L215" s="140">
        <v>3236</v>
      </c>
    </row>
    <row r="216" spans="1:12" ht="18" customHeight="1" x14ac:dyDescent="0.3">
      <c r="A216" s="359">
        <v>212</v>
      </c>
      <c r="B216" s="769"/>
      <c r="C216" s="139" t="s">
        <v>500</v>
      </c>
      <c r="D216" s="140">
        <v>68</v>
      </c>
      <c r="E216" s="140">
        <v>67</v>
      </c>
      <c r="F216" s="140">
        <v>135</v>
      </c>
      <c r="G216" s="140"/>
      <c r="H216" s="140"/>
      <c r="I216" s="140"/>
      <c r="J216" s="140">
        <v>1961</v>
      </c>
      <c r="K216" s="140">
        <v>2759</v>
      </c>
      <c r="L216" s="140">
        <v>4720</v>
      </c>
    </row>
    <row r="217" spans="1:12" ht="18" customHeight="1" x14ac:dyDescent="0.3">
      <c r="A217" s="359">
        <v>213</v>
      </c>
      <c r="B217" s="769"/>
      <c r="C217" s="139" t="s">
        <v>648</v>
      </c>
      <c r="D217" s="140">
        <v>54</v>
      </c>
      <c r="E217" s="140">
        <v>11</v>
      </c>
      <c r="F217" s="140">
        <v>65</v>
      </c>
      <c r="G217" s="140"/>
      <c r="H217" s="140"/>
      <c r="I217" s="140"/>
      <c r="J217" s="140">
        <v>2996</v>
      </c>
      <c r="K217" s="140">
        <v>2488</v>
      </c>
      <c r="L217" s="140">
        <v>5484</v>
      </c>
    </row>
    <row r="218" spans="1:12" ht="18" customHeight="1" x14ac:dyDescent="0.3">
      <c r="A218" s="359">
        <v>214</v>
      </c>
      <c r="B218" s="769"/>
      <c r="C218" s="139" t="s">
        <v>649</v>
      </c>
      <c r="D218" s="140">
        <v>1</v>
      </c>
      <c r="E218" s="140">
        <v>1</v>
      </c>
      <c r="F218" s="140">
        <v>2</v>
      </c>
      <c r="G218" s="140"/>
      <c r="H218" s="140"/>
      <c r="I218" s="140"/>
      <c r="J218" s="140">
        <v>361</v>
      </c>
      <c r="K218" s="140">
        <v>391</v>
      </c>
      <c r="L218" s="140">
        <v>752</v>
      </c>
    </row>
    <row r="219" spans="1:12" ht="18" customHeight="1" x14ac:dyDescent="0.3">
      <c r="A219" s="359">
        <v>215</v>
      </c>
      <c r="B219" s="769"/>
      <c r="C219" s="139" t="s">
        <v>501</v>
      </c>
      <c r="D219" s="140">
        <v>1</v>
      </c>
      <c r="E219" s="140"/>
      <c r="F219" s="140">
        <v>1</v>
      </c>
      <c r="G219" s="140"/>
      <c r="H219" s="140"/>
      <c r="I219" s="140"/>
      <c r="J219" s="140">
        <v>150</v>
      </c>
      <c r="K219" s="140">
        <v>262</v>
      </c>
      <c r="L219" s="140">
        <v>412</v>
      </c>
    </row>
    <row r="220" spans="1:12" ht="18" customHeight="1" x14ac:dyDescent="0.3">
      <c r="A220" s="359">
        <v>216</v>
      </c>
      <c r="B220" s="769"/>
      <c r="C220" s="139" t="s">
        <v>650</v>
      </c>
      <c r="D220" s="140">
        <v>255</v>
      </c>
      <c r="E220" s="140">
        <v>17</v>
      </c>
      <c r="F220" s="140">
        <v>272</v>
      </c>
      <c r="G220" s="140"/>
      <c r="H220" s="140"/>
      <c r="I220" s="140"/>
      <c r="J220" s="140">
        <v>142</v>
      </c>
      <c r="K220" s="140">
        <v>32</v>
      </c>
      <c r="L220" s="140">
        <v>174</v>
      </c>
    </row>
    <row r="221" spans="1:12" ht="18" customHeight="1" x14ac:dyDescent="0.3">
      <c r="A221" s="359">
        <v>217</v>
      </c>
      <c r="B221" s="768" t="s">
        <v>502</v>
      </c>
      <c r="C221" s="769"/>
      <c r="D221" s="141">
        <v>10848</v>
      </c>
      <c r="E221" s="141">
        <v>12169</v>
      </c>
      <c r="F221" s="141">
        <v>23017</v>
      </c>
      <c r="G221" s="141">
        <v>30</v>
      </c>
      <c r="H221" s="141">
        <v>182</v>
      </c>
      <c r="I221" s="141">
        <v>212</v>
      </c>
      <c r="J221" s="141">
        <v>120843</v>
      </c>
      <c r="K221" s="141">
        <v>164656</v>
      </c>
      <c r="L221" s="141">
        <v>285499</v>
      </c>
    </row>
    <row r="222" spans="1:12" ht="18" customHeight="1" x14ac:dyDescent="0.3">
      <c r="A222" s="359">
        <v>218</v>
      </c>
      <c r="B222" s="138" t="s">
        <v>113</v>
      </c>
      <c r="C222" s="139" t="s">
        <v>113</v>
      </c>
      <c r="D222" s="140"/>
      <c r="E222" s="140"/>
      <c r="F222" s="140"/>
      <c r="G222" s="140"/>
      <c r="H222" s="140"/>
      <c r="I222" s="140"/>
      <c r="J222" s="140">
        <v>185</v>
      </c>
      <c r="K222" s="140">
        <v>462</v>
      </c>
      <c r="L222" s="140">
        <v>647</v>
      </c>
    </row>
    <row r="223" spans="1:12" ht="18" customHeight="1" x14ac:dyDescent="0.3">
      <c r="A223" s="359">
        <v>219</v>
      </c>
      <c r="B223" s="768" t="s">
        <v>651</v>
      </c>
      <c r="C223" s="769"/>
      <c r="D223" s="141"/>
      <c r="E223" s="141"/>
      <c r="F223" s="141"/>
      <c r="G223" s="141"/>
      <c r="H223" s="141"/>
      <c r="I223" s="141"/>
      <c r="J223" s="141">
        <v>185</v>
      </c>
      <c r="K223" s="141">
        <v>462</v>
      </c>
      <c r="L223" s="141">
        <v>647</v>
      </c>
    </row>
    <row r="224" spans="1:12" ht="18" customHeight="1" x14ac:dyDescent="0.3">
      <c r="A224" s="359">
        <v>220</v>
      </c>
      <c r="B224" s="768" t="s">
        <v>503</v>
      </c>
      <c r="C224" s="139" t="s">
        <v>652</v>
      </c>
      <c r="D224" s="140">
        <v>93</v>
      </c>
      <c r="E224" s="140">
        <v>6</v>
      </c>
      <c r="F224" s="140">
        <v>99</v>
      </c>
      <c r="G224" s="140"/>
      <c r="H224" s="140"/>
      <c r="I224" s="140"/>
      <c r="J224" s="140">
        <v>462</v>
      </c>
      <c r="K224" s="140">
        <v>63</v>
      </c>
      <c r="L224" s="140">
        <v>525</v>
      </c>
    </row>
    <row r="225" spans="1:12" ht="18" customHeight="1" x14ac:dyDescent="0.3">
      <c r="A225" s="359">
        <v>221</v>
      </c>
      <c r="B225" s="769"/>
      <c r="C225" s="139" t="s">
        <v>653</v>
      </c>
      <c r="D225" s="140"/>
      <c r="E225" s="140"/>
      <c r="F225" s="140"/>
      <c r="G225" s="140"/>
      <c r="H225" s="140"/>
      <c r="I225" s="140"/>
      <c r="J225" s="140">
        <v>13</v>
      </c>
      <c r="K225" s="140"/>
      <c r="L225" s="140">
        <v>13</v>
      </c>
    </row>
    <row r="226" spans="1:12" ht="18" customHeight="1" x14ac:dyDescent="0.3">
      <c r="A226" s="359">
        <v>222</v>
      </c>
      <c r="B226" s="769"/>
      <c r="C226" s="139" t="s">
        <v>503</v>
      </c>
      <c r="D226" s="140">
        <v>1252</v>
      </c>
      <c r="E226" s="140">
        <v>607</v>
      </c>
      <c r="F226" s="140">
        <v>1859</v>
      </c>
      <c r="G226" s="140"/>
      <c r="H226" s="140"/>
      <c r="I226" s="140"/>
      <c r="J226" s="140">
        <v>13940</v>
      </c>
      <c r="K226" s="140">
        <v>8540</v>
      </c>
      <c r="L226" s="140">
        <v>22480</v>
      </c>
    </row>
    <row r="227" spans="1:12" ht="18" customHeight="1" x14ac:dyDescent="0.3">
      <c r="A227" s="359">
        <v>223</v>
      </c>
      <c r="B227" s="769"/>
      <c r="C227" s="139" t="s">
        <v>654</v>
      </c>
      <c r="D227" s="140">
        <v>111</v>
      </c>
      <c r="E227" s="140">
        <v>37</v>
      </c>
      <c r="F227" s="140">
        <v>148</v>
      </c>
      <c r="G227" s="140"/>
      <c r="H227" s="140"/>
      <c r="I227" s="140"/>
      <c r="J227" s="140">
        <v>417</v>
      </c>
      <c r="K227" s="140">
        <v>100</v>
      </c>
      <c r="L227" s="140">
        <v>517</v>
      </c>
    </row>
    <row r="228" spans="1:12" ht="18" customHeight="1" x14ac:dyDescent="0.3">
      <c r="A228" s="359">
        <v>224</v>
      </c>
      <c r="B228" s="768" t="s">
        <v>655</v>
      </c>
      <c r="C228" s="769"/>
      <c r="D228" s="141">
        <v>1456</v>
      </c>
      <c r="E228" s="141">
        <v>650</v>
      </c>
      <c r="F228" s="141">
        <v>2106</v>
      </c>
      <c r="G228" s="141"/>
      <c r="H228" s="141"/>
      <c r="I228" s="141"/>
      <c r="J228" s="141">
        <v>14832</v>
      </c>
      <c r="K228" s="141">
        <v>8703</v>
      </c>
      <c r="L228" s="141">
        <v>23535</v>
      </c>
    </row>
    <row r="229" spans="1:12" ht="18" customHeight="1" x14ac:dyDescent="0.3">
      <c r="A229" s="359">
        <v>225</v>
      </c>
      <c r="B229" s="138" t="s">
        <v>504</v>
      </c>
      <c r="C229" s="139" t="s">
        <v>656</v>
      </c>
      <c r="D229" s="140"/>
      <c r="E229" s="140"/>
      <c r="F229" s="140"/>
      <c r="G229" s="140"/>
      <c r="H229" s="140"/>
      <c r="I229" s="140"/>
      <c r="J229" s="140">
        <v>1136</v>
      </c>
      <c r="K229" s="140">
        <v>1392</v>
      </c>
      <c r="L229" s="140">
        <v>2528</v>
      </c>
    </row>
    <row r="230" spans="1:12" ht="18" customHeight="1" x14ac:dyDescent="0.3">
      <c r="A230" s="359">
        <v>226</v>
      </c>
      <c r="B230" s="768" t="s">
        <v>657</v>
      </c>
      <c r="C230" s="769"/>
      <c r="D230" s="141"/>
      <c r="E230" s="141"/>
      <c r="F230" s="141"/>
      <c r="G230" s="141"/>
      <c r="H230" s="141"/>
      <c r="I230" s="141"/>
      <c r="J230" s="141">
        <v>1136</v>
      </c>
      <c r="K230" s="141">
        <v>1392</v>
      </c>
      <c r="L230" s="141">
        <v>2528</v>
      </c>
    </row>
    <row r="231" spans="1:12" ht="18" customHeight="1" x14ac:dyDescent="0.3">
      <c r="A231" s="359">
        <v>227</v>
      </c>
      <c r="B231" s="138" t="s">
        <v>505</v>
      </c>
      <c r="C231" s="139" t="s">
        <v>505</v>
      </c>
      <c r="D231" s="140">
        <v>82</v>
      </c>
      <c r="E231" s="140">
        <v>102</v>
      </c>
      <c r="F231" s="140">
        <v>184</v>
      </c>
      <c r="G231" s="140"/>
      <c r="H231" s="140"/>
      <c r="I231" s="140"/>
      <c r="J231" s="140">
        <v>269</v>
      </c>
      <c r="K231" s="140">
        <v>270</v>
      </c>
      <c r="L231" s="140">
        <v>539</v>
      </c>
    </row>
    <row r="232" spans="1:12" ht="18" customHeight="1" x14ac:dyDescent="0.3">
      <c r="A232" s="359">
        <v>228</v>
      </c>
      <c r="B232" s="768" t="s">
        <v>658</v>
      </c>
      <c r="C232" s="769"/>
      <c r="D232" s="141">
        <v>82</v>
      </c>
      <c r="E232" s="141">
        <v>102</v>
      </c>
      <c r="F232" s="141">
        <v>184</v>
      </c>
      <c r="G232" s="141"/>
      <c r="H232" s="141"/>
      <c r="I232" s="141"/>
      <c r="J232" s="141">
        <v>269</v>
      </c>
      <c r="K232" s="141">
        <v>270</v>
      </c>
      <c r="L232" s="141">
        <v>539</v>
      </c>
    </row>
    <row r="233" spans="1:12" ht="18" customHeight="1" x14ac:dyDescent="0.3">
      <c r="A233" s="359">
        <v>229</v>
      </c>
      <c r="B233" s="768" t="s">
        <v>506</v>
      </c>
      <c r="C233" s="139" t="s">
        <v>506</v>
      </c>
      <c r="D233" s="140">
        <v>1848</v>
      </c>
      <c r="E233" s="140">
        <v>645</v>
      </c>
      <c r="F233" s="140">
        <v>2493</v>
      </c>
      <c r="G233" s="140"/>
      <c r="H233" s="140">
        <v>2</v>
      </c>
      <c r="I233" s="140">
        <v>2</v>
      </c>
      <c r="J233" s="140">
        <v>9043</v>
      </c>
      <c r="K233" s="140">
        <v>4328</v>
      </c>
      <c r="L233" s="140">
        <v>13371</v>
      </c>
    </row>
    <row r="234" spans="1:12" ht="18" customHeight="1" x14ac:dyDescent="0.3">
      <c r="A234" s="359">
        <v>230</v>
      </c>
      <c r="B234" s="769"/>
      <c r="C234" s="139" t="s">
        <v>524</v>
      </c>
      <c r="D234" s="140">
        <v>170</v>
      </c>
      <c r="E234" s="140">
        <v>153</v>
      </c>
      <c r="F234" s="140">
        <v>323</v>
      </c>
      <c r="G234" s="140"/>
      <c r="H234" s="140"/>
      <c r="I234" s="140"/>
      <c r="J234" s="140">
        <v>158</v>
      </c>
      <c r="K234" s="140">
        <v>130</v>
      </c>
      <c r="L234" s="140">
        <v>288</v>
      </c>
    </row>
    <row r="235" spans="1:12" ht="18" customHeight="1" x14ac:dyDescent="0.3">
      <c r="A235" s="359">
        <v>231</v>
      </c>
      <c r="B235" s="768" t="s">
        <v>659</v>
      </c>
      <c r="C235" s="769"/>
      <c r="D235" s="141">
        <v>2018</v>
      </c>
      <c r="E235" s="141">
        <v>798</v>
      </c>
      <c r="F235" s="141">
        <v>2816</v>
      </c>
      <c r="G235" s="141"/>
      <c r="H235" s="141">
        <v>2</v>
      </c>
      <c r="I235" s="141">
        <v>2</v>
      </c>
      <c r="J235" s="141">
        <v>9201</v>
      </c>
      <c r="K235" s="141">
        <v>4458</v>
      </c>
      <c r="L235" s="141">
        <v>13659</v>
      </c>
    </row>
    <row r="236" spans="1:12" ht="28" x14ac:dyDescent="0.3">
      <c r="A236" s="359">
        <v>232</v>
      </c>
      <c r="B236" s="138" t="s">
        <v>507</v>
      </c>
      <c r="C236" s="139" t="s">
        <v>507</v>
      </c>
      <c r="D236" s="140"/>
      <c r="E236" s="140"/>
      <c r="F236" s="140"/>
      <c r="G236" s="140"/>
      <c r="H236" s="140"/>
      <c r="I236" s="140"/>
      <c r="J236" s="140">
        <v>240</v>
      </c>
      <c r="K236" s="140">
        <v>125</v>
      </c>
      <c r="L236" s="140">
        <v>365</v>
      </c>
    </row>
    <row r="237" spans="1:12" ht="18" customHeight="1" x14ac:dyDescent="0.3">
      <c r="A237" s="359">
        <v>233</v>
      </c>
      <c r="B237" s="768" t="s">
        <v>660</v>
      </c>
      <c r="C237" s="769"/>
      <c r="D237" s="141"/>
      <c r="E237" s="141"/>
      <c r="F237" s="141"/>
      <c r="G237" s="141"/>
      <c r="H237" s="141"/>
      <c r="I237" s="141"/>
      <c r="J237" s="141">
        <v>240</v>
      </c>
      <c r="K237" s="141">
        <v>125</v>
      </c>
      <c r="L237" s="141">
        <v>365</v>
      </c>
    </row>
    <row r="238" spans="1:12" ht="18" customHeight="1" x14ac:dyDescent="0.3">
      <c r="A238" s="359">
        <v>234</v>
      </c>
      <c r="B238" s="138" t="s">
        <v>661</v>
      </c>
      <c r="C238" s="139" t="s">
        <v>567</v>
      </c>
      <c r="D238" s="140"/>
      <c r="E238" s="140"/>
      <c r="F238" s="140"/>
      <c r="G238" s="140"/>
      <c r="H238" s="140"/>
      <c r="I238" s="140"/>
      <c r="J238" s="140">
        <v>550</v>
      </c>
      <c r="K238" s="140">
        <v>1997</v>
      </c>
      <c r="L238" s="140">
        <v>2547</v>
      </c>
    </row>
    <row r="239" spans="1:12" ht="18" customHeight="1" x14ac:dyDescent="0.3">
      <c r="A239" s="359">
        <v>235</v>
      </c>
      <c r="B239" s="768" t="s">
        <v>662</v>
      </c>
      <c r="C239" s="769"/>
      <c r="D239" s="141"/>
      <c r="E239" s="141"/>
      <c r="F239" s="141"/>
      <c r="G239" s="141"/>
      <c r="H239" s="141"/>
      <c r="I239" s="141"/>
      <c r="J239" s="141">
        <v>550</v>
      </c>
      <c r="K239" s="141">
        <v>1997</v>
      </c>
      <c r="L239" s="141">
        <v>2547</v>
      </c>
    </row>
    <row r="240" spans="1:12" ht="18" customHeight="1" x14ac:dyDescent="0.3">
      <c r="A240" s="359">
        <v>236</v>
      </c>
      <c r="B240" s="138" t="s">
        <v>508</v>
      </c>
      <c r="C240" s="139" t="s">
        <v>508</v>
      </c>
      <c r="D240" s="140"/>
      <c r="E240" s="140"/>
      <c r="F240" s="140"/>
      <c r="G240" s="140"/>
      <c r="H240" s="140"/>
      <c r="I240" s="140"/>
      <c r="J240" s="140">
        <v>2</v>
      </c>
      <c r="K240" s="140">
        <v>16</v>
      </c>
      <c r="L240" s="140">
        <v>18</v>
      </c>
    </row>
    <row r="241" spans="1:12" ht="18" customHeight="1" x14ac:dyDescent="0.3">
      <c r="A241" s="359">
        <v>237</v>
      </c>
      <c r="B241" s="768" t="s">
        <v>663</v>
      </c>
      <c r="C241" s="769"/>
      <c r="D241" s="141"/>
      <c r="E241" s="141"/>
      <c r="F241" s="141"/>
      <c r="G241" s="141"/>
      <c r="H241" s="141"/>
      <c r="I241" s="141"/>
      <c r="J241" s="141">
        <v>2</v>
      </c>
      <c r="K241" s="141">
        <v>16</v>
      </c>
      <c r="L241" s="141">
        <v>18</v>
      </c>
    </row>
    <row r="242" spans="1:12" ht="18" customHeight="1" x14ac:dyDescent="0.3">
      <c r="A242" s="359">
        <v>238</v>
      </c>
      <c r="B242" s="768" t="s">
        <v>509</v>
      </c>
      <c r="C242" s="139" t="s">
        <v>664</v>
      </c>
      <c r="D242" s="140">
        <v>87</v>
      </c>
      <c r="E242" s="140">
        <v>49</v>
      </c>
      <c r="F242" s="140">
        <v>136</v>
      </c>
      <c r="G242" s="140"/>
      <c r="H242" s="140"/>
      <c r="I242" s="140"/>
      <c r="J242" s="140">
        <v>361</v>
      </c>
      <c r="K242" s="140">
        <v>231</v>
      </c>
      <c r="L242" s="140">
        <v>592</v>
      </c>
    </row>
    <row r="243" spans="1:12" ht="18" customHeight="1" x14ac:dyDescent="0.3">
      <c r="A243" s="359">
        <v>239</v>
      </c>
      <c r="B243" s="769"/>
      <c r="C243" s="139" t="s">
        <v>665</v>
      </c>
      <c r="D243" s="140">
        <v>5</v>
      </c>
      <c r="E243" s="140"/>
      <c r="F243" s="140">
        <v>5</v>
      </c>
      <c r="G243" s="140"/>
      <c r="H243" s="140"/>
      <c r="I243" s="140"/>
      <c r="J243" s="140">
        <v>123</v>
      </c>
      <c r="K243" s="140">
        <v>38</v>
      </c>
      <c r="L243" s="140">
        <v>161</v>
      </c>
    </row>
    <row r="244" spans="1:12" ht="18" customHeight="1" x14ac:dyDescent="0.3">
      <c r="A244" s="359">
        <v>240</v>
      </c>
      <c r="B244" s="769"/>
      <c r="C244" s="139" t="s">
        <v>666</v>
      </c>
      <c r="D244" s="140">
        <v>111</v>
      </c>
      <c r="E244" s="140">
        <v>52</v>
      </c>
      <c r="F244" s="140">
        <v>163</v>
      </c>
      <c r="G244" s="140"/>
      <c r="H244" s="140"/>
      <c r="I244" s="140"/>
      <c r="J244" s="140">
        <v>1150</v>
      </c>
      <c r="K244" s="140">
        <v>1088</v>
      </c>
      <c r="L244" s="140">
        <v>2238</v>
      </c>
    </row>
    <row r="245" spans="1:12" ht="18" customHeight="1" x14ac:dyDescent="0.3">
      <c r="A245" s="359">
        <v>241</v>
      </c>
      <c r="B245" s="769"/>
      <c r="C245" s="139" t="s">
        <v>667</v>
      </c>
      <c r="D245" s="140">
        <v>27</v>
      </c>
      <c r="E245" s="140">
        <v>27</v>
      </c>
      <c r="F245" s="140">
        <v>54</v>
      </c>
      <c r="G245" s="140"/>
      <c r="H245" s="140"/>
      <c r="I245" s="140"/>
      <c r="J245" s="140">
        <v>146</v>
      </c>
      <c r="K245" s="140">
        <v>165</v>
      </c>
      <c r="L245" s="140">
        <v>311</v>
      </c>
    </row>
    <row r="246" spans="1:12" ht="18" customHeight="1" x14ac:dyDescent="0.3">
      <c r="A246" s="359">
        <v>242</v>
      </c>
      <c r="B246" s="769"/>
      <c r="C246" s="139" t="s">
        <v>509</v>
      </c>
      <c r="D246" s="140">
        <v>193</v>
      </c>
      <c r="E246" s="140">
        <v>120</v>
      </c>
      <c r="F246" s="140">
        <v>313</v>
      </c>
      <c r="G246" s="140"/>
      <c r="H246" s="140"/>
      <c r="I246" s="140"/>
      <c r="J246" s="140">
        <v>3289</v>
      </c>
      <c r="K246" s="140">
        <v>2435</v>
      </c>
      <c r="L246" s="140">
        <v>5724</v>
      </c>
    </row>
    <row r="247" spans="1:12" ht="18" customHeight="1" x14ac:dyDescent="0.3">
      <c r="A247" s="359">
        <v>243</v>
      </c>
      <c r="B247" s="769"/>
      <c r="C247" s="139" t="s">
        <v>668</v>
      </c>
      <c r="D247" s="140">
        <v>53</v>
      </c>
      <c r="E247" s="140">
        <v>35</v>
      </c>
      <c r="F247" s="140">
        <v>88</v>
      </c>
      <c r="G247" s="140"/>
      <c r="H247" s="140"/>
      <c r="I247" s="140"/>
      <c r="J247" s="140">
        <v>406</v>
      </c>
      <c r="K247" s="140">
        <v>302</v>
      </c>
      <c r="L247" s="140">
        <v>708</v>
      </c>
    </row>
    <row r="248" spans="1:12" ht="18" customHeight="1" x14ac:dyDescent="0.3">
      <c r="A248" s="359">
        <v>244</v>
      </c>
      <c r="B248" s="768" t="s">
        <v>669</v>
      </c>
      <c r="C248" s="769"/>
      <c r="D248" s="141">
        <v>476</v>
      </c>
      <c r="E248" s="141">
        <v>283</v>
      </c>
      <c r="F248" s="141">
        <v>759</v>
      </c>
      <c r="G248" s="141"/>
      <c r="H248" s="141"/>
      <c r="I248" s="141"/>
      <c r="J248" s="141">
        <v>5475</v>
      </c>
      <c r="K248" s="141">
        <v>4259</v>
      </c>
      <c r="L248" s="141">
        <v>9734</v>
      </c>
    </row>
    <row r="249" spans="1:12" ht="18" customHeight="1" x14ac:dyDescent="0.3">
      <c r="A249" s="359">
        <v>245</v>
      </c>
      <c r="B249" s="138" t="s">
        <v>510</v>
      </c>
      <c r="C249" s="139" t="s">
        <v>670</v>
      </c>
      <c r="D249" s="140"/>
      <c r="E249" s="140"/>
      <c r="F249" s="140"/>
      <c r="G249" s="140"/>
      <c r="H249" s="140"/>
      <c r="I249" s="140"/>
      <c r="J249" s="140"/>
      <c r="K249" s="140">
        <v>20</v>
      </c>
      <c r="L249" s="140">
        <v>20</v>
      </c>
    </row>
    <row r="250" spans="1:12" ht="18" customHeight="1" x14ac:dyDescent="0.3">
      <c r="A250" s="359">
        <v>246</v>
      </c>
      <c r="B250" s="768" t="s">
        <v>671</v>
      </c>
      <c r="C250" s="769"/>
      <c r="D250" s="141"/>
      <c r="E250" s="141"/>
      <c r="F250" s="141"/>
      <c r="G250" s="141"/>
      <c r="H250" s="141"/>
      <c r="I250" s="141"/>
      <c r="J250" s="141"/>
      <c r="K250" s="141">
        <v>20</v>
      </c>
      <c r="L250" s="141">
        <v>20</v>
      </c>
    </row>
    <row r="251" spans="1:12" ht="28" x14ac:dyDescent="0.3">
      <c r="A251" s="359">
        <v>247</v>
      </c>
      <c r="B251" s="768" t="s">
        <v>72</v>
      </c>
      <c r="C251" s="139" t="s">
        <v>672</v>
      </c>
      <c r="D251" s="140"/>
      <c r="E251" s="140"/>
      <c r="F251" s="140"/>
      <c r="G251" s="140"/>
      <c r="H251" s="140"/>
      <c r="I251" s="140"/>
      <c r="J251" s="140">
        <v>2110</v>
      </c>
      <c r="K251" s="140">
        <v>725</v>
      </c>
      <c r="L251" s="140">
        <v>2835</v>
      </c>
    </row>
    <row r="252" spans="1:12" ht="18" customHeight="1" x14ac:dyDescent="0.3">
      <c r="A252" s="359">
        <v>248</v>
      </c>
      <c r="B252" s="769"/>
      <c r="C252" s="139" t="s">
        <v>481</v>
      </c>
      <c r="D252" s="140">
        <v>260</v>
      </c>
      <c r="E252" s="140">
        <v>420</v>
      </c>
      <c r="F252" s="140">
        <v>680</v>
      </c>
      <c r="G252" s="140"/>
      <c r="H252" s="140"/>
      <c r="I252" s="140"/>
      <c r="J252" s="140">
        <v>2205</v>
      </c>
      <c r="K252" s="140">
        <v>4842</v>
      </c>
      <c r="L252" s="140">
        <v>7047</v>
      </c>
    </row>
    <row r="253" spans="1:12" ht="18" customHeight="1" x14ac:dyDescent="0.3">
      <c r="A253" s="359">
        <v>249</v>
      </c>
      <c r="B253" s="769"/>
      <c r="C253" s="139" t="s">
        <v>673</v>
      </c>
      <c r="D253" s="140">
        <v>1307</v>
      </c>
      <c r="E253" s="140">
        <v>2283</v>
      </c>
      <c r="F253" s="140">
        <v>3590</v>
      </c>
      <c r="G253" s="140">
        <v>1</v>
      </c>
      <c r="H253" s="140">
        <v>2</v>
      </c>
      <c r="I253" s="140">
        <v>3</v>
      </c>
      <c r="J253" s="140">
        <v>7782</v>
      </c>
      <c r="K253" s="140">
        <v>15692</v>
      </c>
      <c r="L253" s="140">
        <v>23474</v>
      </c>
    </row>
    <row r="254" spans="1:12" ht="18" customHeight="1" x14ac:dyDescent="0.3">
      <c r="A254" s="359">
        <v>250</v>
      </c>
      <c r="B254" s="769"/>
      <c r="C254" s="139" t="s">
        <v>630</v>
      </c>
      <c r="D254" s="140">
        <v>1150</v>
      </c>
      <c r="E254" s="140">
        <v>2186</v>
      </c>
      <c r="F254" s="140">
        <v>3336</v>
      </c>
      <c r="G254" s="140">
        <v>3</v>
      </c>
      <c r="H254" s="140">
        <v>9</v>
      </c>
      <c r="I254" s="140">
        <v>12</v>
      </c>
      <c r="J254" s="140">
        <v>5007</v>
      </c>
      <c r="K254" s="140">
        <v>13332</v>
      </c>
      <c r="L254" s="140">
        <v>18339</v>
      </c>
    </row>
    <row r="255" spans="1:12" ht="18" customHeight="1" x14ac:dyDescent="0.3">
      <c r="A255" s="359">
        <v>251</v>
      </c>
      <c r="B255" s="769"/>
      <c r="C255" s="139" t="s">
        <v>674</v>
      </c>
      <c r="D255" s="140">
        <v>2006</v>
      </c>
      <c r="E255" s="140">
        <v>3302</v>
      </c>
      <c r="F255" s="140">
        <v>5308</v>
      </c>
      <c r="G255" s="140">
        <v>30</v>
      </c>
      <c r="H255" s="140">
        <v>28</v>
      </c>
      <c r="I255" s="140">
        <v>58</v>
      </c>
      <c r="J255" s="140">
        <v>21325</v>
      </c>
      <c r="K255" s="140">
        <v>56923</v>
      </c>
      <c r="L255" s="140">
        <v>78248</v>
      </c>
    </row>
    <row r="256" spans="1:12" ht="18" customHeight="1" x14ac:dyDescent="0.3">
      <c r="A256" s="359">
        <v>252</v>
      </c>
      <c r="B256" s="769"/>
      <c r="C256" s="139" t="s">
        <v>675</v>
      </c>
      <c r="D256" s="140">
        <v>7053</v>
      </c>
      <c r="E256" s="140">
        <v>7383</v>
      </c>
      <c r="F256" s="140">
        <v>14436</v>
      </c>
      <c r="G256" s="140">
        <v>5</v>
      </c>
      <c r="H256" s="140">
        <v>7</v>
      </c>
      <c r="I256" s="140">
        <v>12</v>
      </c>
      <c r="J256" s="140">
        <v>81772</v>
      </c>
      <c r="K256" s="140">
        <v>99318</v>
      </c>
      <c r="L256" s="140">
        <v>181090</v>
      </c>
    </row>
    <row r="257" spans="1:12" ht="18" customHeight="1" x14ac:dyDescent="0.3">
      <c r="A257" s="359">
        <v>253</v>
      </c>
      <c r="B257" s="769"/>
      <c r="C257" s="139" t="s">
        <v>590</v>
      </c>
      <c r="D257" s="140"/>
      <c r="E257" s="140"/>
      <c r="F257" s="140"/>
      <c r="G257" s="140"/>
      <c r="H257" s="140"/>
      <c r="I257" s="140"/>
      <c r="J257" s="140">
        <v>647</v>
      </c>
      <c r="K257" s="140">
        <v>620</v>
      </c>
      <c r="L257" s="140">
        <v>1267</v>
      </c>
    </row>
    <row r="258" spans="1:12" ht="18" customHeight="1" x14ac:dyDescent="0.3">
      <c r="A258" s="359">
        <v>254</v>
      </c>
      <c r="B258" s="769"/>
      <c r="C258" s="139" t="s">
        <v>592</v>
      </c>
      <c r="D258" s="140"/>
      <c r="E258" s="140"/>
      <c r="F258" s="140"/>
      <c r="G258" s="140"/>
      <c r="H258" s="140"/>
      <c r="I258" s="140"/>
      <c r="J258" s="140">
        <v>743</v>
      </c>
      <c r="K258" s="140">
        <v>1080</v>
      </c>
      <c r="L258" s="140">
        <v>1823</v>
      </c>
    </row>
    <row r="259" spans="1:12" ht="18" customHeight="1" x14ac:dyDescent="0.3">
      <c r="A259" s="359">
        <v>255</v>
      </c>
      <c r="B259" s="769"/>
      <c r="C259" s="139" t="s">
        <v>676</v>
      </c>
      <c r="D259" s="140">
        <v>35</v>
      </c>
      <c r="E259" s="140">
        <v>66</v>
      </c>
      <c r="F259" s="140">
        <v>101</v>
      </c>
      <c r="G259" s="140"/>
      <c r="H259" s="140"/>
      <c r="I259" s="140"/>
      <c r="J259" s="140">
        <v>7</v>
      </c>
      <c r="K259" s="140">
        <v>25</v>
      </c>
      <c r="L259" s="140">
        <v>32</v>
      </c>
    </row>
    <row r="260" spans="1:12" ht="18" customHeight="1" x14ac:dyDescent="0.3">
      <c r="A260" s="359">
        <v>256</v>
      </c>
      <c r="B260" s="769"/>
      <c r="C260" s="139" t="s">
        <v>677</v>
      </c>
      <c r="D260" s="140">
        <v>201</v>
      </c>
      <c r="E260" s="140">
        <v>199</v>
      </c>
      <c r="F260" s="140">
        <v>400</v>
      </c>
      <c r="G260" s="140"/>
      <c r="H260" s="140">
        <v>1</v>
      </c>
      <c r="I260" s="140">
        <v>1</v>
      </c>
      <c r="J260" s="140">
        <v>1913</v>
      </c>
      <c r="K260" s="140">
        <v>1401</v>
      </c>
      <c r="L260" s="140">
        <v>3314</v>
      </c>
    </row>
    <row r="261" spans="1:12" ht="18" customHeight="1" x14ac:dyDescent="0.3">
      <c r="A261" s="359">
        <v>257</v>
      </c>
      <c r="B261" s="769"/>
      <c r="C261" s="139" t="s">
        <v>678</v>
      </c>
      <c r="D261" s="140">
        <v>925</v>
      </c>
      <c r="E261" s="140">
        <v>1150</v>
      </c>
      <c r="F261" s="140">
        <v>2075</v>
      </c>
      <c r="G261" s="140">
        <v>2</v>
      </c>
      <c r="H261" s="140"/>
      <c r="I261" s="140">
        <v>2</v>
      </c>
      <c r="J261" s="140">
        <v>7348</v>
      </c>
      <c r="K261" s="140">
        <v>11800</v>
      </c>
      <c r="L261" s="140">
        <v>19148</v>
      </c>
    </row>
    <row r="262" spans="1:12" ht="18" customHeight="1" x14ac:dyDescent="0.3">
      <c r="A262" s="359">
        <v>258</v>
      </c>
      <c r="B262" s="769"/>
      <c r="C262" s="139" t="s">
        <v>679</v>
      </c>
      <c r="D262" s="140">
        <v>57</v>
      </c>
      <c r="E262" s="140">
        <v>108</v>
      </c>
      <c r="F262" s="140">
        <v>165</v>
      </c>
      <c r="G262" s="140"/>
      <c r="H262" s="140">
        <v>1</v>
      </c>
      <c r="I262" s="140">
        <v>1</v>
      </c>
      <c r="J262" s="140">
        <v>362</v>
      </c>
      <c r="K262" s="140">
        <v>956</v>
      </c>
      <c r="L262" s="140">
        <v>1318</v>
      </c>
    </row>
    <row r="263" spans="1:12" ht="18" customHeight="1" x14ac:dyDescent="0.3">
      <c r="A263" s="359">
        <v>259</v>
      </c>
      <c r="B263" s="769"/>
      <c r="C263" s="139" t="s">
        <v>680</v>
      </c>
      <c r="D263" s="140">
        <v>912</v>
      </c>
      <c r="E263" s="140">
        <v>553</v>
      </c>
      <c r="F263" s="140">
        <v>1465</v>
      </c>
      <c r="G263" s="140">
        <v>7</v>
      </c>
      <c r="H263" s="140">
        <v>2</v>
      </c>
      <c r="I263" s="140">
        <v>9</v>
      </c>
      <c r="J263" s="140">
        <v>4515</v>
      </c>
      <c r="K263" s="140">
        <v>4142</v>
      </c>
      <c r="L263" s="140">
        <v>8657</v>
      </c>
    </row>
    <row r="264" spans="1:12" ht="18" customHeight="1" x14ac:dyDescent="0.3">
      <c r="A264" s="359">
        <v>260</v>
      </c>
      <c r="B264" s="769"/>
      <c r="C264" s="139" t="s">
        <v>681</v>
      </c>
      <c r="D264" s="140">
        <v>265</v>
      </c>
      <c r="E264" s="140">
        <v>92</v>
      </c>
      <c r="F264" s="140">
        <v>357</v>
      </c>
      <c r="G264" s="140"/>
      <c r="H264" s="140"/>
      <c r="I264" s="140"/>
      <c r="J264" s="140">
        <v>643</v>
      </c>
      <c r="K264" s="140">
        <v>460</v>
      </c>
      <c r="L264" s="140">
        <v>1103</v>
      </c>
    </row>
    <row r="265" spans="1:12" ht="18" customHeight="1" x14ac:dyDescent="0.3">
      <c r="A265" s="359">
        <v>261</v>
      </c>
      <c r="B265" s="769"/>
      <c r="C265" s="139" t="s">
        <v>682</v>
      </c>
      <c r="D265" s="140">
        <v>1169</v>
      </c>
      <c r="E265" s="140">
        <v>1975</v>
      </c>
      <c r="F265" s="140">
        <v>3144</v>
      </c>
      <c r="G265" s="140">
        <v>3</v>
      </c>
      <c r="H265" s="140">
        <v>9</v>
      </c>
      <c r="I265" s="140">
        <v>12</v>
      </c>
      <c r="J265" s="140">
        <v>6406</v>
      </c>
      <c r="K265" s="140">
        <v>15142</v>
      </c>
      <c r="L265" s="140">
        <v>21548</v>
      </c>
    </row>
    <row r="266" spans="1:12" ht="18" customHeight="1" x14ac:dyDescent="0.3">
      <c r="A266" s="359">
        <v>262</v>
      </c>
      <c r="B266" s="769"/>
      <c r="C266" s="139" t="s">
        <v>683</v>
      </c>
      <c r="D266" s="140">
        <v>4566</v>
      </c>
      <c r="E266" s="140">
        <v>4996</v>
      </c>
      <c r="F266" s="140">
        <v>9562</v>
      </c>
      <c r="G266" s="140">
        <v>45</v>
      </c>
      <c r="H266" s="140">
        <v>59</v>
      </c>
      <c r="I266" s="140">
        <v>104</v>
      </c>
      <c r="J266" s="140">
        <v>68286</v>
      </c>
      <c r="K266" s="140">
        <v>92971</v>
      </c>
      <c r="L266" s="140">
        <v>161257</v>
      </c>
    </row>
    <row r="267" spans="1:12" ht="18" customHeight="1" x14ac:dyDescent="0.3">
      <c r="A267" s="359">
        <v>263</v>
      </c>
      <c r="B267" s="769"/>
      <c r="C267" s="139" t="s">
        <v>639</v>
      </c>
      <c r="D267" s="140">
        <v>336</v>
      </c>
      <c r="E267" s="140">
        <v>706</v>
      </c>
      <c r="F267" s="140">
        <v>1042</v>
      </c>
      <c r="G267" s="140">
        <v>2</v>
      </c>
      <c r="H267" s="140">
        <v>7</v>
      </c>
      <c r="I267" s="140">
        <v>9</v>
      </c>
      <c r="J267" s="140">
        <v>6230</v>
      </c>
      <c r="K267" s="140">
        <v>17296</v>
      </c>
      <c r="L267" s="140">
        <v>23526</v>
      </c>
    </row>
    <row r="268" spans="1:12" ht="18" customHeight="1" x14ac:dyDescent="0.3">
      <c r="A268" s="359">
        <v>264</v>
      </c>
      <c r="B268" s="769"/>
      <c r="C268" s="139" t="s">
        <v>684</v>
      </c>
      <c r="D268" s="140">
        <v>7583</v>
      </c>
      <c r="E268" s="140">
        <v>8070</v>
      </c>
      <c r="F268" s="140">
        <v>15653</v>
      </c>
      <c r="G268" s="140">
        <v>23</v>
      </c>
      <c r="H268" s="140">
        <v>46</v>
      </c>
      <c r="I268" s="140">
        <v>69</v>
      </c>
      <c r="J268" s="140">
        <v>45674</v>
      </c>
      <c r="K268" s="140">
        <v>67638</v>
      </c>
      <c r="L268" s="140">
        <v>113312</v>
      </c>
    </row>
    <row r="269" spans="1:12" ht="18" customHeight="1" x14ac:dyDescent="0.3">
      <c r="A269" s="359">
        <v>265</v>
      </c>
      <c r="B269" s="769"/>
      <c r="C269" s="139" t="s">
        <v>685</v>
      </c>
      <c r="D269" s="140">
        <v>6695</v>
      </c>
      <c r="E269" s="140">
        <v>5221</v>
      </c>
      <c r="F269" s="140">
        <v>11916</v>
      </c>
      <c r="G269" s="140">
        <v>24</v>
      </c>
      <c r="H269" s="140">
        <v>21</v>
      </c>
      <c r="I269" s="140">
        <v>45</v>
      </c>
      <c r="J269" s="140">
        <v>39281</v>
      </c>
      <c r="K269" s="140">
        <v>47021</v>
      </c>
      <c r="L269" s="140">
        <v>86302</v>
      </c>
    </row>
    <row r="270" spans="1:12" ht="18" customHeight="1" x14ac:dyDescent="0.3">
      <c r="A270" s="359">
        <v>266</v>
      </c>
      <c r="B270" s="769"/>
      <c r="C270" s="139" t="s">
        <v>72</v>
      </c>
      <c r="D270" s="140">
        <v>431</v>
      </c>
      <c r="E270" s="140">
        <v>438</v>
      </c>
      <c r="F270" s="140">
        <v>869</v>
      </c>
      <c r="G270" s="140"/>
      <c r="H270" s="140"/>
      <c r="I270" s="140"/>
      <c r="J270" s="140">
        <v>195</v>
      </c>
      <c r="K270" s="140">
        <v>437</v>
      </c>
      <c r="L270" s="140">
        <v>632</v>
      </c>
    </row>
    <row r="271" spans="1:12" ht="18" customHeight="1" x14ac:dyDescent="0.3">
      <c r="A271" s="359">
        <v>267</v>
      </c>
      <c r="B271" s="769"/>
      <c r="C271" s="139" t="s">
        <v>530</v>
      </c>
      <c r="D271" s="140">
        <v>366</v>
      </c>
      <c r="E271" s="140">
        <v>407</v>
      </c>
      <c r="F271" s="140">
        <v>773</v>
      </c>
      <c r="G271" s="140"/>
      <c r="H271" s="140"/>
      <c r="I271" s="140"/>
      <c r="J271" s="140">
        <v>5291</v>
      </c>
      <c r="K271" s="140">
        <v>6495</v>
      </c>
      <c r="L271" s="140">
        <v>11786</v>
      </c>
    </row>
    <row r="272" spans="1:12" ht="18" customHeight="1" x14ac:dyDescent="0.3">
      <c r="A272" s="359">
        <v>268</v>
      </c>
      <c r="B272" s="769"/>
      <c r="C272" s="139" t="s">
        <v>686</v>
      </c>
      <c r="D272" s="140">
        <v>2078</v>
      </c>
      <c r="E272" s="140">
        <v>3334</v>
      </c>
      <c r="F272" s="140">
        <v>5412</v>
      </c>
      <c r="G272" s="140">
        <v>13</v>
      </c>
      <c r="H272" s="140">
        <v>18</v>
      </c>
      <c r="I272" s="140">
        <v>31</v>
      </c>
      <c r="J272" s="140">
        <v>25496</v>
      </c>
      <c r="K272" s="140">
        <v>71377</v>
      </c>
      <c r="L272" s="140">
        <v>96873</v>
      </c>
    </row>
    <row r="273" spans="1:12" ht="18" customHeight="1" x14ac:dyDescent="0.3">
      <c r="A273" s="359">
        <v>269</v>
      </c>
      <c r="B273" s="768" t="s">
        <v>687</v>
      </c>
      <c r="C273" s="769"/>
      <c r="D273" s="141">
        <v>37395</v>
      </c>
      <c r="E273" s="141">
        <v>42889</v>
      </c>
      <c r="F273" s="141">
        <v>80284</v>
      </c>
      <c r="G273" s="141">
        <v>158</v>
      </c>
      <c r="H273" s="141">
        <v>210</v>
      </c>
      <c r="I273" s="141">
        <v>368</v>
      </c>
      <c r="J273" s="141">
        <v>333238</v>
      </c>
      <c r="K273" s="141">
        <v>529693</v>
      </c>
      <c r="L273" s="141">
        <v>862931</v>
      </c>
    </row>
    <row r="274" spans="1:12" ht="18" customHeight="1" x14ac:dyDescent="0.3">
      <c r="A274" s="359">
        <v>270</v>
      </c>
      <c r="B274" s="768" t="s">
        <v>73</v>
      </c>
      <c r="C274" s="139" t="s">
        <v>688</v>
      </c>
      <c r="D274" s="140">
        <v>184</v>
      </c>
      <c r="E274" s="140">
        <v>244</v>
      </c>
      <c r="F274" s="140">
        <v>428</v>
      </c>
      <c r="G274" s="140"/>
      <c r="H274" s="140"/>
      <c r="I274" s="140"/>
      <c r="J274" s="140">
        <v>2133</v>
      </c>
      <c r="K274" s="140">
        <v>2380</v>
      </c>
      <c r="L274" s="140">
        <v>4513</v>
      </c>
    </row>
    <row r="275" spans="1:12" ht="18" customHeight="1" x14ac:dyDescent="0.3">
      <c r="A275" s="359">
        <v>271</v>
      </c>
      <c r="B275" s="769"/>
      <c r="C275" s="139" t="s">
        <v>689</v>
      </c>
      <c r="D275" s="140">
        <v>2869</v>
      </c>
      <c r="E275" s="140">
        <v>3043</v>
      </c>
      <c r="F275" s="140">
        <v>5912</v>
      </c>
      <c r="G275" s="140">
        <v>35</v>
      </c>
      <c r="H275" s="140">
        <v>22</v>
      </c>
      <c r="I275" s="140">
        <v>57</v>
      </c>
      <c r="J275" s="140">
        <v>49192</v>
      </c>
      <c r="K275" s="140">
        <v>69939</v>
      </c>
      <c r="L275" s="140">
        <v>119131</v>
      </c>
    </row>
    <row r="276" spans="1:12" ht="18" customHeight="1" x14ac:dyDescent="0.3">
      <c r="A276" s="359">
        <v>272</v>
      </c>
      <c r="B276" s="769"/>
      <c r="C276" s="139" t="s">
        <v>690</v>
      </c>
      <c r="D276" s="140">
        <v>1556</v>
      </c>
      <c r="E276" s="140">
        <v>1158</v>
      </c>
      <c r="F276" s="140">
        <v>2714</v>
      </c>
      <c r="G276" s="140">
        <v>4</v>
      </c>
      <c r="H276" s="140">
        <v>1</v>
      </c>
      <c r="I276" s="140">
        <v>5</v>
      </c>
      <c r="J276" s="140">
        <v>32909</v>
      </c>
      <c r="K276" s="140">
        <v>45124</v>
      </c>
      <c r="L276" s="140">
        <v>78033</v>
      </c>
    </row>
    <row r="277" spans="1:12" ht="18" customHeight="1" x14ac:dyDescent="0.3">
      <c r="A277" s="359">
        <v>273</v>
      </c>
      <c r="B277" s="769"/>
      <c r="C277" s="139" t="s">
        <v>691</v>
      </c>
      <c r="D277" s="140">
        <v>2981</v>
      </c>
      <c r="E277" s="140">
        <v>2471</v>
      </c>
      <c r="F277" s="140">
        <v>5452</v>
      </c>
      <c r="G277" s="140">
        <v>24</v>
      </c>
      <c r="H277" s="140">
        <v>19</v>
      </c>
      <c r="I277" s="140">
        <v>43</v>
      </c>
      <c r="J277" s="140">
        <v>101493</v>
      </c>
      <c r="K277" s="140">
        <v>128315</v>
      </c>
      <c r="L277" s="140">
        <v>229808</v>
      </c>
    </row>
    <row r="278" spans="1:12" ht="18" customHeight="1" x14ac:dyDescent="0.3">
      <c r="A278" s="359">
        <v>274</v>
      </c>
      <c r="B278" s="769"/>
      <c r="C278" s="139" t="s">
        <v>603</v>
      </c>
      <c r="D278" s="140">
        <v>1025</v>
      </c>
      <c r="E278" s="140">
        <v>1346</v>
      </c>
      <c r="F278" s="140">
        <v>2371</v>
      </c>
      <c r="G278" s="140"/>
      <c r="H278" s="140"/>
      <c r="I278" s="140"/>
      <c r="J278" s="140"/>
      <c r="K278" s="140"/>
      <c r="L278" s="140"/>
    </row>
    <row r="279" spans="1:12" ht="18" customHeight="1" x14ac:dyDescent="0.3">
      <c r="A279" s="359">
        <v>275</v>
      </c>
      <c r="B279" s="769"/>
      <c r="C279" s="139" t="s">
        <v>683</v>
      </c>
      <c r="D279" s="140">
        <v>66</v>
      </c>
      <c r="E279" s="140">
        <v>81</v>
      </c>
      <c r="F279" s="140">
        <v>147</v>
      </c>
      <c r="G279" s="140"/>
      <c r="H279" s="140"/>
      <c r="I279" s="140"/>
      <c r="J279" s="140">
        <v>586</v>
      </c>
      <c r="K279" s="140">
        <v>727</v>
      </c>
      <c r="L279" s="140">
        <v>1313</v>
      </c>
    </row>
    <row r="280" spans="1:12" ht="18" customHeight="1" x14ac:dyDescent="0.3">
      <c r="A280" s="359">
        <v>276</v>
      </c>
      <c r="B280" s="769"/>
      <c r="C280" s="139" t="s">
        <v>581</v>
      </c>
      <c r="D280" s="140"/>
      <c r="E280" s="140"/>
      <c r="F280" s="140"/>
      <c r="G280" s="140"/>
      <c r="H280" s="140"/>
      <c r="I280" s="140"/>
      <c r="J280" s="140">
        <v>12</v>
      </c>
      <c r="K280" s="140">
        <v>26</v>
      </c>
      <c r="L280" s="140">
        <v>38</v>
      </c>
    </row>
    <row r="281" spans="1:12" ht="18" customHeight="1" x14ac:dyDescent="0.3">
      <c r="A281" s="359">
        <v>277</v>
      </c>
      <c r="B281" s="769"/>
      <c r="C281" s="139" t="s">
        <v>692</v>
      </c>
      <c r="D281" s="140">
        <v>3001</v>
      </c>
      <c r="E281" s="140">
        <v>3540</v>
      </c>
      <c r="F281" s="140">
        <v>6541</v>
      </c>
      <c r="G281" s="140">
        <v>13</v>
      </c>
      <c r="H281" s="140">
        <v>26</v>
      </c>
      <c r="I281" s="140">
        <v>39</v>
      </c>
      <c r="J281" s="140">
        <v>29941</v>
      </c>
      <c r="K281" s="140">
        <v>51423</v>
      </c>
      <c r="L281" s="140">
        <v>81364</v>
      </c>
    </row>
    <row r="282" spans="1:12" ht="18" customHeight="1" x14ac:dyDescent="0.3">
      <c r="A282" s="359">
        <v>278</v>
      </c>
      <c r="B282" s="769"/>
      <c r="C282" s="139" t="s">
        <v>693</v>
      </c>
      <c r="D282" s="140">
        <v>1509</v>
      </c>
      <c r="E282" s="140">
        <v>1579</v>
      </c>
      <c r="F282" s="140">
        <v>3088</v>
      </c>
      <c r="G282" s="140">
        <v>18</v>
      </c>
      <c r="H282" s="140">
        <v>41</v>
      </c>
      <c r="I282" s="140">
        <v>59</v>
      </c>
      <c r="J282" s="140">
        <v>6394</v>
      </c>
      <c r="K282" s="140">
        <v>7943</v>
      </c>
      <c r="L282" s="140">
        <v>14337</v>
      </c>
    </row>
    <row r="283" spans="1:12" ht="18" customHeight="1" x14ac:dyDescent="0.3">
      <c r="A283" s="359">
        <v>279</v>
      </c>
      <c r="B283" s="769"/>
      <c r="C283" s="139" t="s">
        <v>694</v>
      </c>
      <c r="D283" s="140">
        <v>2676</v>
      </c>
      <c r="E283" s="140">
        <v>1993</v>
      </c>
      <c r="F283" s="140">
        <v>4669</v>
      </c>
      <c r="G283" s="140">
        <v>10</v>
      </c>
      <c r="H283" s="140"/>
      <c r="I283" s="140">
        <v>10</v>
      </c>
      <c r="J283" s="140">
        <v>115129</v>
      </c>
      <c r="K283" s="140">
        <v>146107</v>
      </c>
      <c r="L283" s="140">
        <v>261236</v>
      </c>
    </row>
    <row r="284" spans="1:12" ht="18" customHeight="1" x14ac:dyDescent="0.3">
      <c r="A284" s="359">
        <v>280</v>
      </c>
      <c r="B284" s="769"/>
      <c r="C284" s="139" t="s">
        <v>695</v>
      </c>
      <c r="D284" s="140">
        <v>153</v>
      </c>
      <c r="E284" s="140">
        <v>102</v>
      </c>
      <c r="F284" s="140">
        <v>255</v>
      </c>
      <c r="G284" s="140"/>
      <c r="H284" s="140"/>
      <c r="I284" s="140"/>
      <c r="J284" s="140">
        <v>31</v>
      </c>
      <c r="K284" s="140">
        <v>21</v>
      </c>
      <c r="L284" s="140">
        <v>52</v>
      </c>
    </row>
    <row r="285" spans="1:12" ht="18" customHeight="1" x14ac:dyDescent="0.3">
      <c r="A285" s="359">
        <v>281</v>
      </c>
      <c r="B285" s="769"/>
      <c r="C285" s="139" t="s">
        <v>661</v>
      </c>
      <c r="D285" s="140">
        <v>765</v>
      </c>
      <c r="E285" s="140">
        <v>1933</v>
      </c>
      <c r="F285" s="140">
        <v>2698</v>
      </c>
      <c r="G285" s="140">
        <v>62</v>
      </c>
      <c r="H285" s="140">
        <v>323</v>
      </c>
      <c r="I285" s="140">
        <v>385</v>
      </c>
      <c r="J285" s="140">
        <v>14984</v>
      </c>
      <c r="K285" s="140">
        <v>39500</v>
      </c>
      <c r="L285" s="140">
        <v>54484</v>
      </c>
    </row>
    <row r="286" spans="1:12" ht="18" customHeight="1" x14ac:dyDescent="0.3">
      <c r="A286" s="359">
        <v>282</v>
      </c>
      <c r="B286" s="769"/>
      <c r="C286" s="139" t="s">
        <v>696</v>
      </c>
      <c r="D286" s="140">
        <v>407</v>
      </c>
      <c r="E286" s="140">
        <v>229</v>
      </c>
      <c r="F286" s="140">
        <v>636</v>
      </c>
      <c r="G286" s="140">
        <v>3</v>
      </c>
      <c r="H286" s="140">
        <v>1</v>
      </c>
      <c r="I286" s="140">
        <v>4</v>
      </c>
      <c r="J286" s="140">
        <v>15001</v>
      </c>
      <c r="K286" s="140">
        <v>12198</v>
      </c>
      <c r="L286" s="140">
        <v>27199</v>
      </c>
    </row>
    <row r="287" spans="1:12" ht="18" customHeight="1" x14ac:dyDescent="0.3">
      <c r="A287" s="359">
        <v>283</v>
      </c>
      <c r="B287" s="769"/>
      <c r="C287" s="139" t="s">
        <v>697</v>
      </c>
      <c r="D287" s="140"/>
      <c r="E287" s="140"/>
      <c r="F287" s="140"/>
      <c r="G287" s="140"/>
      <c r="H287" s="140"/>
      <c r="I287" s="140"/>
      <c r="J287" s="140">
        <v>85</v>
      </c>
      <c r="K287" s="140">
        <v>73</v>
      </c>
      <c r="L287" s="140">
        <v>158</v>
      </c>
    </row>
    <row r="288" spans="1:12" ht="18" customHeight="1" x14ac:dyDescent="0.3">
      <c r="A288" s="359">
        <v>284</v>
      </c>
      <c r="B288" s="769"/>
      <c r="C288" s="139" t="s">
        <v>522</v>
      </c>
      <c r="D288" s="140">
        <v>1448</v>
      </c>
      <c r="E288" s="140">
        <v>1841</v>
      </c>
      <c r="F288" s="140">
        <v>3289</v>
      </c>
      <c r="G288" s="140">
        <v>2</v>
      </c>
      <c r="H288" s="140"/>
      <c r="I288" s="140">
        <v>2</v>
      </c>
      <c r="J288" s="140">
        <v>61863</v>
      </c>
      <c r="K288" s="140">
        <v>126018</v>
      </c>
      <c r="L288" s="140">
        <v>187881</v>
      </c>
    </row>
    <row r="289" spans="1:12" ht="18" customHeight="1" x14ac:dyDescent="0.3">
      <c r="A289" s="359">
        <v>285</v>
      </c>
      <c r="B289" s="769"/>
      <c r="C289" s="139" t="s">
        <v>530</v>
      </c>
      <c r="D289" s="140">
        <v>17</v>
      </c>
      <c r="E289" s="140">
        <v>29</v>
      </c>
      <c r="F289" s="140">
        <v>46</v>
      </c>
      <c r="G289" s="140"/>
      <c r="H289" s="140"/>
      <c r="I289" s="140"/>
      <c r="J289" s="140">
        <v>86</v>
      </c>
      <c r="K289" s="140">
        <v>67</v>
      </c>
      <c r="L289" s="140">
        <v>153</v>
      </c>
    </row>
    <row r="290" spans="1:12" ht="18" customHeight="1" x14ac:dyDescent="0.3">
      <c r="A290" s="359">
        <v>286</v>
      </c>
      <c r="B290" s="768" t="s">
        <v>698</v>
      </c>
      <c r="C290" s="769"/>
      <c r="D290" s="141">
        <v>18657</v>
      </c>
      <c r="E290" s="141">
        <v>19589</v>
      </c>
      <c r="F290" s="141">
        <v>38246</v>
      </c>
      <c r="G290" s="141">
        <v>171</v>
      </c>
      <c r="H290" s="141">
        <v>433</v>
      </c>
      <c r="I290" s="141">
        <v>604</v>
      </c>
      <c r="J290" s="141">
        <v>429839</v>
      </c>
      <c r="K290" s="141">
        <v>629861</v>
      </c>
      <c r="L290" s="141">
        <v>1059700</v>
      </c>
    </row>
    <row r="291" spans="1:12" ht="18" customHeight="1" x14ac:dyDescent="0.3">
      <c r="A291" s="359">
        <v>287</v>
      </c>
      <c r="B291" s="138" t="s">
        <v>513</v>
      </c>
      <c r="C291" s="139" t="s">
        <v>513</v>
      </c>
      <c r="D291" s="140">
        <v>947</v>
      </c>
      <c r="E291" s="140">
        <v>864</v>
      </c>
      <c r="F291" s="140">
        <v>1811</v>
      </c>
      <c r="G291" s="140">
        <v>44</v>
      </c>
      <c r="H291" s="140">
        <v>111</v>
      </c>
      <c r="I291" s="140">
        <v>155</v>
      </c>
      <c r="J291" s="140">
        <v>47077</v>
      </c>
      <c r="K291" s="140">
        <v>55131</v>
      </c>
      <c r="L291" s="140">
        <v>102208</v>
      </c>
    </row>
    <row r="292" spans="1:12" ht="18" customHeight="1" x14ac:dyDescent="0.3">
      <c r="A292" s="359">
        <v>288</v>
      </c>
      <c r="B292" s="768" t="s">
        <v>699</v>
      </c>
      <c r="C292" s="769"/>
      <c r="D292" s="141">
        <v>947</v>
      </c>
      <c r="E292" s="141">
        <v>864</v>
      </c>
      <c r="F292" s="141">
        <v>1811</v>
      </c>
      <c r="G292" s="141">
        <v>44</v>
      </c>
      <c r="H292" s="141">
        <v>111</v>
      </c>
      <c r="I292" s="141">
        <v>155</v>
      </c>
      <c r="J292" s="141">
        <v>47077</v>
      </c>
      <c r="K292" s="141">
        <v>55131</v>
      </c>
      <c r="L292" s="141">
        <v>102208</v>
      </c>
    </row>
    <row r="293" spans="1:12" ht="18" customHeight="1" x14ac:dyDescent="0.3">
      <c r="A293" s="359">
        <v>289</v>
      </c>
      <c r="B293" s="768" t="s">
        <v>76</v>
      </c>
      <c r="C293" s="139" t="s">
        <v>700</v>
      </c>
      <c r="D293" s="140">
        <v>4</v>
      </c>
      <c r="E293" s="140">
        <v>3</v>
      </c>
      <c r="F293" s="140">
        <v>7</v>
      </c>
      <c r="G293" s="140"/>
      <c r="H293" s="140"/>
      <c r="I293" s="140"/>
      <c r="J293" s="140">
        <v>40</v>
      </c>
      <c r="K293" s="140">
        <v>8</v>
      </c>
      <c r="L293" s="140">
        <v>48</v>
      </c>
    </row>
    <row r="294" spans="1:12" ht="30" customHeight="1" x14ac:dyDescent="0.3">
      <c r="A294" s="359">
        <v>290</v>
      </c>
      <c r="B294" s="769"/>
      <c r="C294" s="139" t="s">
        <v>76</v>
      </c>
      <c r="D294" s="140">
        <v>708</v>
      </c>
      <c r="E294" s="140">
        <v>683</v>
      </c>
      <c r="F294" s="140">
        <v>1391</v>
      </c>
      <c r="G294" s="140"/>
      <c r="H294" s="140">
        <v>1</v>
      </c>
      <c r="I294" s="140">
        <v>1</v>
      </c>
      <c r="J294" s="140">
        <v>2776</v>
      </c>
      <c r="K294" s="140">
        <v>2302</v>
      </c>
      <c r="L294" s="140">
        <v>5078</v>
      </c>
    </row>
    <row r="295" spans="1:12" ht="18" customHeight="1" x14ac:dyDescent="0.3">
      <c r="A295" s="359">
        <v>291</v>
      </c>
      <c r="B295" s="768" t="s">
        <v>701</v>
      </c>
      <c r="C295" s="769"/>
      <c r="D295" s="141">
        <v>712</v>
      </c>
      <c r="E295" s="141">
        <v>686</v>
      </c>
      <c r="F295" s="141">
        <v>1398</v>
      </c>
      <c r="G295" s="141"/>
      <c r="H295" s="141">
        <v>1</v>
      </c>
      <c r="I295" s="141">
        <v>1</v>
      </c>
      <c r="J295" s="141">
        <v>2816</v>
      </c>
      <c r="K295" s="141">
        <v>2310</v>
      </c>
      <c r="L295" s="141">
        <v>5126</v>
      </c>
    </row>
    <row r="296" spans="1:12" ht="18" customHeight="1" x14ac:dyDescent="0.3">
      <c r="A296" s="359">
        <v>292</v>
      </c>
      <c r="B296" s="138" t="s">
        <v>515</v>
      </c>
      <c r="C296" s="139" t="s">
        <v>515</v>
      </c>
      <c r="D296" s="140">
        <v>69</v>
      </c>
      <c r="E296" s="140">
        <v>215</v>
      </c>
      <c r="F296" s="140">
        <v>284</v>
      </c>
      <c r="G296" s="140"/>
      <c r="H296" s="140"/>
      <c r="I296" s="140"/>
      <c r="J296" s="140">
        <v>2103</v>
      </c>
      <c r="K296" s="140">
        <v>13322</v>
      </c>
      <c r="L296" s="140">
        <v>15425</v>
      </c>
    </row>
    <row r="297" spans="1:12" ht="18" customHeight="1" x14ac:dyDescent="0.3">
      <c r="A297" s="359">
        <v>293</v>
      </c>
      <c r="B297" s="768" t="s">
        <v>702</v>
      </c>
      <c r="C297" s="769"/>
      <c r="D297" s="141">
        <v>69</v>
      </c>
      <c r="E297" s="141">
        <v>215</v>
      </c>
      <c r="F297" s="141">
        <v>284</v>
      </c>
      <c r="G297" s="141"/>
      <c r="H297" s="141"/>
      <c r="I297" s="141"/>
      <c r="J297" s="141">
        <v>2103</v>
      </c>
      <c r="K297" s="141">
        <v>13322</v>
      </c>
      <c r="L297" s="141">
        <v>15425</v>
      </c>
    </row>
    <row r="298" spans="1:12" ht="19.5" customHeight="1" x14ac:dyDescent="0.3">
      <c r="A298" s="770" t="s">
        <v>46</v>
      </c>
      <c r="B298" s="770"/>
      <c r="C298" s="770"/>
      <c r="D298" s="141">
        <v>172356</v>
      </c>
      <c r="E298" s="141">
        <v>171203</v>
      </c>
      <c r="F298" s="141">
        <v>343559</v>
      </c>
      <c r="G298" s="141">
        <v>668</v>
      </c>
      <c r="H298" s="141">
        <v>1418</v>
      </c>
      <c r="I298" s="141">
        <v>2086</v>
      </c>
      <c r="J298" s="141">
        <v>2501610</v>
      </c>
      <c r="K298" s="141">
        <v>3208175</v>
      </c>
      <c r="L298" s="141">
        <v>5709785</v>
      </c>
    </row>
  </sheetData>
  <mergeCells count="86">
    <mergeCell ref="B1:L1"/>
    <mergeCell ref="A2:A3"/>
    <mergeCell ref="B2:C3"/>
    <mergeCell ref="D2:F2"/>
    <mergeCell ref="G2:I2"/>
    <mergeCell ref="J2:L2"/>
    <mergeCell ref="B30:C30"/>
    <mergeCell ref="B5:B8"/>
    <mergeCell ref="B9:C9"/>
    <mergeCell ref="B11:C11"/>
    <mergeCell ref="B12:B13"/>
    <mergeCell ref="B14:C14"/>
    <mergeCell ref="B15:B17"/>
    <mergeCell ref="B18:C18"/>
    <mergeCell ref="B20:C20"/>
    <mergeCell ref="B21:B25"/>
    <mergeCell ref="B26:C26"/>
    <mergeCell ref="B28:C28"/>
    <mergeCell ref="B71:B77"/>
    <mergeCell ref="B32:C32"/>
    <mergeCell ref="B33:B34"/>
    <mergeCell ref="B35:C35"/>
    <mergeCell ref="B36:B37"/>
    <mergeCell ref="B38:C38"/>
    <mergeCell ref="B39:B40"/>
    <mergeCell ref="B41:C41"/>
    <mergeCell ref="B43:C43"/>
    <mergeCell ref="B45:C45"/>
    <mergeCell ref="B46:B69"/>
    <mergeCell ref="B70:C70"/>
    <mergeCell ref="B100:B101"/>
    <mergeCell ref="B78:C78"/>
    <mergeCell ref="B80:C80"/>
    <mergeCell ref="B81:B84"/>
    <mergeCell ref="B85:C85"/>
    <mergeCell ref="B87:C87"/>
    <mergeCell ref="B88:B89"/>
    <mergeCell ref="B90:C90"/>
    <mergeCell ref="B91:B95"/>
    <mergeCell ref="B96:C96"/>
    <mergeCell ref="B97:B98"/>
    <mergeCell ref="B99:C99"/>
    <mergeCell ref="B136:B140"/>
    <mergeCell ref="B102:C102"/>
    <mergeCell ref="B103:B106"/>
    <mergeCell ref="B107:C107"/>
    <mergeCell ref="B108:B109"/>
    <mergeCell ref="B110:C110"/>
    <mergeCell ref="B111:B122"/>
    <mergeCell ref="B123:C123"/>
    <mergeCell ref="B125:C125"/>
    <mergeCell ref="B126:B132"/>
    <mergeCell ref="B133:C133"/>
    <mergeCell ref="B135:C135"/>
    <mergeCell ref="B224:B227"/>
    <mergeCell ref="B141:C141"/>
    <mergeCell ref="B143:C143"/>
    <mergeCell ref="B144:B145"/>
    <mergeCell ref="B146:C146"/>
    <mergeCell ref="B148:C148"/>
    <mergeCell ref="B149:B169"/>
    <mergeCell ref="B170:C170"/>
    <mergeCell ref="B172:C172"/>
    <mergeCell ref="B173:B220"/>
    <mergeCell ref="B221:C221"/>
    <mergeCell ref="B223:C223"/>
    <mergeCell ref="B251:B272"/>
    <mergeCell ref="B228:C228"/>
    <mergeCell ref="B230:C230"/>
    <mergeCell ref="B232:C232"/>
    <mergeCell ref="B233:B234"/>
    <mergeCell ref="B235:C235"/>
    <mergeCell ref="B237:C237"/>
    <mergeCell ref="B239:C239"/>
    <mergeCell ref="B241:C241"/>
    <mergeCell ref="B242:B247"/>
    <mergeCell ref="B248:C248"/>
    <mergeCell ref="B250:C250"/>
    <mergeCell ref="B297:C297"/>
    <mergeCell ref="A298:C298"/>
    <mergeCell ref="B273:C273"/>
    <mergeCell ref="B274:B289"/>
    <mergeCell ref="B290:C290"/>
    <mergeCell ref="B292:C292"/>
    <mergeCell ref="B293:B294"/>
    <mergeCell ref="B295:C295"/>
  </mergeCells>
  <pageMargins left="0.27559055118110237" right="0.15748031496062992" top="0.39370078740157483" bottom="0.39370078740157483" header="0.31496062992125984" footer="0.19685039370078741"/>
  <pageSetup paperSize="9" scale="70" firstPageNumber="46" orientation="portrait" r:id="rId1"/>
  <headerFooter>
    <oddFooter>&amp;L&amp;"Arial,Italic"&amp;9AISHE 2023-24&amp;RT-13</oddFooter>
  </headerFooter>
  <rowBreaks count="3" manualBreakCount="3">
    <brk id="170" max="11" man="1"/>
    <brk id="228" max="11" man="1"/>
    <brk id="287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F69E-D1B9-4BEA-9A16-EBB40822FE3F}">
  <dimension ref="A1:AC42"/>
  <sheetViews>
    <sheetView view="pageBreakPreview" zoomScaleNormal="60" zoomScaleSheetLayoutView="100" workbookViewId="0">
      <pane ySplit="3" topLeftCell="A4" activePane="bottomLeft" state="frozen"/>
      <selection activeCell="B16" sqref="B16:M16"/>
      <selection pane="bottomLeft" activeCell="B16" sqref="B16:M16"/>
    </sheetView>
  </sheetViews>
  <sheetFormatPr defaultColWidth="9.453125" defaultRowHeight="13" x14ac:dyDescent="0.3"/>
  <cols>
    <col min="1" max="1" width="7.1796875" style="160" bestFit="1" customWidth="1"/>
    <col min="2" max="2" width="18.1796875" style="160" bestFit="1" customWidth="1"/>
    <col min="3" max="5" width="11.1796875" style="161" bestFit="1" customWidth="1"/>
    <col min="6" max="13" width="9.81640625" style="161" bestFit="1" customWidth="1"/>
    <col min="14" max="14" width="11.1796875" style="161" bestFit="1" customWidth="1"/>
    <col min="15" max="26" width="10" style="161" customWidth="1"/>
    <col min="27" max="16384" width="9.453125" style="161"/>
  </cols>
  <sheetData>
    <row r="1" spans="1:29" s="144" customFormat="1" ht="28.5" customHeight="1" x14ac:dyDescent="0.3">
      <c r="B1" s="145"/>
      <c r="C1" s="778" t="s">
        <v>997</v>
      </c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9" t="s">
        <v>1034</v>
      </c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146"/>
      <c r="AB1" s="146"/>
      <c r="AC1" s="146"/>
    </row>
    <row r="2" spans="1:29" s="148" customFormat="1" x14ac:dyDescent="0.35">
      <c r="A2" s="780" t="s">
        <v>94</v>
      </c>
      <c r="B2" s="782" t="s">
        <v>885</v>
      </c>
      <c r="C2" s="783" t="s">
        <v>703</v>
      </c>
      <c r="D2" s="784"/>
      <c r="E2" s="785"/>
      <c r="F2" s="783" t="s">
        <v>395</v>
      </c>
      <c r="G2" s="784"/>
      <c r="H2" s="785"/>
      <c r="I2" s="783" t="s">
        <v>396</v>
      </c>
      <c r="J2" s="784"/>
      <c r="K2" s="785"/>
      <c r="L2" s="783" t="s">
        <v>397</v>
      </c>
      <c r="M2" s="784"/>
      <c r="N2" s="785"/>
      <c r="O2" s="774" t="s">
        <v>704</v>
      </c>
      <c r="P2" s="775"/>
      <c r="Q2" s="776"/>
      <c r="R2" s="773" t="s">
        <v>705</v>
      </c>
      <c r="S2" s="773"/>
      <c r="T2" s="773"/>
      <c r="U2" s="773" t="s">
        <v>706</v>
      </c>
      <c r="V2" s="773"/>
      <c r="W2" s="773"/>
      <c r="X2" s="774" t="s">
        <v>1035</v>
      </c>
      <c r="Y2" s="775"/>
      <c r="Z2" s="776"/>
      <c r="AA2" s="146"/>
      <c r="AB2" s="146"/>
      <c r="AC2" s="146"/>
    </row>
    <row r="3" spans="1:29" s="146" customFormat="1" x14ac:dyDescent="0.35">
      <c r="A3" s="781"/>
      <c r="B3" s="782"/>
      <c r="C3" s="149" t="s">
        <v>103</v>
      </c>
      <c r="D3" s="149" t="s">
        <v>104</v>
      </c>
      <c r="E3" s="149" t="s">
        <v>89</v>
      </c>
      <c r="F3" s="149" t="s">
        <v>103</v>
      </c>
      <c r="G3" s="149" t="s">
        <v>104</v>
      </c>
      <c r="H3" s="149" t="s">
        <v>89</v>
      </c>
      <c r="I3" s="149" t="s">
        <v>103</v>
      </c>
      <c r="J3" s="149" t="s">
        <v>104</v>
      </c>
      <c r="K3" s="149" t="s">
        <v>89</v>
      </c>
      <c r="L3" s="149" t="s">
        <v>103</v>
      </c>
      <c r="M3" s="149" t="s">
        <v>104</v>
      </c>
      <c r="N3" s="149" t="s">
        <v>89</v>
      </c>
      <c r="O3" s="147" t="s">
        <v>103</v>
      </c>
      <c r="P3" s="147" t="s">
        <v>104</v>
      </c>
      <c r="Q3" s="147" t="s">
        <v>89</v>
      </c>
      <c r="R3" s="147" t="s">
        <v>103</v>
      </c>
      <c r="S3" s="147" t="s">
        <v>104</v>
      </c>
      <c r="T3" s="147" t="s">
        <v>89</v>
      </c>
      <c r="U3" s="147" t="s">
        <v>103</v>
      </c>
      <c r="V3" s="147" t="s">
        <v>104</v>
      </c>
      <c r="W3" s="147" t="s">
        <v>89</v>
      </c>
      <c r="X3" s="147" t="s">
        <v>103</v>
      </c>
      <c r="Y3" s="147" t="s">
        <v>104</v>
      </c>
      <c r="Z3" s="147" t="s">
        <v>89</v>
      </c>
    </row>
    <row r="4" spans="1:29" s="356" customFormat="1" ht="11.5" x14ac:dyDescent="0.35">
      <c r="A4" s="355">
        <v>1</v>
      </c>
      <c r="B4" s="355">
        <v>2</v>
      </c>
      <c r="C4" s="355">
        <v>3</v>
      </c>
      <c r="D4" s="355">
        <v>4</v>
      </c>
      <c r="E4" s="355">
        <v>5</v>
      </c>
      <c r="F4" s="355">
        <v>6</v>
      </c>
      <c r="G4" s="355">
        <v>7</v>
      </c>
      <c r="H4" s="355">
        <v>8</v>
      </c>
      <c r="I4" s="355">
        <v>9</v>
      </c>
      <c r="J4" s="355">
        <v>10</v>
      </c>
      <c r="K4" s="355">
        <v>11</v>
      </c>
      <c r="L4" s="355">
        <v>12</v>
      </c>
      <c r="M4" s="355">
        <v>13</v>
      </c>
      <c r="N4" s="355">
        <v>14</v>
      </c>
      <c r="O4" s="355">
        <v>3</v>
      </c>
      <c r="P4" s="355">
        <v>4</v>
      </c>
      <c r="Q4" s="355">
        <v>5</v>
      </c>
      <c r="R4" s="355">
        <v>6</v>
      </c>
      <c r="S4" s="355">
        <v>7</v>
      </c>
      <c r="T4" s="355">
        <v>8</v>
      </c>
      <c r="U4" s="355">
        <v>9</v>
      </c>
      <c r="V4" s="355">
        <v>10</v>
      </c>
      <c r="W4" s="355">
        <v>11</v>
      </c>
      <c r="X4" s="355">
        <v>12</v>
      </c>
      <c r="Y4" s="355">
        <v>13</v>
      </c>
      <c r="Z4" s="355">
        <v>14</v>
      </c>
    </row>
    <row r="5" spans="1:29" s="153" customFormat="1" ht="31.5" customHeight="1" x14ac:dyDescent="0.35">
      <c r="A5" s="360">
        <v>1</v>
      </c>
      <c r="B5" s="150" t="s">
        <v>56</v>
      </c>
      <c r="C5" s="151">
        <v>3507</v>
      </c>
      <c r="D5" s="151">
        <v>3621</v>
      </c>
      <c r="E5" s="151">
        <v>7128</v>
      </c>
      <c r="F5" s="151">
        <v>54</v>
      </c>
      <c r="G5" s="151">
        <v>15</v>
      </c>
      <c r="H5" s="151">
        <v>69</v>
      </c>
      <c r="I5" s="151">
        <v>66</v>
      </c>
      <c r="J5" s="151">
        <v>117</v>
      </c>
      <c r="K5" s="151">
        <v>183</v>
      </c>
      <c r="L5" s="151">
        <v>1026</v>
      </c>
      <c r="M5" s="151">
        <v>1084</v>
      </c>
      <c r="N5" s="151">
        <v>2110</v>
      </c>
      <c r="O5" s="152">
        <v>82</v>
      </c>
      <c r="P5" s="152">
        <v>89</v>
      </c>
      <c r="Q5" s="152">
        <v>171</v>
      </c>
      <c r="R5" s="152">
        <v>95</v>
      </c>
      <c r="S5" s="152">
        <v>116</v>
      </c>
      <c r="T5" s="152">
        <v>211</v>
      </c>
      <c r="U5" s="152">
        <v>100</v>
      </c>
      <c r="V5" s="152">
        <v>105</v>
      </c>
      <c r="W5" s="152">
        <v>205</v>
      </c>
      <c r="X5" s="152">
        <f>VLOOKUP($B5,[1]Sheet1!$A$2:$Y$38,23,0)</f>
        <v>16</v>
      </c>
      <c r="Y5" s="152">
        <f>VLOOKUP($B5,[1]Sheet1!$A$2:$Y$38,24,0)</f>
        <v>13</v>
      </c>
      <c r="Z5" s="152">
        <f>VLOOKUP($B5,[1]Sheet1!$A$2:$Y$38,25,0)</f>
        <v>29</v>
      </c>
    </row>
    <row r="6" spans="1:29" s="153" customFormat="1" ht="31.5" customHeight="1" x14ac:dyDescent="0.35">
      <c r="A6" s="360">
        <v>2</v>
      </c>
      <c r="B6" s="154" t="s">
        <v>13</v>
      </c>
      <c r="C6" s="151">
        <v>929104.58309914579</v>
      </c>
      <c r="D6" s="151">
        <v>875263.2041453881</v>
      </c>
      <c r="E6" s="151">
        <v>1804367.7872445339</v>
      </c>
      <c r="F6" s="151">
        <v>155637.35810792181</v>
      </c>
      <c r="G6" s="151">
        <v>155846.60934562361</v>
      </c>
      <c r="H6" s="151">
        <v>311483.96745354543</v>
      </c>
      <c r="I6" s="151">
        <v>44866.76901483722</v>
      </c>
      <c r="J6" s="151">
        <v>45684.27750148371</v>
      </c>
      <c r="K6" s="151">
        <v>90551.04651632093</v>
      </c>
      <c r="L6" s="151">
        <v>441835.38439767214</v>
      </c>
      <c r="M6" s="151">
        <v>393268.33498623047</v>
      </c>
      <c r="N6" s="151">
        <v>835103.71938390261</v>
      </c>
      <c r="O6" s="152">
        <v>27946.088273174009</v>
      </c>
      <c r="P6" s="152">
        <v>24815.205455772953</v>
      </c>
      <c r="Q6" s="152">
        <v>52761.293728946963</v>
      </c>
      <c r="R6" s="152">
        <v>6382.4865763039243</v>
      </c>
      <c r="S6" s="152">
        <v>5796.0229444041333</v>
      </c>
      <c r="T6" s="152">
        <v>12178.509520708058</v>
      </c>
      <c r="U6" s="152">
        <v>30026.854255819075</v>
      </c>
      <c r="V6" s="152">
        <v>28988.875382827617</v>
      </c>
      <c r="W6" s="152">
        <v>59015.729638646691</v>
      </c>
      <c r="X6" s="152">
        <f>VLOOKUP($B6,[1]Sheet1!$A$2:$Y$38,23,0)</f>
        <v>2051.9</v>
      </c>
      <c r="Y6" s="152">
        <f>VLOOKUP($B6,[1]Sheet1!$A$2:$Y$38,24,0)</f>
        <v>1182.25</v>
      </c>
      <c r="Z6" s="152">
        <f>VLOOKUP($B6,[1]Sheet1!$A$2:$Y$38,25,0)</f>
        <v>3234.15</v>
      </c>
    </row>
    <row r="7" spans="1:29" s="153" customFormat="1" ht="31.5" customHeight="1" x14ac:dyDescent="0.35">
      <c r="A7" s="360">
        <v>3</v>
      </c>
      <c r="B7" s="154" t="s">
        <v>14</v>
      </c>
      <c r="C7" s="151">
        <v>31387</v>
      </c>
      <c r="D7" s="151">
        <v>29061</v>
      </c>
      <c r="E7" s="151">
        <v>60448</v>
      </c>
      <c r="F7" s="151">
        <v>607</v>
      </c>
      <c r="G7" s="151">
        <v>437</v>
      </c>
      <c r="H7" s="151">
        <v>1044</v>
      </c>
      <c r="I7" s="151">
        <v>22121</v>
      </c>
      <c r="J7" s="151">
        <v>22966</v>
      </c>
      <c r="K7" s="151">
        <v>45087</v>
      </c>
      <c r="L7" s="151">
        <v>1652</v>
      </c>
      <c r="M7" s="151">
        <v>1218</v>
      </c>
      <c r="N7" s="151">
        <v>2870</v>
      </c>
      <c r="O7" s="152">
        <v>69</v>
      </c>
      <c r="P7" s="152">
        <v>64</v>
      </c>
      <c r="Q7" s="152">
        <v>133</v>
      </c>
      <c r="R7" s="152">
        <v>5039</v>
      </c>
      <c r="S7" s="152">
        <v>4266</v>
      </c>
      <c r="T7" s="152">
        <v>9305</v>
      </c>
      <c r="U7" s="152">
        <v>321</v>
      </c>
      <c r="V7" s="152">
        <v>186</v>
      </c>
      <c r="W7" s="152">
        <v>507</v>
      </c>
      <c r="X7" s="152">
        <f>VLOOKUP($B7,[1]Sheet1!$A$2:$Y$38,23,0)</f>
        <v>25</v>
      </c>
      <c r="Y7" s="152">
        <f>VLOOKUP($B7,[1]Sheet1!$A$2:$Y$38,24,0)</f>
        <v>13</v>
      </c>
      <c r="Z7" s="152">
        <f>VLOOKUP($B7,[1]Sheet1!$A$2:$Y$38,25,0)</f>
        <v>38</v>
      </c>
    </row>
    <row r="8" spans="1:29" s="153" customFormat="1" ht="31.5" customHeight="1" x14ac:dyDescent="0.35">
      <c r="A8" s="360">
        <v>4</v>
      </c>
      <c r="B8" s="154" t="s">
        <v>15</v>
      </c>
      <c r="C8" s="151">
        <v>368298.05263157893</v>
      </c>
      <c r="D8" s="151">
        <v>425161.63157894736</v>
      </c>
      <c r="E8" s="151">
        <v>793459.68421052629</v>
      </c>
      <c r="F8" s="151">
        <v>35210.631578947374</v>
      </c>
      <c r="G8" s="151">
        <v>38879.052631578947</v>
      </c>
      <c r="H8" s="151">
        <v>74089.68421052632</v>
      </c>
      <c r="I8" s="151">
        <v>66645.68421052632</v>
      </c>
      <c r="J8" s="151">
        <v>77000.789473684214</v>
      </c>
      <c r="K8" s="151">
        <v>143646.47368421053</v>
      </c>
      <c r="L8" s="151">
        <v>96171</v>
      </c>
      <c r="M8" s="151">
        <v>115235.78947368421</v>
      </c>
      <c r="N8" s="151">
        <v>211406.78947368421</v>
      </c>
      <c r="O8" s="152">
        <v>54449.789473684206</v>
      </c>
      <c r="P8" s="152">
        <v>59426.57894736842</v>
      </c>
      <c r="Q8" s="152">
        <v>113876.36842105263</v>
      </c>
      <c r="R8" s="152">
        <v>8073.7894736842118</v>
      </c>
      <c r="S8" s="152">
        <v>9206.3684210526317</v>
      </c>
      <c r="T8" s="152">
        <v>17280.157894736843</v>
      </c>
      <c r="U8" s="152">
        <v>13435.57894736842</v>
      </c>
      <c r="V8" s="152">
        <v>13058</v>
      </c>
      <c r="W8" s="152">
        <v>26493.57894736842</v>
      </c>
      <c r="X8" s="152">
        <f>VLOOKUP($B8,[1]Sheet1!$A$2:$Y$38,23,0)</f>
        <v>825.2</v>
      </c>
      <c r="Y8" s="152">
        <f>VLOOKUP($B8,[1]Sheet1!$A$2:$Y$38,24,0)</f>
        <v>515.25</v>
      </c>
      <c r="Z8" s="152">
        <f>VLOOKUP($B8,[1]Sheet1!$A$2:$Y$38,25,0)</f>
        <v>1340.45</v>
      </c>
    </row>
    <row r="9" spans="1:29" s="153" customFormat="1" ht="31.5" customHeight="1" x14ac:dyDescent="0.35">
      <c r="A9" s="360">
        <v>5</v>
      </c>
      <c r="B9" s="154" t="s">
        <v>16</v>
      </c>
      <c r="C9" s="151">
        <v>1364804.3055555555</v>
      </c>
      <c r="D9" s="151">
        <v>1395065.9444444445</v>
      </c>
      <c r="E9" s="151">
        <v>2759870.25</v>
      </c>
      <c r="F9" s="151">
        <v>208807.30555555556</v>
      </c>
      <c r="G9" s="151">
        <v>186471.69444444444</v>
      </c>
      <c r="H9" s="151">
        <v>395279</v>
      </c>
      <c r="I9" s="151">
        <v>24587.222222222226</v>
      </c>
      <c r="J9" s="151">
        <v>24848.805555555555</v>
      </c>
      <c r="K9" s="151">
        <v>49436.027777777781</v>
      </c>
      <c r="L9" s="151">
        <v>760116.72222222225</v>
      </c>
      <c r="M9" s="151">
        <v>779012.3055555555</v>
      </c>
      <c r="N9" s="151">
        <v>1539129.0277777778</v>
      </c>
      <c r="O9" s="152">
        <v>58323.944444444453</v>
      </c>
      <c r="P9" s="152">
        <v>74943.111111111109</v>
      </c>
      <c r="Q9" s="152">
        <v>133267.05555555556</v>
      </c>
      <c r="R9" s="152">
        <v>12163</v>
      </c>
      <c r="S9" s="152">
        <v>11323.027777777777</v>
      </c>
      <c r="T9" s="152">
        <v>23486.027777777777</v>
      </c>
      <c r="U9" s="152">
        <v>35155.583333333336</v>
      </c>
      <c r="V9" s="152">
        <v>31935.944444444445</v>
      </c>
      <c r="W9" s="152">
        <v>67091.527777777781</v>
      </c>
      <c r="X9" s="152">
        <f>VLOOKUP($B9,[1]Sheet1!$A$2:$Y$38,23,0)</f>
        <v>1364.5</v>
      </c>
      <c r="Y9" s="152">
        <f>VLOOKUP($B9,[1]Sheet1!$A$2:$Y$38,24,0)</f>
        <v>660</v>
      </c>
      <c r="Z9" s="152">
        <f>VLOOKUP($B9,[1]Sheet1!$A$2:$Y$38,25,0)</f>
        <v>2024.5</v>
      </c>
    </row>
    <row r="10" spans="1:29" s="153" customFormat="1" ht="31.5" customHeight="1" x14ac:dyDescent="0.35">
      <c r="A10" s="360">
        <v>6</v>
      </c>
      <c r="B10" s="154" t="s">
        <v>17</v>
      </c>
      <c r="C10" s="151">
        <v>50520</v>
      </c>
      <c r="D10" s="151">
        <v>54194</v>
      </c>
      <c r="E10" s="151">
        <v>104714</v>
      </c>
      <c r="F10" s="151">
        <v>7786</v>
      </c>
      <c r="G10" s="151">
        <v>7259</v>
      </c>
      <c r="H10" s="151">
        <v>15045</v>
      </c>
      <c r="I10" s="151">
        <v>1340</v>
      </c>
      <c r="J10" s="151">
        <v>1221</v>
      </c>
      <c r="K10" s="151">
        <v>2561</v>
      </c>
      <c r="L10" s="151">
        <v>4831</v>
      </c>
      <c r="M10" s="151">
        <v>3436</v>
      </c>
      <c r="N10" s="151">
        <v>8267</v>
      </c>
      <c r="O10" s="152">
        <v>307</v>
      </c>
      <c r="P10" s="152">
        <v>411</v>
      </c>
      <c r="Q10" s="152">
        <v>718</v>
      </c>
      <c r="R10" s="152">
        <v>1605</v>
      </c>
      <c r="S10" s="152">
        <v>2360</v>
      </c>
      <c r="T10" s="152">
        <v>3965</v>
      </c>
      <c r="U10" s="152">
        <v>1290</v>
      </c>
      <c r="V10" s="152">
        <v>775</v>
      </c>
      <c r="W10" s="152">
        <v>2065</v>
      </c>
      <c r="X10" s="152">
        <f>VLOOKUP($B10,[1]Sheet1!$A$2:$Y$38,23,0)</f>
        <v>258</v>
      </c>
      <c r="Y10" s="152">
        <f>VLOOKUP($B10,[1]Sheet1!$A$2:$Y$38,24,0)</f>
        <v>147</v>
      </c>
      <c r="Z10" s="152">
        <f>VLOOKUP($B10,[1]Sheet1!$A$2:$Y$38,25,0)</f>
        <v>405</v>
      </c>
    </row>
    <row r="11" spans="1:29" s="153" customFormat="1" ht="31.5" customHeight="1" x14ac:dyDescent="0.35">
      <c r="A11" s="360">
        <v>7</v>
      </c>
      <c r="B11" s="154" t="s">
        <v>18</v>
      </c>
      <c r="C11" s="155">
        <v>360305.49418604648</v>
      </c>
      <c r="D11" s="155">
        <v>461802.89534883719</v>
      </c>
      <c r="E11" s="155">
        <v>822108.38953488367</v>
      </c>
      <c r="F11" s="151">
        <v>51295.034883720931</v>
      </c>
      <c r="G11" s="151">
        <v>61487.715116279069</v>
      </c>
      <c r="H11" s="151">
        <v>112782.75</v>
      </c>
      <c r="I11" s="151">
        <v>63295.046511627894</v>
      </c>
      <c r="J11" s="151">
        <v>102113.83139534884</v>
      </c>
      <c r="K11" s="151">
        <v>165408.87790697673</v>
      </c>
      <c r="L11" s="151">
        <v>166279.93604651166</v>
      </c>
      <c r="M11" s="151">
        <v>206962.76162790696</v>
      </c>
      <c r="N11" s="151">
        <v>373242.69767441862</v>
      </c>
      <c r="O11" s="152">
        <v>2306.8430232558139</v>
      </c>
      <c r="P11" s="152">
        <v>2382.4302325581393</v>
      </c>
      <c r="Q11" s="152">
        <v>4689.2732558139533</v>
      </c>
      <c r="R11" s="152">
        <v>3551.1744186046508</v>
      </c>
      <c r="S11" s="152">
        <v>4208.9069767441861</v>
      </c>
      <c r="T11" s="152">
        <v>7760.0813953488368</v>
      </c>
      <c r="U11" s="152">
        <v>1818.2441860465117</v>
      </c>
      <c r="V11" s="152">
        <v>1866.1627906976744</v>
      </c>
      <c r="W11" s="152">
        <v>3684.4069767441861</v>
      </c>
      <c r="X11" s="152">
        <f>VLOOKUP($B11,[1]Sheet1!$A$2:$Y$38,23,0)</f>
        <v>466.59999999999997</v>
      </c>
      <c r="Y11" s="152">
        <f>VLOOKUP($B11,[1]Sheet1!$A$2:$Y$38,24,0)</f>
        <v>241.2</v>
      </c>
      <c r="Z11" s="152">
        <f>VLOOKUP($B11,[1]Sheet1!$A$2:$Y$38,25,0)</f>
        <v>707.8</v>
      </c>
    </row>
    <row r="12" spans="1:29" s="153" customFormat="1" ht="31.5" customHeight="1" x14ac:dyDescent="0.35">
      <c r="A12" s="360">
        <v>8</v>
      </c>
      <c r="B12" s="154" t="s">
        <v>19</v>
      </c>
      <c r="C12" s="151">
        <v>620256.68368421053</v>
      </c>
      <c r="D12" s="151">
        <v>614701.28473684215</v>
      </c>
      <c r="E12" s="151">
        <v>1234957.9684210527</v>
      </c>
      <c r="F12" s="151">
        <v>84130.885058479515</v>
      </c>
      <c r="G12" s="151">
        <v>83545.29979532164</v>
      </c>
      <c r="H12" s="151">
        <v>167676.18485380115</v>
      </c>
      <c r="I12" s="151">
        <v>11190.420087719298</v>
      </c>
      <c r="J12" s="151">
        <v>10299.014269005847</v>
      </c>
      <c r="K12" s="151">
        <v>21489.434356725145</v>
      </c>
      <c r="L12" s="151">
        <v>107113.51692982457</v>
      </c>
      <c r="M12" s="151">
        <v>89965.711637426895</v>
      </c>
      <c r="N12" s="151">
        <v>197079.22856725147</v>
      </c>
      <c r="O12" s="152">
        <v>15515.476081871344</v>
      </c>
      <c r="P12" s="152">
        <v>14240.259824561403</v>
      </c>
      <c r="Q12" s="152">
        <v>29755.735906432747</v>
      </c>
      <c r="R12" s="152">
        <v>5235.1664912280694</v>
      </c>
      <c r="S12" s="152">
        <v>6414.3547953216375</v>
      </c>
      <c r="T12" s="152">
        <v>11649.521286549707</v>
      </c>
      <c r="U12" s="152">
        <v>24700.773859649125</v>
      </c>
      <c r="V12" s="152">
        <v>20051.310438596491</v>
      </c>
      <c r="W12" s="152">
        <v>44752.084298245616</v>
      </c>
      <c r="X12" s="152">
        <f>VLOOKUP($B12,[1]Sheet1!$A$2:$Y$38,23,0)</f>
        <v>3488.8</v>
      </c>
      <c r="Y12" s="152">
        <f>VLOOKUP($B12,[1]Sheet1!$A$2:$Y$38,24,0)</f>
        <v>1946.3</v>
      </c>
      <c r="Z12" s="152">
        <f>VLOOKUP($B12,[1]Sheet1!$A$2:$Y$38,25,0)</f>
        <v>5435.1</v>
      </c>
    </row>
    <row r="13" spans="1:29" s="153" customFormat="1" ht="31.5" customHeight="1" x14ac:dyDescent="0.35">
      <c r="A13" s="360">
        <v>9</v>
      </c>
      <c r="B13" s="154" t="s">
        <v>20</v>
      </c>
      <c r="C13" s="151">
        <v>32630</v>
      </c>
      <c r="D13" s="151">
        <v>32001</v>
      </c>
      <c r="E13" s="151">
        <v>64631</v>
      </c>
      <c r="F13" s="151">
        <v>786</v>
      </c>
      <c r="G13" s="151">
        <v>670</v>
      </c>
      <c r="H13" s="151">
        <v>1456</v>
      </c>
      <c r="I13" s="151">
        <v>1924</v>
      </c>
      <c r="J13" s="151">
        <v>2948</v>
      </c>
      <c r="K13" s="151">
        <v>4872</v>
      </c>
      <c r="L13" s="151">
        <v>4959</v>
      </c>
      <c r="M13" s="151">
        <v>6062</v>
      </c>
      <c r="N13" s="151">
        <v>11021</v>
      </c>
      <c r="O13" s="152">
        <v>1563</v>
      </c>
      <c r="P13" s="152">
        <v>1738</v>
      </c>
      <c r="Q13" s="152">
        <v>3301</v>
      </c>
      <c r="R13" s="152">
        <v>3984</v>
      </c>
      <c r="S13" s="152">
        <v>5832</v>
      </c>
      <c r="T13" s="152">
        <v>9816</v>
      </c>
      <c r="U13" s="152">
        <v>649</v>
      </c>
      <c r="V13" s="152">
        <v>622</v>
      </c>
      <c r="W13" s="152">
        <v>1271</v>
      </c>
      <c r="X13" s="152">
        <f>VLOOKUP($B13,[1]Sheet1!$A$2:$Y$38,23,0)</f>
        <v>41</v>
      </c>
      <c r="Y13" s="152">
        <f>VLOOKUP($B13,[1]Sheet1!$A$2:$Y$38,24,0)</f>
        <v>19</v>
      </c>
      <c r="Z13" s="152">
        <f>VLOOKUP($B13,[1]Sheet1!$A$2:$Y$38,25,0)</f>
        <v>60</v>
      </c>
    </row>
    <row r="14" spans="1:29" s="153" customFormat="1" ht="31.5" customHeight="1" x14ac:dyDescent="0.35">
      <c r="A14" s="360">
        <v>10</v>
      </c>
      <c r="B14" s="154" t="s">
        <v>21</v>
      </c>
      <c r="C14" s="151">
        <v>1053498</v>
      </c>
      <c r="D14" s="151">
        <v>888760</v>
      </c>
      <c r="E14" s="151">
        <v>1942258</v>
      </c>
      <c r="F14" s="151">
        <v>96587</v>
      </c>
      <c r="G14" s="151">
        <v>88484</v>
      </c>
      <c r="H14" s="151">
        <v>185071</v>
      </c>
      <c r="I14" s="151">
        <v>109408</v>
      </c>
      <c r="J14" s="151">
        <v>123580</v>
      </c>
      <c r="K14" s="151">
        <v>232988</v>
      </c>
      <c r="L14" s="151">
        <v>356627</v>
      </c>
      <c r="M14" s="151">
        <v>282160</v>
      </c>
      <c r="N14" s="151">
        <v>638787</v>
      </c>
      <c r="O14" s="152">
        <v>21981</v>
      </c>
      <c r="P14" s="152">
        <v>20243</v>
      </c>
      <c r="Q14" s="152">
        <v>42224</v>
      </c>
      <c r="R14" s="152">
        <v>9045</v>
      </c>
      <c r="S14" s="152">
        <v>9178</v>
      </c>
      <c r="T14" s="152">
        <v>18223</v>
      </c>
      <c r="U14" s="152">
        <v>47694</v>
      </c>
      <c r="V14" s="152">
        <v>37403</v>
      </c>
      <c r="W14" s="152">
        <v>85097</v>
      </c>
      <c r="X14" s="152">
        <f>VLOOKUP($B14,[1]Sheet1!$A$2:$Y$38,23,0)</f>
        <v>1336.2999999999997</v>
      </c>
      <c r="Y14" s="152">
        <f>VLOOKUP($B14,[1]Sheet1!$A$2:$Y$38,24,0)</f>
        <v>839.15</v>
      </c>
      <c r="Z14" s="152">
        <f>VLOOKUP($B14,[1]Sheet1!$A$2:$Y$38,25,0)</f>
        <v>2175.4499999999998</v>
      </c>
    </row>
    <row r="15" spans="1:29" s="153" customFormat="1" ht="31.5" customHeight="1" x14ac:dyDescent="0.35">
      <c r="A15" s="360">
        <v>11</v>
      </c>
      <c r="B15" s="154" t="s">
        <v>22</v>
      </c>
      <c r="C15" s="151">
        <v>547441</v>
      </c>
      <c r="D15" s="151">
        <v>599948</v>
      </c>
      <c r="E15" s="151">
        <v>1147389</v>
      </c>
      <c r="F15" s="151">
        <v>87241</v>
      </c>
      <c r="G15" s="151">
        <v>104609</v>
      </c>
      <c r="H15" s="151">
        <v>191850</v>
      </c>
      <c r="I15" s="151">
        <v>3047</v>
      </c>
      <c r="J15" s="151">
        <v>3364</v>
      </c>
      <c r="K15" s="151">
        <v>6411</v>
      </c>
      <c r="L15" s="151">
        <v>126838</v>
      </c>
      <c r="M15" s="151">
        <v>136989</v>
      </c>
      <c r="N15" s="151">
        <v>263827</v>
      </c>
      <c r="O15" s="152">
        <v>7121</v>
      </c>
      <c r="P15" s="152">
        <v>3821</v>
      </c>
      <c r="Q15" s="152">
        <v>10942</v>
      </c>
      <c r="R15" s="152">
        <v>5884</v>
      </c>
      <c r="S15" s="152">
        <v>6877</v>
      </c>
      <c r="T15" s="152">
        <v>12761</v>
      </c>
      <c r="U15" s="152">
        <v>9830</v>
      </c>
      <c r="V15" s="152">
        <v>7895</v>
      </c>
      <c r="W15" s="152">
        <v>17725</v>
      </c>
      <c r="X15" s="152">
        <f>VLOOKUP($B15,[1]Sheet1!$A$2:$Y$38,23,0)</f>
        <v>424.45000000000005</v>
      </c>
      <c r="Y15" s="152">
        <f>VLOOKUP($B15,[1]Sheet1!$A$2:$Y$38,24,0)</f>
        <v>192.75</v>
      </c>
      <c r="Z15" s="152">
        <f>VLOOKUP($B15,[1]Sheet1!$A$2:$Y$38,25,0)</f>
        <v>617.20000000000005</v>
      </c>
    </row>
    <row r="16" spans="1:29" s="153" customFormat="1" ht="31.5" customHeight="1" x14ac:dyDescent="0.35">
      <c r="A16" s="360">
        <v>12</v>
      </c>
      <c r="B16" s="154" t="s">
        <v>23</v>
      </c>
      <c r="C16" s="151">
        <v>154430.05857617993</v>
      </c>
      <c r="D16" s="151">
        <v>181741.87159057913</v>
      </c>
      <c r="E16" s="151">
        <v>336171.93016675906</v>
      </c>
      <c r="F16" s="151">
        <v>32216.574189301544</v>
      </c>
      <c r="G16" s="151">
        <v>39315.287674875937</v>
      </c>
      <c r="H16" s="151">
        <v>71531.861864177481</v>
      </c>
      <c r="I16" s="151">
        <v>8802.6804039964118</v>
      </c>
      <c r="J16" s="151">
        <v>10798.626837517157</v>
      </c>
      <c r="K16" s="151">
        <v>19601.307241513568</v>
      </c>
      <c r="L16" s="151">
        <v>20515.288136482421</v>
      </c>
      <c r="M16" s="151">
        <v>25985.075884938233</v>
      </c>
      <c r="N16" s="151">
        <v>46500.364021420653</v>
      </c>
      <c r="O16" s="152">
        <v>790.52735158642167</v>
      </c>
      <c r="P16" s="152">
        <v>540.48595680234394</v>
      </c>
      <c r="Q16" s="152">
        <v>1331.0133083887656</v>
      </c>
      <c r="R16" s="152">
        <v>597.31640666244311</v>
      </c>
      <c r="S16" s="152">
        <v>942.89396084098826</v>
      </c>
      <c r="T16" s="152">
        <v>1540.2103675034314</v>
      </c>
      <c r="U16" s="152">
        <v>3540.6977226533631</v>
      </c>
      <c r="V16" s="152">
        <v>3630.0531593152778</v>
      </c>
      <c r="W16" s="152">
        <v>7170.7508819686409</v>
      </c>
      <c r="X16" s="152">
        <f>VLOOKUP($B16,[1]Sheet1!$A$2:$Y$38,23,0)</f>
        <v>220.1</v>
      </c>
      <c r="Y16" s="152">
        <f>VLOOKUP($B16,[1]Sheet1!$A$2:$Y$38,24,0)</f>
        <v>82.35</v>
      </c>
      <c r="Z16" s="152">
        <f>VLOOKUP($B16,[1]Sheet1!$A$2:$Y$38,25,0)</f>
        <v>302.45</v>
      </c>
    </row>
    <row r="17" spans="1:26" s="153" customFormat="1" ht="31.5" customHeight="1" x14ac:dyDescent="0.35">
      <c r="A17" s="360">
        <v>13</v>
      </c>
      <c r="B17" s="150" t="s">
        <v>24</v>
      </c>
      <c r="C17" s="151">
        <v>161207</v>
      </c>
      <c r="D17" s="151">
        <v>191280</v>
      </c>
      <c r="E17" s="151">
        <v>352487</v>
      </c>
      <c r="F17" s="151">
        <v>10229</v>
      </c>
      <c r="G17" s="151">
        <v>12454</v>
      </c>
      <c r="H17" s="151">
        <v>22683</v>
      </c>
      <c r="I17" s="151">
        <v>14001</v>
      </c>
      <c r="J17" s="151">
        <v>12368</v>
      </c>
      <c r="K17" s="151">
        <v>26369</v>
      </c>
      <c r="L17" s="151">
        <v>15258</v>
      </c>
      <c r="M17" s="151">
        <v>12473</v>
      </c>
      <c r="N17" s="151">
        <v>27731</v>
      </c>
      <c r="O17" s="152">
        <v>55870</v>
      </c>
      <c r="P17" s="152">
        <v>62975</v>
      </c>
      <c r="Q17" s="152">
        <v>118845</v>
      </c>
      <c r="R17" s="152">
        <v>2331</v>
      </c>
      <c r="S17" s="152">
        <v>2842</v>
      </c>
      <c r="T17" s="152">
        <v>5173</v>
      </c>
      <c r="U17" s="152">
        <v>3158</v>
      </c>
      <c r="V17" s="152">
        <v>2410</v>
      </c>
      <c r="W17" s="152">
        <v>5568</v>
      </c>
      <c r="X17" s="152">
        <f>VLOOKUP($B17,[1]Sheet1!$A$2:$Y$38,23,0)</f>
        <v>194.7</v>
      </c>
      <c r="Y17" s="152">
        <f>VLOOKUP($B17,[1]Sheet1!$A$2:$Y$38,24,0)</f>
        <v>122.5</v>
      </c>
      <c r="Z17" s="152">
        <f>VLOOKUP($B17,[1]Sheet1!$A$2:$Y$38,25,0)</f>
        <v>317.2</v>
      </c>
    </row>
    <row r="18" spans="1:26" s="153" customFormat="1" ht="31.5" customHeight="1" x14ac:dyDescent="0.35">
      <c r="A18" s="360">
        <v>14</v>
      </c>
      <c r="B18" s="154" t="s">
        <v>25</v>
      </c>
      <c r="C18" s="151">
        <v>451726</v>
      </c>
      <c r="D18" s="151">
        <v>470129</v>
      </c>
      <c r="E18" s="151">
        <v>921855</v>
      </c>
      <c r="F18" s="151">
        <v>44953</v>
      </c>
      <c r="G18" s="151">
        <v>41610</v>
      </c>
      <c r="H18" s="151">
        <v>86563</v>
      </c>
      <c r="I18" s="151">
        <v>81026</v>
      </c>
      <c r="J18" s="151">
        <v>108555</v>
      </c>
      <c r="K18" s="151">
        <v>189581</v>
      </c>
      <c r="L18" s="151">
        <v>199030</v>
      </c>
      <c r="M18" s="151">
        <v>197385</v>
      </c>
      <c r="N18" s="151">
        <v>396415</v>
      </c>
      <c r="O18" s="152">
        <v>19748</v>
      </c>
      <c r="P18" s="152">
        <v>20904</v>
      </c>
      <c r="Q18" s="152">
        <v>40652</v>
      </c>
      <c r="R18" s="152">
        <v>10015</v>
      </c>
      <c r="S18" s="152">
        <v>12623</v>
      </c>
      <c r="T18" s="152">
        <v>22638</v>
      </c>
      <c r="U18" s="152">
        <v>5870</v>
      </c>
      <c r="V18" s="152">
        <v>3380</v>
      </c>
      <c r="W18" s="152">
        <v>9250</v>
      </c>
      <c r="X18" s="152">
        <f>VLOOKUP($B18,[1]Sheet1!$A$2:$Y$38,23,0)</f>
        <v>375.90000000000003</v>
      </c>
      <c r="Y18" s="152">
        <f>VLOOKUP($B18,[1]Sheet1!$A$2:$Y$38,24,0)</f>
        <v>201.7</v>
      </c>
      <c r="Z18" s="152">
        <f>VLOOKUP($B18,[1]Sheet1!$A$2:$Y$38,25,0)</f>
        <v>577.6</v>
      </c>
    </row>
    <row r="19" spans="1:26" s="153" customFormat="1" ht="31.5" customHeight="1" x14ac:dyDescent="0.35">
      <c r="A19" s="360">
        <v>15</v>
      </c>
      <c r="B19" s="154" t="s">
        <v>26</v>
      </c>
      <c r="C19" s="151">
        <v>1395420.3888743175</v>
      </c>
      <c r="D19" s="151">
        <v>1364512.6919459356</v>
      </c>
      <c r="E19" s="151">
        <v>2759933.0808202531</v>
      </c>
      <c r="F19" s="151">
        <v>199423.36684015399</v>
      </c>
      <c r="G19" s="151">
        <v>184948.93561122438</v>
      </c>
      <c r="H19" s="151">
        <v>384372.30245137837</v>
      </c>
      <c r="I19" s="151">
        <v>81382.492340992118</v>
      </c>
      <c r="J19" s="151">
        <v>77524.192732445226</v>
      </c>
      <c r="K19" s="151">
        <v>158906.68507343734</v>
      </c>
      <c r="L19" s="151">
        <v>705547.06738074298</v>
      </c>
      <c r="M19" s="151">
        <v>685146.05840088625</v>
      </c>
      <c r="N19" s="151">
        <v>1390693.1257816292</v>
      </c>
      <c r="O19" s="152">
        <v>90375.103703837842</v>
      </c>
      <c r="P19" s="152">
        <v>82887.01213100733</v>
      </c>
      <c r="Q19" s="152">
        <v>173262.11583484517</v>
      </c>
      <c r="R19" s="152">
        <v>50570.24813520164</v>
      </c>
      <c r="S19" s="152">
        <v>61456.120793364076</v>
      </c>
      <c r="T19" s="152">
        <v>112026.36892856572</v>
      </c>
      <c r="U19" s="152">
        <v>20183.918897064781</v>
      </c>
      <c r="V19" s="152">
        <v>42264.309859949084</v>
      </c>
      <c r="W19" s="152">
        <v>62448.228757013865</v>
      </c>
      <c r="X19" s="152">
        <f>VLOOKUP($B19,[1]Sheet1!$A$2:$Y$38,23,0)</f>
        <v>2116.1</v>
      </c>
      <c r="Y19" s="152">
        <f>VLOOKUP($B19,[1]Sheet1!$A$2:$Y$38,24,0)</f>
        <v>1445.6</v>
      </c>
      <c r="Z19" s="152">
        <f>VLOOKUP($B19,[1]Sheet1!$A$2:$Y$38,25,0)</f>
        <v>3561.7</v>
      </c>
    </row>
    <row r="20" spans="1:26" s="153" customFormat="1" ht="31.5" customHeight="1" x14ac:dyDescent="0.35">
      <c r="A20" s="360">
        <v>16</v>
      </c>
      <c r="B20" s="154" t="s">
        <v>27</v>
      </c>
      <c r="C20" s="155">
        <v>538142.37868302769</v>
      </c>
      <c r="D20" s="155">
        <v>738705.55205311871</v>
      </c>
      <c r="E20" s="155">
        <v>1276847.9307361464</v>
      </c>
      <c r="F20" s="151">
        <v>33609.973182021895</v>
      </c>
      <c r="G20" s="151">
        <v>53950.236764881971</v>
      </c>
      <c r="H20" s="151">
        <v>87560.209946903866</v>
      </c>
      <c r="I20" s="151">
        <v>5546.8645177997887</v>
      </c>
      <c r="J20" s="151">
        <v>8163.9252170929585</v>
      </c>
      <c r="K20" s="151">
        <v>13710.789734892747</v>
      </c>
      <c r="L20" s="151">
        <v>282171.40675347298</v>
      </c>
      <c r="M20" s="151">
        <v>417317.16970618663</v>
      </c>
      <c r="N20" s="151">
        <v>699488.57645965961</v>
      </c>
      <c r="O20" s="152">
        <v>108525.87950724547</v>
      </c>
      <c r="P20" s="152">
        <v>154878.05930868725</v>
      </c>
      <c r="Q20" s="152">
        <v>263403.93881593272</v>
      </c>
      <c r="R20" s="152">
        <v>57747.390348169618</v>
      </c>
      <c r="S20" s="152">
        <v>69878.162898424751</v>
      </c>
      <c r="T20" s="152">
        <v>127625.55324659437</v>
      </c>
      <c r="U20" s="152">
        <v>11939.85757789795</v>
      </c>
      <c r="V20" s="152">
        <v>17776.79731191829</v>
      </c>
      <c r="W20" s="152">
        <v>29716.65488981624</v>
      </c>
      <c r="X20" s="152">
        <f>VLOOKUP($B20,[1]Sheet1!$A$2:$Y$38,23,0)</f>
        <v>2031.1</v>
      </c>
      <c r="Y20" s="152">
        <f>VLOOKUP($B20,[1]Sheet1!$A$2:$Y$38,24,0)</f>
        <v>1703.35</v>
      </c>
      <c r="Z20" s="152">
        <f>VLOOKUP($B20,[1]Sheet1!$A$2:$Y$38,25,0)</f>
        <v>3734.45</v>
      </c>
    </row>
    <row r="21" spans="1:26" s="153" customFormat="1" ht="31.5" customHeight="1" x14ac:dyDescent="0.35">
      <c r="A21" s="360">
        <v>17</v>
      </c>
      <c r="B21" s="156" t="s">
        <v>28</v>
      </c>
      <c r="C21" s="151">
        <v>1728</v>
      </c>
      <c r="D21" s="151">
        <v>3036.9999999999991</v>
      </c>
      <c r="E21" s="151">
        <v>4764.9999999999991</v>
      </c>
      <c r="F21" s="151"/>
      <c r="G21" s="151"/>
      <c r="H21" s="151"/>
      <c r="I21" s="151">
        <v>1675.6666666666661</v>
      </c>
      <c r="J21" s="151">
        <v>2931.333333333333</v>
      </c>
      <c r="K21" s="151">
        <v>4606.9999999999991</v>
      </c>
      <c r="L21" s="151"/>
      <c r="M21" s="151"/>
      <c r="N21" s="151"/>
      <c r="O21" s="152">
        <v>998</v>
      </c>
      <c r="P21" s="152">
        <v>1670.6666666666665</v>
      </c>
      <c r="Q21" s="152">
        <v>2668.6666666666665</v>
      </c>
      <c r="R21" s="152">
        <v>506.33333333333303</v>
      </c>
      <c r="S21" s="152">
        <v>1023.333333333333</v>
      </c>
      <c r="T21" s="152">
        <v>1529.6666666666661</v>
      </c>
      <c r="U21" s="152"/>
      <c r="V21" s="152"/>
      <c r="W21" s="152"/>
      <c r="X21" s="152">
        <f>VLOOKUP($B21,[1]Sheet1!$A$2:$Y$38,23,0)</f>
        <v>1</v>
      </c>
      <c r="Y21" s="152"/>
      <c r="Z21" s="152">
        <f>VLOOKUP($B21,[1]Sheet1!$A$2:$Y$38,25,0)</f>
        <v>1</v>
      </c>
    </row>
    <row r="22" spans="1:26" s="153" customFormat="1" ht="31.5" customHeight="1" x14ac:dyDescent="0.35">
      <c r="A22" s="360">
        <v>18</v>
      </c>
      <c r="B22" s="154" t="s">
        <v>82</v>
      </c>
      <c r="C22" s="151">
        <v>199</v>
      </c>
      <c r="D22" s="151">
        <v>393</v>
      </c>
      <c r="E22" s="151">
        <v>592</v>
      </c>
      <c r="F22" s="151"/>
      <c r="G22" s="151">
        <v>1</v>
      </c>
      <c r="H22" s="151">
        <v>1</v>
      </c>
      <c r="I22" s="151">
        <v>193</v>
      </c>
      <c r="J22" s="151">
        <v>356</v>
      </c>
      <c r="K22" s="151">
        <v>549</v>
      </c>
      <c r="L22" s="151">
        <v>5</v>
      </c>
      <c r="M22" s="151">
        <v>19</v>
      </c>
      <c r="N22" s="151">
        <v>24</v>
      </c>
      <c r="O22" s="152">
        <v>49</v>
      </c>
      <c r="P22" s="152">
        <v>178</v>
      </c>
      <c r="Q22" s="152">
        <v>227</v>
      </c>
      <c r="R22" s="152"/>
      <c r="S22" s="152"/>
      <c r="T22" s="152"/>
      <c r="U22" s="152"/>
      <c r="V22" s="152"/>
      <c r="W22" s="152"/>
      <c r="X22" s="152"/>
      <c r="Y22" s="152"/>
      <c r="Z22" s="152"/>
    </row>
    <row r="23" spans="1:26" s="153" customFormat="1" ht="31.5" customHeight="1" x14ac:dyDescent="0.35">
      <c r="A23" s="360">
        <v>19</v>
      </c>
      <c r="B23" s="154" t="s">
        <v>29</v>
      </c>
      <c r="C23" s="151">
        <v>1444525.2222448413</v>
      </c>
      <c r="D23" s="151">
        <v>1329902.3241369652</v>
      </c>
      <c r="E23" s="151">
        <v>2774427.5463818065</v>
      </c>
      <c r="F23" s="151">
        <v>215083.59309655419</v>
      </c>
      <c r="G23" s="151">
        <v>198571.14797060299</v>
      </c>
      <c r="H23" s="151">
        <v>413654.74106715719</v>
      </c>
      <c r="I23" s="151">
        <v>150956.36597001675</v>
      </c>
      <c r="J23" s="151">
        <v>170128.83510653675</v>
      </c>
      <c r="K23" s="151">
        <v>321085.20107655349</v>
      </c>
      <c r="L23" s="151">
        <v>575266.44022158335</v>
      </c>
      <c r="M23" s="151">
        <v>553922.85103643325</v>
      </c>
      <c r="N23" s="151">
        <v>1129189.2912580166</v>
      </c>
      <c r="O23" s="152">
        <v>23510.470874263479</v>
      </c>
      <c r="P23" s="152">
        <v>18191.16490509464</v>
      </c>
      <c r="Q23" s="152">
        <v>41701.635779358119</v>
      </c>
      <c r="R23" s="152">
        <v>9910.4846828923655</v>
      </c>
      <c r="S23" s="152">
        <v>8804.5053455767084</v>
      </c>
      <c r="T23" s="152">
        <v>18714.990028469074</v>
      </c>
      <c r="U23" s="152">
        <v>16789.619194051051</v>
      </c>
      <c r="V23" s="152">
        <v>11748.853448360343</v>
      </c>
      <c r="W23" s="152">
        <v>28538.472642411394</v>
      </c>
      <c r="X23" s="152">
        <f>VLOOKUP($B23,[1]Sheet1!$A$2:$Y$38,23,0)</f>
        <v>1075.25</v>
      </c>
      <c r="Y23" s="152">
        <f>VLOOKUP($B23,[1]Sheet1!$A$2:$Y$38,24,0)</f>
        <v>508.8</v>
      </c>
      <c r="Z23" s="152">
        <f>VLOOKUP($B23,[1]Sheet1!$A$2:$Y$38,25,0)</f>
        <v>1584.05</v>
      </c>
    </row>
    <row r="24" spans="1:26" s="153" customFormat="1" ht="31.5" customHeight="1" x14ac:dyDescent="0.35">
      <c r="A24" s="360">
        <v>20</v>
      </c>
      <c r="B24" s="154" t="s">
        <v>30</v>
      </c>
      <c r="C24" s="151">
        <v>2473057.5083789262</v>
      </c>
      <c r="D24" s="151">
        <v>2180511.4741946277</v>
      </c>
      <c r="E24" s="151">
        <v>4653568.9825735539</v>
      </c>
      <c r="F24" s="151">
        <v>291043.96321559791</v>
      </c>
      <c r="G24" s="151">
        <v>287160.04740436911</v>
      </c>
      <c r="H24" s="151">
        <v>578204.01061996701</v>
      </c>
      <c r="I24" s="151">
        <v>117817.85829902327</v>
      </c>
      <c r="J24" s="151">
        <v>106856.56778286875</v>
      </c>
      <c r="K24" s="151">
        <v>224674.42608189202</v>
      </c>
      <c r="L24" s="151">
        <v>775512.47842279554</v>
      </c>
      <c r="M24" s="151">
        <v>680918.77319571225</v>
      </c>
      <c r="N24" s="151">
        <v>1456431.2516185078</v>
      </c>
      <c r="O24" s="152">
        <v>79994.781801058809</v>
      </c>
      <c r="P24" s="152">
        <v>79937.987628914983</v>
      </c>
      <c r="Q24" s="152">
        <v>159932.76942997379</v>
      </c>
      <c r="R24" s="152">
        <v>62434.469089299935</v>
      </c>
      <c r="S24" s="152">
        <v>66520.229852306584</v>
      </c>
      <c r="T24" s="152">
        <v>128954.69894160652</v>
      </c>
      <c r="U24" s="152">
        <v>64512.719162376656</v>
      </c>
      <c r="V24" s="152">
        <v>52819.500580267282</v>
      </c>
      <c r="W24" s="152">
        <v>117332.21974264394</v>
      </c>
      <c r="X24" s="152">
        <f>VLOOKUP($B24,[1]Sheet1!$A$2:$Y$38,23,0)</f>
        <v>3202.2</v>
      </c>
      <c r="Y24" s="152">
        <f>VLOOKUP($B24,[1]Sheet1!$A$2:$Y$38,24,0)</f>
        <v>1694.55</v>
      </c>
      <c r="Z24" s="152">
        <f>VLOOKUP($B24,[1]Sheet1!$A$2:$Y$38,25,0)</f>
        <v>4896.75</v>
      </c>
    </row>
    <row r="25" spans="1:26" s="153" customFormat="1" ht="31.5" customHeight="1" x14ac:dyDescent="0.35">
      <c r="A25" s="360">
        <v>21</v>
      </c>
      <c r="B25" s="154" t="s">
        <v>31</v>
      </c>
      <c r="C25" s="151">
        <v>55808</v>
      </c>
      <c r="D25" s="151">
        <v>56573</v>
      </c>
      <c r="E25" s="151">
        <v>112381</v>
      </c>
      <c r="F25" s="151">
        <v>3996</v>
      </c>
      <c r="G25" s="151">
        <v>3761</v>
      </c>
      <c r="H25" s="151">
        <v>7757</v>
      </c>
      <c r="I25" s="151">
        <v>17784</v>
      </c>
      <c r="J25" s="151">
        <v>18659</v>
      </c>
      <c r="K25" s="151">
        <v>36443</v>
      </c>
      <c r="L25" s="151">
        <v>19968</v>
      </c>
      <c r="M25" s="151">
        <v>21506</v>
      </c>
      <c r="N25" s="151">
        <v>41474</v>
      </c>
      <c r="O25" s="152">
        <v>2491</v>
      </c>
      <c r="P25" s="152">
        <v>2044</v>
      </c>
      <c r="Q25" s="152">
        <v>4535</v>
      </c>
      <c r="R25" s="152">
        <v>1691</v>
      </c>
      <c r="S25" s="152">
        <v>1820</v>
      </c>
      <c r="T25" s="152">
        <v>3511</v>
      </c>
      <c r="U25" s="152">
        <v>487</v>
      </c>
      <c r="V25" s="152">
        <v>201</v>
      </c>
      <c r="W25" s="152">
        <v>688</v>
      </c>
      <c r="X25" s="152">
        <f>VLOOKUP($B25,[1]Sheet1!$A$2:$Y$38,23,0)</f>
        <v>21.45</v>
      </c>
      <c r="Y25" s="152">
        <f>VLOOKUP($B25,[1]Sheet1!$A$2:$Y$38,24,0)</f>
        <v>12.55</v>
      </c>
      <c r="Z25" s="152">
        <f>VLOOKUP($B25,[1]Sheet1!$A$2:$Y$38,25,0)</f>
        <v>34</v>
      </c>
    </row>
    <row r="26" spans="1:26" s="153" customFormat="1" ht="31.5" customHeight="1" x14ac:dyDescent="0.35">
      <c r="A26" s="360">
        <v>22</v>
      </c>
      <c r="B26" s="154" t="s">
        <v>32</v>
      </c>
      <c r="C26" s="151">
        <v>48325.400568181823</v>
      </c>
      <c r="D26" s="151">
        <v>61490.309659090897</v>
      </c>
      <c r="E26" s="151">
        <v>109815.71022727272</v>
      </c>
      <c r="F26" s="151">
        <v>1868.3551136363635</v>
      </c>
      <c r="G26" s="151">
        <v>1676.0795454545455</v>
      </c>
      <c r="H26" s="151">
        <v>3544.434659090909</v>
      </c>
      <c r="I26" s="151">
        <v>33154.420454545449</v>
      </c>
      <c r="J26" s="151">
        <v>47584.071022727272</v>
      </c>
      <c r="K26" s="151">
        <v>80738.491477272721</v>
      </c>
      <c r="L26" s="151">
        <v>2077.0511363636365</v>
      </c>
      <c r="M26" s="151">
        <v>2111.1732954545455</v>
      </c>
      <c r="N26" s="151">
        <v>4188.224431818182</v>
      </c>
      <c r="O26" s="152">
        <v>3538.420454545454</v>
      </c>
      <c r="P26" s="152">
        <v>2730.784090909091</v>
      </c>
      <c r="Q26" s="152">
        <v>6269.204545454545</v>
      </c>
      <c r="R26" s="152">
        <v>14321.920454545456</v>
      </c>
      <c r="S26" s="152">
        <v>18582.991477272728</v>
      </c>
      <c r="T26" s="152">
        <v>32904.911931818184</v>
      </c>
      <c r="U26" s="152">
        <v>2298.636363636364</v>
      </c>
      <c r="V26" s="152">
        <v>2012.215909090909</v>
      </c>
      <c r="W26" s="152">
        <v>4310.852272727273</v>
      </c>
      <c r="X26" s="152">
        <f>VLOOKUP($B26,[1]Sheet1!$A$2:$Y$38,23,0)</f>
        <v>158.75</v>
      </c>
      <c r="Y26" s="152">
        <f>VLOOKUP($B26,[1]Sheet1!$A$2:$Y$38,24,0)</f>
        <v>148.5</v>
      </c>
      <c r="Z26" s="152">
        <f>VLOOKUP($B26,[1]Sheet1!$A$2:$Y$38,25,0)</f>
        <v>307.25</v>
      </c>
    </row>
    <row r="27" spans="1:26" s="153" customFormat="1" ht="31.5" customHeight="1" x14ac:dyDescent="0.35">
      <c r="A27" s="360">
        <v>23</v>
      </c>
      <c r="B27" s="154" t="s">
        <v>33</v>
      </c>
      <c r="C27" s="151">
        <v>22495</v>
      </c>
      <c r="D27" s="151">
        <v>22882</v>
      </c>
      <c r="E27" s="151">
        <v>45377</v>
      </c>
      <c r="F27" s="151">
        <v>249</v>
      </c>
      <c r="G27" s="151">
        <v>128</v>
      </c>
      <c r="H27" s="151">
        <v>377</v>
      </c>
      <c r="I27" s="151">
        <v>21006</v>
      </c>
      <c r="J27" s="151">
        <v>21941</v>
      </c>
      <c r="K27" s="151">
        <v>42947</v>
      </c>
      <c r="L27" s="151">
        <v>412</v>
      </c>
      <c r="M27" s="151">
        <v>287</v>
      </c>
      <c r="N27" s="151">
        <v>699</v>
      </c>
      <c r="O27" s="152">
        <v>65</v>
      </c>
      <c r="P27" s="152">
        <v>25</v>
      </c>
      <c r="Q27" s="152">
        <v>90</v>
      </c>
      <c r="R27" s="152">
        <v>5852</v>
      </c>
      <c r="S27" s="152">
        <v>5356</v>
      </c>
      <c r="T27" s="152">
        <v>11208</v>
      </c>
      <c r="U27" s="152">
        <v>66</v>
      </c>
      <c r="V27" s="152">
        <v>36</v>
      </c>
      <c r="W27" s="152">
        <v>102</v>
      </c>
      <c r="X27" s="152">
        <f>VLOOKUP($B27,[1]Sheet1!$A$2:$Y$38,23,0)</f>
        <v>14</v>
      </c>
      <c r="Y27" s="152">
        <f>VLOOKUP($B27,[1]Sheet1!$A$2:$Y$38,24,0)</f>
        <v>9</v>
      </c>
      <c r="Z27" s="152">
        <f>VLOOKUP($B27,[1]Sheet1!$A$2:$Y$38,25,0)</f>
        <v>23</v>
      </c>
    </row>
    <row r="28" spans="1:26" s="153" customFormat="1" ht="31.5" customHeight="1" x14ac:dyDescent="0.35">
      <c r="A28" s="360">
        <v>24</v>
      </c>
      <c r="B28" s="154" t="s">
        <v>34</v>
      </c>
      <c r="C28" s="151">
        <v>22483</v>
      </c>
      <c r="D28" s="151">
        <v>27441</v>
      </c>
      <c r="E28" s="151">
        <v>49924</v>
      </c>
      <c r="F28" s="151">
        <v>322</v>
      </c>
      <c r="G28" s="151">
        <v>243</v>
      </c>
      <c r="H28" s="151">
        <v>565</v>
      </c>
      <c r="I28" s="151">
        <v>19540</v>
      </c>
      <c r="J28" s="151">
        <v>24708</v>
      </c>
      <c r="K28" s="151">
        <v>44248</v>
      </c>
      <c r="L28" s="151">
        <v>760</v>
      </c>
      <c r="M28" s="151">
        <v>659</v>
      </c>
      <c r="N28" s="151">
        <v>1419</v>
      </c>
      <c r="O28" s="152">
        <v>74</v>
      </c>
      <c r="P28" s="152">
        <v>136</v>
      </c>
      <c r="Q28" s="152">
        <v>210</v>
      </c>
      <c r="R28" s="152">
        <v>10559</v>
      </c>
      <c r="S28" s="152">
        <v>12333</v>
      </c>
      <c r="T28" s="152">
        <v>22892</v>
      </c>
      <c r="U28" s="152">
        <v>89</v>
      </c>
      <c r="V28" s="152">
        <v>74</v>
      </c>
      <c r="W28" s="152">
        <v>163</v>
      </c>
      <c r="X28" s="152">
        <f>VLOOKUP($B28,[1]Sheet1!$A$2:$Y$38,23,0)</f>
        <v>2</v>
      </c>
      <c r="Y28" s="152">
        <f>VLOOKUP($B28,[1]Sheet1!$A$2:$Y$38,24,0)</f>
        <v>3</v>
      </c>
      <c r="Z28" s="152">
        <f>VLOOKUP($B28,[1]Sheet1!$A$2:$Y$38,25,0)</f>
        <v>5</v>
      </c>
    </row>
    <row r="29" spans="1:26" s="153" customFormat="1" ht="31.5" customHeight="1" x14ac:dyDescent="0.35">
      <c r="A29" s="360">
        <v>25</v>
      </c>
      <c r="B29" s="154" t="s">
        <v>35</v>
      </c>
      <c r="C29" s="151">
        <v>615536</v>
      </c>
      <c r="D29" s="151">
        <v>570395</v>
      </c>
      <c r="E29" s="151">
        <v>1185931</v>
      </c>
      <c r="F29" s="151">
        <v>111802</v>
      </c>
      <c r="G29" s="151">
        <v>98887</v>
      </c>
      <c r="H29" s="151">
        <v>210689</v>
      </c>
      <c r="I29" s="151">
        <v>90661</v>
      </c>
      <c r="J29" s="151">
        <v>91937</v>
      </c>
      <c r="K29" s="151">
        <v>182598</v>
      </c>
      <c r="L29" s="151">
        <v>151854</v>
      </c>
      <c r="M29" s="151">
        <v>153948</v>
      </c>
      <c r="N29" s="151">
        <v>305802</v>
      </c>
      <c r="O29" s="152">
        <v>4876</v>
      </c>
      <c r="P29" s="152">
        <v>4406</v>
      </c>
      <c r="Q29" s="152">
        <v>9282</v>
      </c>
      <c r="R29" s="152">
        <v>2497</v>
      </c>
      <c r="S29" s="152">
        <v>2788</v>
      </c>
      <c r="T29" s="152">
        <v>5285</v>
      </c>
      <c r="U29" s="152">
        <v>8562</v>
      </c>
      <c r="V29" s="152">
        <v>6864</v>
      </c>
      <c r="W29" s="152">
        <v>15426</v>
      </c>
      <c r="X29" s="152">
        <f>VLOOKUP($B29,[1]Sheet1!$A$2:$Y$38,23,0)</f>
        <v>1055.8499999999999</v>
      </c>
      <c r="Y29" s="152">
        <f>VLOOKUP($B29,[1]Sheet1!$A$2:$Y$38,24,0)</f>
        <v>652.9</v>
      </c>
      <c r="Z29" s="152">
        <f>VLOOKUP($B29,[1]Sheet1!$A$2:$Y$38,25,0)</f>
        <v>1708.75</v>
      </c>
    </row>
    <row r="30" spans="1:26" s="153" customFormat="1" ht="31.5" customHeight="1" x14ac:dyDescent="0.35">
      <c r="A30" s="360">
        <v>26</v>
      </c>
      <c r="B30" s="154" t="s">
        <v>36</v>
      </c>
      <c r="C30" s="151">
        <v>55780.193548387084</v>
      </c>
      <c r="D30" s="151">
        <v>60253.76209677419</v>
      </c>
      <c r="E30" s="151">
        <v>116033.95564516127</v>
      </c>
      <c r="F30" s="151">
        <v>7179.9435483870966</v>
      </c>
      <c r="G30" s="151">
        <v>7646.1370967741932</v>
      </c>
      <c r="H30" s="151">
        <v>14826.08064516129</v>
      </c>
      <c r="I30" s="151">
        <v>705.29838709677404</v>
      </c>
      <c r="J30" s="151">
        <v>522.72177419354841</v>
      </c>
      <c r="K30" s="151">
        <v>1228.0201612903224</v>
      </c>
      <c r="L30" s="151">
        <v>29436.927419354841</v>
      </c>
      <c r="M30" s="151">
        <v>34941.572580645152</v>
      </c>
      <c r="N30" s="151">
        <v>64378.499999999993</v>
      </c>
      <c r="O30" s="152">
        <v>2210.0040322580635</v>
      </c>
      <c r="P30" s="152">
        <v>2568.0967741935483</v>
      </c>
      <c r="Q30" s="152">
        <v>4778.1008064516118</v>
      </c>
      <c r="R30" s="152">
        <v>1591.8669354838703</v>
      </c>
      <c r="S30" s="152">
        <v>2473.6330645161288</v>
      </c>
      <c r="T30" s="152">
        <v>4065.4999999999991</v>
      </c>
      <c r="U30" s="152">
        <v>749.24193548387086</v>
      </c>
      <c r="V30" s="152">
        <v>530.19354838709671</v>
      </c>
      <c r="W30" s="152">
        <v>1279.4354838709676</v>
      </c>
      <c r="X30" s="152">
        <f>VLOOKUP($B30,[1]Sheet1!$A$2:$Y$38,23,0)</f>
        <v>125</v>
      </c>
      <c r="Y30" s="152">
        <f>VLOOKUP($B30,[1]Sheet1!$A$2:$Y$38,24,0)</f>
        <v>68</v>
      </c>
      <c r="Z30" s="152">
        <f>VLOOKUP($B30,[1]Sheet1!$A$2:$Y$38,25,0)</f>
        <v>193</v>
      </c>
    </row>
    <row r="31" spans="1:26" s="153" customFormat="1" ht="31.5" customHeight="1" x14ac:dyDescent="0.35">
      <c r="A31" s="360">
        <v>27</v>
      </c>
      <c r="B31" s="154" t="s">
        <v>37</v>
      </c>
      <c r="C31" s="151">
        <v>463374</v>
      </c>
      <c r="D31" s="151">
        <v>470290</v>
      </c>
      <c r="E31" s="151">
        <v>933664</v>
      </c>
      <c r="F31" s="151">
        <v>104946</v>
      </c>
      <c r="G31" s="151">
        <v>132587</v>
      </c>
      <c r="H31" s="151">
        <v>237533</v>
      </c>
      <c r="I31" s="151">
        <v>2940</v>
      </c>
      <c r="J31" s="151">
        <v>2385</v>
      </c>
      <c r="K31" s="151">
        <v>5325</v>
      </c>
      <c r="L31" s="151">
        <v>60495</v>
      </c>
      <c r="M31" s="151">
        <v>65971</v>
      </c>
      <c r="N31" s="151">
        <v>126466</v>
      </c>
      <c r="O31" s="152">
        <v>12613</v>
      </c>
      <c r="P31" s="152">
        <v>6072</v>
      </c>
      <c r="Q31" s="152">
        <v>18685</v>
      </c>
      <c r="R31" s="152">
        <v>58539</v>
      </c>
      <c r="S31" s="152">
        <v>64550</v>
      </c>
      <c r="T31" s="152">
        <v>123089</v>
      </c>
      <c r="U31" s="152">
        <v>5797</v>
      </c>
      <c r="V31" s="152">
        <v>6985</v>
      </c>
      <c r="W31" s="152">
        <v>12782</v>
      </c>
      <c r="X31" s="152">
        <f>VLOOKUP($B31,[1]Sheet1!$A$2:$Y$38,23,0)</f>
        <v>545</v>
      </c>
      <c r="Y31" s="152">
        <f>VLOOKUP($B31,[1]Sheet1!$A$2:$Y$38,24,0)</f>
        <v>296</v>
      </c>
      <c r="Z31" s="152">
        <f>VLOOKUP($B31,[1]Sheet1!$A$2:$Y$38,25,0)</f>
        <v>841</v>
      </c>
    </row>
    <row r="32" spans="1:26" s="153" customFormat="1" ht="31.5" customHeight="1" x14ac:dyDescent="0.35">
      <c r="A32" s="360">
        <v>28</v>
      </c>
      <c r="B32" s="154" t="s">
        <v>38</v>
      </c>
      <c r="C32" s="151">
        <v>1395611.5338091082</v>
      </c>
      <c r="D32" s="151">
        <v>1342113.8082075692</v>
      </c>
      <c r="E32" s="151">
        <v>2737725.3420166774</v>
      </c>
      <c r="F32" s="151">
        <v>245796.81540906758</v>
      </c>
      <c r="G32" s="151">
        <v>235202.10679849089</v>
      </c>
      <c r="H32" s="151">
        <v>480998.92220755847</v>
      </c>
      <c r="I32" s="151">
        <v>167818.77657529482</v>
      </c>
      <c r="J32" s="151">
        <v>173793.37870759601</v>
      </c>
      <c r="K32" s="151">
        <v>341612.15528289083</v>
      </c>
      <c r="L32" s="151">
        <v>599486.94528587372</v>
      </c>
      <c r="M32" s="151">
        <v>579409.963125546</v>
      </c>
      <c r="N32" s="151">
        <v>1178896.9084114197</v>
      </c>
      <c r="O32" s="152">
        <v>26136.083806331495</v>
      </c>
      <c r="P32" s="152">
        <v>23587.525568866964</v>
      </c>
      <c r="Q32" s="152">
        <v>49723.609375198459</v>
      </c>
      <c r="R32" s="152">
        <v>10529.187600011745</v>
      </c>
      <c r="S32" s="152">
        <v>9940.8542989072848</v>
      </c>
      <c r="T32" s="152">
        <v>20470.041898919029</v>
      </c>
      <c r="U32" s="152">
        <v>52365.192480995247</v>
      </c>
      <c r="V32" s="152">
        <v>51949.617957163573</v>
      </c>
      <c r="W32" s="152">
        <v>104314.81043815882</v>
      </c>
      <c r="X32" s="152">
        <f>VLOOKUP($B32,[1]Sheet1!$A$2:$Y$38,23,0)</f>
        <v>2677.5</v>
      </c>
      <c r="Y32" s="152">
        <f>VLOOKUP($B32,[1]Sheet1!$A$2:$Y$38,24,0)</f>
        <v>1234.75</v>
      </c>
      <c r="Z32" s="152">
        <f>VLOOKUP($B32,[1]Sheet1!$A$2:$Y$38,25,0)</f>
        <v>3912.25</v>
      </c>
    </row>
    <row r="33" spans="1:26" s="153" customFormat="1" ht="31.5" customHeight="1" x14ac:dyDescent="0.35">
      <c r="A33" s="360">
        <v>29</v>
      </c>
      <c r="B33" s="154" t="s">
        <v>39</v>
      </c>
      <c r="C33" s="151">
        <v>18123</v>
      </c>
      <c r="D33" s="151">
        <v>18798</v>
      </c>
      <c r="E33" s="151">
        <v>36921</v>
      </c>
      <c r="F33" s="151">
        <v>1149</v>
      </c>
      <c r="G33" s="151">
        <v>1012</v>
      </c>
      <c r="H33" s="151">
        <v>2161</v>
      </c>
      <c r="I33" s="151">
        <v>4846</v>
      </c>
      <c r="J33" s="151">
        <v>6120</v>
      </c>
      <c r="K33" s="151">
        <v>10966</v>
      </c>
      <c r="L33" s="151">
        <v>4950</v>
      </c>
      <c r="M33" s="151">
        <v>5332</v>
      </c>
      <c r="N33" s="151">
        <v>10282</v>
      </c>
      <c r="O33" s="152">
        <v>46</v>
      </c>
      <c r="P33" s="152">
        <v>36</v>
      </c>
      <c r="Q33" s="152">
        <v>82</v>
      </c>
      <c r="R33" s="152">
        <v>538</v>
      </c>
      <c r="S33" s="152">
        <v>571</v>
      </c>
      <c r="T33" s="152">
        <v>1109</v>
      </c>
      <c r="U33" s="152">
        <v>124</v>
      </c>
      <c r="V33" s="152">
        <v>124</v>
      </c>
      <c r="W33" s="152">
        <v>248</v>
      </c>
      <c r="X33" s="152">
        <f>VLOOKUP($B33,[1]Sheet1!$A$2:$Y$38,23,0)</f>
        <v>21</v>
      </c>
      <c r="Y33" s="152">
        <f>VLOOKUP($B33,[1]Sheet1!$A$2:$Y$38,24,0)</f>
        <v>13</v>
      </c>
      <c r="Z33" s="152">
        <f>VLOOKUP($B33,[1]Sheet1!$A$2:$Y$38,25,0)</f>
        <v>34</v>
      </c>
    </row>
    <row r="34" spans="1:26" s="153" customFormat="1" ht="31.5" customHeight="1" x14ac:dyDescent="0.35">
      <c r="A34" s="360">
        <v>30</v>
      </c>
      <c r="B34" s="154" t="s">
        <v>40</v>
      </c>
      <c r="C34" s="151">
        <v>1816574.1643342152</v>
      </c>
      <c r="D34" s="151">
        <v>1760472.6985454662</v>
      </c>
      <c r="E34" s="151">
        <v>3577046.8628796814</v>
      </c>
      <c r="F34" s="151">
        <v>332375.6997312727</v>
      </c>
      <c r="G34" s="151">
        <v>333091.91982287745</v>
      </c>
      <c r="H34" s="151">
        <v>665467.61955415015</v>
      </c>
      <c r="I34" s="151">
        <v>18641.779758938836</v>
      </c>
      <c r="J34" s="151">
        <v>14819.141418592299</v>
      </c>
      <c r="K34" s="151">
        <v>33460.921177531134</v>
      </c>
      <c r="L34" s="151">
        <v>1220563.9073892375</v>
      </c>
      <c r="M34" s="151">
        <v>1201738.4299384207</v>
      </c>
      <c r="N34" s="151">
        <v>2422302.3373276582</v>
      </c>
      <c r="O34" s="152">
        <v>76986.194710788201</v>
      </c>
      <c r="P34" s="152">
        <v>64905.7652578005</v>
      </c>
      <c r="Q34" s="152">
        <v>141891.95996858869</v>
      </c>
      <c r="R34" s="152">
        <v>114657.22557432459</v>
      </c>
      <c r="S34" s="152">
        <v>126664.69746260658</v>
      </c>
      <c r="T34" s="152">
        <v>241321.92303693117</v>
      </c>
      <c r="U34" s="152">
        <v>20906.287914435179</v>
      </c>
      <c r="V34" s="152">
        <v>15378.144666478856</v>
      </c>
      <c r="W34" s="152">
        <v>36284.432580914035</v>
      </c>
      <c r="X34" s="152">
        <f>VLOOKUP($B34,[1]Sheet1!$A$2:$Y$38,23,0)</f>
        <v>3151.3500000000008</v>
      </c>
      <c r="Y34" s="152">
        <f>VLOOKUP($B34,[1]Sheet1!$A$2:$Y$38,24,0)</f>
        <v>2345.1</v>
      </c>
      <c r="Z34" s="152">
        <f>VLOOKUP($B34,[1]Sheet1!$A$2:$Y$38,25,0)</f>
        <v>5496.4500000000007</v>
      </c>
    </row>
    <row r="35" spans="1:26" s="153" customFormat="1" ht="31.5" customHeight="1" x14ac:dyDescent="0.35">
      <c r="A35" s="360">
        <v>31</v>
      </c>
      <c r="B35" s="154" t="s">
        <v>41</v>
      </c>
      <c r="C35" s="151">
        <v>874244.41411017068</v>
      </c>
      <c r="D35" s="151">
        <v>913215.87659292482</v>
      </c>
      <c r="E35" s="151">
        <v>1787460.2907030955</v>
      </c>
      <c r="F35" s="151">
        <v>131979.8101009689</v>
      </c>
      <c r="G35" s="151">
        <v>152737.89864775268</v>
      </c>
      <c r="H35" s="151">
        <v>284717.70874872158</v>
      </c>
      <c r="I35" s="151">
        <v>82088.261950088112</v>
      </c>
      <c r="J35" s="151">
        <v>77498.560995710723</v>
      </c>
      <c r="K35" s="151">
        <v>159586.82294579883</v>
      </c>
      <c r="L35" s="151">
        <v>416022.18358674576</v>
      </c>
      <c r="M35" s="151">
        <v>441207.84399002988</v>
      </c>
      <c r="N35" s="151">
        <v>857230.02757677564</v>
      </c>
      <c r="O35" s="152">
        <v>82430.305003772271</v>
      </c>
      <c r="P35" s="152">
        <v>81036.096708236772</v>
      </c>
      <c r="Q35" s="152">
        <v>163466.40171200904</v>
      </c>
      <c r="R35" s="152">
        <v>4440.535234590654</v>
      </c>
      <c r="S35" s="152">
        <v>7491.1106683315775</v>
      </c>
      <c r="T35" s="152">
        <v>11931.645902922231</v>
      </c>
      <c r="U35" s="152">
        <v>14925.409031476007</v>
      </c>
      <c r="V35" s="152">
        <v>14396.042842297618</v>
      </c>
      <c r="W35" s="152">
        <v>29321.451873773625</v>
      </c>
      <c r="X35" s="152">
        <f>VLOOKUP($B35,[1]Sheet1!$A$2:$Y$38,23,0)</f>
        <v>1036.6499999999999</v>
      </c>
      <c r="Y35" s="152">
        <f>VLOOKUP($B35,[1]Sheet1!$A$2:$Y$38,24,0)</f>
        <v>668.55</v>
      </c>
      <c r="Z35" s="152">
        <f>VLOOKUP($B35,[1]Sheet1!$A$2:$Y$38,25,0)</f>
        <v>1705.1999999999998</v>
      </c>
    </row>
    <row r="36" spans="1:26" s="153" customFormat="1" ht="31.5" customHeight="1" x14ac:dyDescent="0.35">
      <c r="A36" s="360">
        <v>32</v>
      </c>
      <c r="B36" s="150" t="s">
        <v>58</v>
      </c>
      <c r="C36" s="151">
        <v>6410</v>
      </c>
      <c r="D36" s="151">
        <v>6210</v>
      </c>
      <c r="E36" s="151">
        <v>12620</v>
      </c>
      <c r="F36" s="151">
        <v>278</v>
      </c>
      <c r="G36" s="151">
        <v>249</v>
      </c>
      <c r="H36" s="151">
        <v>527</v>
      </c>
      <c r="I36" s="151">
        <v>893</v>
      </c>
      <c r="J36" s="151">
        <v>1222</v>
      </c>
      <c r="K36" s="151">
        <v>2115</v>
      </c>
      <c r="L36" s="151">
        <v>1345</v>
      </c>
      <c r="M36" s="151">
        <v>1187</v>
      </c>
      <c r="N36" s="151">
        <v>2532</v>
      </c>
      <c r="O36" s="152">
        <v>128</v>
      </c>
      <c r="P36" s="152">
        <v>121</v>
      </c>
      <c r="Q36" s="152">
        <v>249</v>
      </c>
      <c r="R36" s="152">
        <v>24</v>
      </c>
      <c r="S36" s="152">
        <v>64</v>
      </c>
      <c r="T36" s="152">
        <v>88</v>
      </c>
      <c r="U36" s="152">
        <v>82</v>
      </c>
      <c r="V36" s="152">
        <v>47</v>
      </c>
      <c r="W36" s="152">
        <v>129</v>
      </c>
      <c r="X36" s="152">
        <f>VLOOKUP($B36,[1]Sheet1!$A$2:$Y$38,23,0)</f>
        <v>7</v>
      </c>
      <c r="Y36" s="152">
        <f>VLOOKUP($B36,[1]Sheet1!$A$2:$Y$38,24,0)</f>
        <v>4</v>
      </c>
      <c r="Z36" s="152">
        <f>VLOOKUP($B36,[1]Sheet1!$A$2:$Y$38,25,0)</f>
        <v>11</v>
      </c>
    </row>
    <row r="37" spans="1:26" s="153" customFormat="1" ht="31.5" customHeight="1" x14ac:dyDescent="0.35">
      <c r="A37" s="360">
        <v>33</v>
      </c>
      <c r="B37" s="154" t="s">
        <v>42</v>
      </c>
      <c r="C37" s="151">
        <v>55043</v>
      </c>
      <c r="D37" s="151">
        <v>55326</v>
      </c>
      <c r="E37" s="151">
        <v>110369</v>
      </c>
      <c r="F37" s="151">
        <v>9986</v>
      </c>
      <c r="G37" s="151">
        <v>9852</v>
      </c>
      <c r="H37" s="151">
        <v>19838</v>
      </c>
      <c r="I37" s="151">
        <v>16508</v>
      </c>
      <c r="J37" s="151">
        <v>17719</v>
      </c>
      <c r="K37" s="151">
        <v>34227</v>
      </c>
      <c r="L37" s="151">
        <v>9660</v>
      </c>
      <c r="M37" s="151">
        <v>9796</v>
      </c>
      <c r="N37" s="151">
        <v>19456</v>
      </c>
      <c r="O37" s="152">
        <v>578</v>
      </c>
      <c r="P37" s="152">
        <v>611</v>
      </c>
      <c r="Q37" s="152">
        <v>1189</v>
      </c>
      <c r="R37" s="152">
        <v>468</v>
      </c>
      <c r="S37" s="152">
        <v>349</v>
      </c>
      <c r="T37" s="152">
        <v>817</v>
      </c>
      <c r="U37" s="152">
        <v>546</v>
      </c>
      <c r="V37" s="152">
        <v>288</v>
      </c>
      <c r="W37" s="152">
        <v>834</v>
      </c>
      <c r="X37" s="152">
        <f>VLOOKUP($B37,[1]Sheet1!$A$2:$Y$38,23,0)</f>
        <v>58.550000000000004</v>
      </c>
      <c r="Y37" s="152">
        <f>VLOOKUP($B37,[1]Sheet1!$A$2:$Y$38,24,0)</f>
        <v>24.4</v>
      </c>
      <c r="Z37" s="152">
        <f>VLOOKUP($B37,[1]Sheet1!$A$2:$Y$38,25,0)</f>
        <v>82.95</v>
      </c>
    </row>
    <row r="38" spans="1:26" s="153" customFormat="1" ht="31.5" customHeight="1" x14ac:dyDescent="0.35">
      <c r="A38" s="360">
        <v>34</v>
      </c>
      <c r="B38" s="154" t="s">
        <v>43</v>
      </c>
      <c r="C38" s="151">
        <v>3699351.4957744842</v>
      </c>
      <c r="D38" s="151">
        <v>3569746.6983138612</v>
      </c>
      <c r="E38" s="151">
        <v>7269098.1940883454</v>
      </c>
      <c r="F38" s="151">
        <v>686864.25659405417</v>
      </c>
      <c r="G38" s="151">
        <v>697234.62609072728</v>
      </c>
      <c r="H38" s="151">
        <v>1384098.8826847814</v>
      </c>
      <c r="I38" s="151">
        <v>37183.734674928608</v>
      </c>
      <c r="J38" s="151">
        <v>37695.574122136473</v>
      </c>
      <c r="K38" s="151">
        <v>74879.308797065081</v>
      </c>
      <c r="L38" s="151">
        <v>1585192.5604475387</v>
      </c>
      <c r="M38" s="151">
        <v>1603108.4098143717</v>
      </c>
      <c r="N38" s="151">
        <v>3188300.9702619105</v>
      </c>
      <c r="O38" s="152">
        <v>163211.573834977</v>
      </c>
      <c r="P38" s="152">
        <v>187949.40399503201</v>
      </c>
      <c r="Q38" s="152">
        <v>351160.97783000901</v>
      </c>
      <c r="R38" s="152">
        <v>14780.611295742776</v>
      </c>
      <c r="S38" s="152">
        <v>13299.212093772621</v>
      </c>
      <c r="T38" s="152">
        <v>28079.823389515397</v>
      </c>
      <c r="U38" s="152">
        <v>56894.679065708893</v>
      </c>
      <c r="V38" s="152">
        <v>42522.485944301494</v>
      </c>
      <c r="W38" s="152">
        <v>99417.165010010387</v>
      </c>
      <c r="X38" s="152">
        <f>VLOOKUP($B38,[1]Sheet1!$A$2:$Y$38,23,0)</f>
        <v>2809.3500000000004</v>
      </c>
      <c r="Y38" s="152">
        <f>VLOOKUP($B38,[1]Sheet1!$A$2:$Y$38,24,0)</f>
        <v>1442.25</v>
      </c>
      <c r="Z38" s="152">
        <f>VLOOKUP($B38,[1]Sheet1!$A$2:$Y$38,25,0)</f>
        <v>4251.6000000000004</v>
      </c>
    </row>
    <row r="39" spans="1:26" s="153" customFormat="1" ht="31.5" customHeight="1" x14ac:dyDescent="0.35">
      <c r="A39" s="360">
        <v>35</v>
      </c>
      <c r="B39" s="154" t="s">
        <v>44</v>
      </c>
      <c r="C39" s="151">
        <v>317341.76897050452</v>
      </c>
      <c r="D39" s="151">
        <v>323953.17042590817</v>
      </c>
      <c r="E39" s="151">
        <v>641294.93939641269</v>
      </c>
      <c r="F39" s="151">
        <v>43403.289838397599</v>
      </c>
      <c r="G39" s="151">
        <v>51051.130838407102</v>
      </c>
      <c r="H39" s="151">
        <v>94454.420676804701</v>
      </c>
      <c r="I39" s="151">
        <v>8878.9020067244473</v>
      </c>
      <c r="J39" s="151">
        <v>9864.0096233015338</v>
      </c>
      <c r="K39" s="151">
        <v>18742.911630025981</v>
      </c>
      <c r="L39" s="151">
        <v>64403.899996327193</v>
      </c>
      <c r="M39" s="151">
        <v>64637.646018658794</v>
      </c>
      <c r="N39" s="151">
        <v>129041.54601498599</v>
      </c>
      <c r="O39" s="152">
        <v>8539.405297341902</v>
      </c>
      <c r="P39" s="152">
        <v>10890.230079443856</v>
      </c>
      <c r="Q39" s="152">
        <v>19429.635376785758</v>
      </c>
      <c r="R39" s="152">
        <v>1761.5077392059484</v>
      </c>
      <c r="S39" s="152">
        <v>2250.6228692591858</v>
      </c>
      <c r="T39" s="152">
        <v>4012.1306084651342</v>
      </c>
      <c r="U39" s="152">
        <v>4987.1404318472087</v>
      </c>
      <c r="V39" s="152">
        <v>3329.2959958022934</v>
      </c>
      <c r="W39" s="152">
        <v>8316.4364276495016</v>
      </c>
      <c r="X39" s="152">
        <f>VLOOKUP($B39,[1]Sheet1!$A$2:$Y$38,23,0)</f>
        <v>416.25</v>
      </c>
      <c r="Y39" s="152">
        <f>VLOOKUP($B39,[1]Sheet1!$A$2:$Y$38,24,0)</f>
        <v>225.15</v>
      </c>
      <c r="Z39" s="152">
        <f>VLOOKUP($B39,[1]Sheet1!$A$2:$Y$38,25,0)</f>
        <v>641.4</v>
      </c>
    </row>
    <row r="40" spans="1:26" s="153" customFormat="1" ht="31.5" customHeight="1" x14ac:dyDescent="0.35">
      <c r="A40" s="360">
        <v>36</v>
      </c>
      <c r="B40" s="154" t="s">
        <v>45</v>
      </c>
      <c r="C40" s="151">
        <v>1199485.971219257</v>
      </c>
      <c r="D40" s="151">
        <v>1253993.7386403279</v>
      </c>
      <c r="E40" s="151">
        <v>2453479.7098595849</v>
      </c>
      <c r="F40" s="151">
        <v>226725.22948717952</v>
      </c>
      <c r="G40" s="151">
        <v>237691.89302721087</v>
      </c>
      <c r="H40" s="151">
        <v>464417.12251439039</v>
      </c>
      <c r="I40" s="151">
        <v>42963.696258503405</v>
      </c>
      <c r="J40" s="151">
        <v>49418.313217338218</v>
      </c>
      <c r="K40" s="151">
        <v>92382.009475841623</v>
      </c>
      <c r="L40" s="151">
        <v>222287.5756715507</v>
      </c>
      <c r="M40" s="151">
        <v>230588.66246729461</v>
      </c>
      <c r="N40" s="151">
        <v>452876.23813884531</v>
      </c>
      <c r="O40" s="152">
        <v>134053.4655067155</v>
      </c>
      <c r="P40" s="152">
        <v>153840.48073434501</v>
      </c>
      <c r="Q40" s="152">
        <v>287893.9462410605</v>
      </c>
      <c r="R40" s="152">
        <v>10948.692621664048</v>
      </c>
      <c r="S40" s="152">
        <v>12994.931292517007</v>
      </c>
      <c r="T40" s="152">
        <v>23943.623914181055</v>
      </c>
      <c r="U40" s="152">
        <v>9413.0146781789645</v>
      </c>
      <c r="V40" s="152">
        <v>7905.3927742892029</v>
      </c>
      <c r="W40" s="152">
        <v>17318.407452468167</v>
      </c>
      <c r="X40" s="152">
        <f>VLOOKUP($B40,[1]Sheet1!$A$2:$Y$38,23,0)</f>
        <v>2466.25</v>
      </c>
      <c r="Y40" s="152">
        <f>VLOOKUP($B40,[1]Sheet1!$A$2:$Y$38,24,0)</f>
        <v>1324.65</v>
      </c>
      <c r="Z40" s="152">
        <f>VLOOKUP($B40,[1]Sheet1!$A$2:$Y$38,25,0)</f>
        <v>3790.9</v>
      </c>
    </row>
    <row r="41" spans="1:26" s="146" customFormat="1" ht="28.5" customHeight="1" x14ac:dyDescent="0.35">
      <c r="A41" s="777" t="s">
        <v>46</v>
      </c>
      <c r="B41" s="777"/>
      <c r="C41" s="157">
        <v>22648174.618248142</v>
      </c>
      <c r="D41" s="157">
        <v>22352947.936657608</v>
      </c>
      <c r="E41" s="157">
        <v>45001122.55490575</v>
      </c>
      <c r="F41" s="157">
        <v>3463623.0855312184</v>
      </c>
      <c r="G41" s="157">
        <v>3508765.8186268969</v>
      </c>
      <c r="H41" s="157">
        <v>6972388.9041581154</v>
      </c>
      <c r="I41" s="157">
        <v>1375505.9403115483</v>
      </c>
      <c r="J41" s="157">
        <v>1507711.9700864684</v>
      </c>
      <c r="K41" s="157">
        <v>2883217.9103980167</v>
      </c>
      <c r="L41" s="157">
        <v>9029670.2914443016</v>
      </c>
      <c r="M41" s="157">
        <v>9004990.5327353813</v>
      </c>
      <c r="N41" s="157">
        <v>18034660.824179683</v>
      </c>
      <c r="O41" s="158">
        <v>1087503.3571811519</v>
      </c>
      <c r="P41" s="158">
        <v>1165295.345377373</v>
      </c>
      <c r="Q41" s="159">
        <v>2252798.7025585249</v>
      </c>
      <c r="R41" s="158">
        <v>508369.40641094919</v>
      </c>
      <c r="S41" s="158">
        <v>571196.98032632994</v>
      </c>
      <c r="T41" s="158">
        <v>1079566.3867372791</v>
      </c>
      <c r="U41" s="158">
        <v>469308.44903802196</v>
      </c>
      <c r="V41" s="158">
        <v>429558.19705418753</v>
      </c>
      <c r="W41" s="158">
        <v>898866.6460922095</v>
      </c>
      <c r="X41" s="159">
        <v>34080.050000000003</v>
      </c>
      <c r="Y41" s="159">
        <v>19999.550000000003</v>
      </c>
      <c r="Z41" s="159">
        <v>54079.6</v>
      </c>
    </row>
    <row r="42" spans="1:26" ht="26.25" customHeight="1" x14ac:dyDescent="0.3">
      <c r="N42" s="639" t="s">
        <v>1042</v>
      </c>
      <c r="Z42" s="639" t="s">
        <v>1043</v>
      </c>
    </row>
  </sheetData>
  <mergeCells count="13">
    <mergeCell ref="U2:W2"/>
    <mergeCell ref="X2:Z2"/>
    <mergeCell ref="A41:B41"/>
    <mergeCell ref="C1:N1"/>
    <mergeCell ref="O1:Z1"/>
    <mergeCell ref="A2:A3"/>
    <mergeCell ref="B2:B3"/>
    <mergeCell ref="C2:E2"/>
    <mergeCell ref="F2:H2"/>
    <mergeCell ref="I2:K2"/>
    <mergeCell ref="L2:N2"/>
    <mergeCell ref="O2:Q2"/>
    <mergeCell ref="R2:T2"/>
  </mergeCells>
  <pageMargins left="0.39370078740157483" right="0.15748031496062992" top="0.31496062992125984" bottom="0.39370078740157483" header="0.23622047244094491" footer="0.19685039370078741"/>
  <pageSetup paperSize="9" scale="65" firstPageNumber="14" orientation="portrait" r:id="rId1"/>
  <headerFooter>
    <oddFooter>&amp;L&amp;"Arial,Italic"&amp;9AISHE 2023-24</oddFooter>
  </headerFooter>
  <colBreaks count="1" manualBreakCount="1">
    <brk id="14" max="41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C142-DFA6-4489-A966-76DF82C84740}">
  <dimension ref="A1:AC178"/>
  <sheetViews>
    <sheetView showGridLines="0" showZeros="0" view="pageBreakPreview" zoomScaleNormal="100" zoomScaleSheetLayoutView="100" workbookViewId="0">
      <pane xSplit="2" ySplit="4" topLeftCell="C5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9.453125" defaultRowHeight="14" x14ac:dyDescent="0.3"/>
  <cols>
    <col min="1" max="1" width="6.81640625" style="163" bestFit="1" customWidth="1"/>
    <col min="2" max="2" width="44.54296875" style="169" customWidth="1"/>
    <col min="3" max="28" width="9.26953125" style="163" customWidth="1"/>
    <col min="29" max="29" width="10.26953125" style="163" customWidth="1"/>
    <col min="30" max="16384" width="9.453125" style="163"/>
  </cols>
  <sheetData>
    <row r="1" spans="1:29" s="162" customFormat="1" ht="33.75" customHeight="1" x14ac:dyDescent="0.35">
      <c r="B1" s="562"/>
      <c r="C1" s="786" t="s">
        <v>998</v>
      </c>
      <c r="D1" s="786"/>
      <c r="E1" s="786"/>
      <c r="F1" s="786"/>
      <c r="G1" s="786"/>
      <c r="H1" s="786"/>
      <c r="I1" s="786"/>
      <c r="J1" s="786"/>
      <c r="K1" s="786"/>
      <c r="L1" s="786" t="str">
        <f>C1</f>
        <v>Table 16. Country-Wise Enrolment of Foreign Students at Various Levels 
(Based on Actual Responses)</v>
      </c>
      <c r="M1" s="786"/>
      <c r="N1" s="786"/>
      <c r="O1" s="786"/>
      <c r="P1" s="786"/>
      <c r="Q1" s="786"/>
      <c r="R1" s="786"/>
      <c r="S1" s="786"/>
      <c r="T1" s="786"/>
      <c r="U1" s="786" t="str">
        <f>L1</f>
        <v>Table 16. Country-Wise Enrolment of Foreign Students at Various Levels 
(Based on Actual Responses)</v>
      </c>
      <c r="V1" s="786"/>
      <c r="W1" s="786"/>
      <c r="X1" s="786"/>
      <c r="Y1" s="786"/>
      <c r="Z1" s="786"/>
      <c r="AA1" s="786"/>
      <c r="AB1" s="786"/>
      <c r="AC1" s="786"/>
    </row>
    <row r="2" spans="1:29" ht="17.149999999999999" customHeight="1" x14ac:dyDescent="0.3">
      <c r="A2" s="756" t="s">
        <v>48</v>
      </c>
      <c r="B2" s="756" t="s">
        <v>707</v>
      </c>
      <c r="C2" s="787" t="s">
        <v>95</v>
      </c>
      <c r="D2" s="787"/>
      <c r="E2" s="787"/>
      <c r="F2" s="787" t="s">
        <v>96</v>
      </c>
      <c r="G2" s="787"/>
      <c r="H2" s="787"/>
      <c r="I2" s="787" t="s">
        <v>97</v>
      </c>
      <c r="J2" s="787"/>
      <c r="K2" s="787"/>
      <c r="L2" s="787" t="s">
        <v>98</v>
      </c>
      <c r="M2" s="787"/>
      <c r="N2" s="787"/>
      <c r="O2" s="787" t="s">
        <v>99</v>
      </c>
      <c r="P2" s="787"/>
      <c r="Q2" s="787"/>
      <c r="R2" s="787" t="s">
        <v>100</v>
      </c>
      <c r="S2" s="787"/>
      <c r="T2" s="787"/>
      <c r="U2" s="787" t="s">
        <v>101</v>
      </c>
      <c r="V2" s="787"/>
      <c r="W2" s="787"/>
      <c r="X2" s="787" t="s">
        <v>102</v>
      </c>
      <c r="Y2" s="787"/>
      <c r="Z2" s="787"/>
      <c r="AA2" s="787" t="s">
        <v>12</v>
      </c>
      <c r="AB2" s="787"/>
      <c r="AC2" s="787"/>
    </row>
    <row r="3" spans="1:29" ht="17.149999999999999" customHeight="1" x14ac:dyDescent="0.3">
      <c r="A3" s="756"/>
      <c r="B3" s="756"/>
      <c r="C3" s="164" t="s">
        <v>103</v>
      </c>
      <c r="D3" s="164" t="s">
        <v>104</v>
      </c>
      <c r="E3" s="164" t="s">
        <v>89</v>
      </c>
      <c r="F3" s="164" t="s">
        <v>103</v>
      </c>
      <c r="G3" s="164" t="s">
        <v>104</v>
      </c>
      <c r="H3" s="164" t="s">
        <v>89</v>
      </c>
      <c r="I3" s="164" t="s">
        <v>103</v>
      </c>
      <c r="J3" s="164" t="s">
        <v>104</v>
      </c>
      <c r="K3" s="164" t="s">
        <v>89</v>
      </c>
      <c r="L3" s="164" t="s">
        <v>103</v>
      </c>
      <c r="M3" s="164" t="s">
        <v>104</v>
      </c>
      <c r="N3" s="164" t="s">
        <v>89</v>
      </c>
      <c r="O3" s="164" t="s">
        <v>103</v>
      </c>
      <c r="P3" s="164" t="s">
        <v>104</v>
      </c>
      <c r="Q3" s="164" t="s">
        <v>89</v>
      </c>
      <c r="R3" s="164" t="s">
        <v>103</v>
      </c>
      <c r="S3" s="164" t="s">
        <v>104</v>
      </c>
      <c r="T3" s="164" t="s">
        <v>89</v>
      </c>
      <c r="U3" s="164" t="s">
        <v>103</v>
      </c>
      <c r="V3" s="164" t="s">
        <v>104</v>
      </c>
      <c r="W3" s="164" t="s">
        <v>89</v>
      </c>
      <c r="X3" s="164" t="s">
        <v>103</v>
      </c>
      <c r="Y3" s="164" t="s">
        <v>104</v>
      </c>
      <c r="Z3" s="164" t="s">
        <v>89</v>
      </c>
      <c r="AA3" s="164" t="s">
        <v>103</v>
      </c>
      <c r="AB3" s="164" t="s">
        <v>104</v>
      </c>
      <c r="AC3" s="164" t="s">
        <v>89</v>
      </c>
    </row>
    <row r="4" spans="1:29" s="166" customFormat="1" ht="11.15" customHeight="1" x14ac:dyDescent="0.25">
      <c r="A4" s="165">
        <v>1</v>
      </c>
      <c r="B4" s="165">
        <v>2</v>
      </c>
      <c r="C4" s="165">
        <v>3</v>
      </c>
      <c r="D4" s="165">
        <v>4</v>
      </c>
      <c r="E4" s="165">
        <v>5</v>
      </c>
      <c r="F4" s="165">
        <v>6</v>
      </c>
      <c r="G4" s="165">
        <v>7</v>
      </c>
      <c r="H4" s="165">
        <v>8</v>
      </c>
      <c r="I4" s="165">
        <v>9</v>
      </c>
      <c r="J4" s="165">
        <v>10</v>
      </c>
      <c r="K4" s="165">
        <v>11</v>
      </c>
      <c r="L4" s="165">
        <v>12</v>
      </c>
      <c r="M4" s="165">
        <v>13</v>
      </c>
      <c r="N4" s="165">
        <v>14</v>
      </c>
      <c r="O4" s="165">
        <v>15</v>
      </c>
      <c r="P4" s="165">
        <v>16</v>
      </c>
      <c r="Q4" s="165">
        <v>17</v>
      </c>
      <c r="R4" s="165">
        <v>18</v>
      </c>
      <c r="S4" s="165">
        <v>19</v>
      </c>
      <c r="T4" s="165">
        <v>20</v>
      </c>
      <c r="U4" s="165">
        <v>21</v>
      </c>
      <c r="V4" s="165">
        <v>22</v>
      </c>
      <c r="W4" s="165">
        <v>23</v>
      </c>
      <c r="X4" s="165">
        <v>24</v>
      </c>
      <c r="Y4" s="165">
        <v>25</v>
      </c>
      <c r="Z4" s="165">
        <v>26</v>
      </c>
      <c r="AA4" s="165">
        <v>27</v>
      </c>
      <c r="AB4" s="165">
        <v>28</v>
      </c>
      <c r="AC4" s="165">
        <v>29</v>
      </c>
    </row>
    <row r="5" spans="1:29" ht="15.75" customHeight="1" x14ac:dyDescent="0.3">
      <c r="A5" s="361">
        <v>1</v>
      </c>
      <c r="B5" s="167" t="s">
        <v>708</v>
      </c>
      <c r="C5" s="111">
        <v>186</v>
      </c>
      <c r="D5" s="111">
        <v>39</v>
      </c>
      <c r="E5" s="111">
        <v>225</v>
      </c>
      <c r="F5" s="111"/>
      <c r="G5" s="111">
        <v>1</v>
      </c>
      <c r="H5" s="111">
        <v>1</v>
      </c>
      <c r="I5" s="111">
        <v>1039</v>
      </c>
      <c r="J5" s="111">
        <v>526</v>
      </c>
      <c r="K5" s="111">
        <v>1565</v>
      </c>
      <c r="L5" s="111">
        <v>8613</v>
      </c>
      <c r="M5" s="111">
        <v>2902</v>
      </c>
      <c r="N5" s="111">
        <v>11515</v>
      </c>
      <c r="O5" s="111">
        <v>13</v>
      </c>
      <c r="P5" s="111">
        <v>3</v>
      </c>
      <c r="Q5" s="111">
        <v>16</v>
      </c>
      <c r="R5" s="111">
        <v>324</v>
      </c>
      <c r="S5" s="111">
        <v>271</v>
      </c>
      <c r="T5" s="111">
        <v>595</v>
      </c>
      <c r="U5" s="111">
        <v>14</v>
      </c>
      <c r="V5" s="111">
        <v>1</v>
      </c>
      <c r="W5" s="111">
        <v>15</v>
      </c>
      <c r="X5" s="111">
        <v>23</v>
      </c>
      <c r="Y5" s="111">
        <v>44</v>
      </c>
      <c r="Z5" s="111">
        <v>67</v>
      </c>
      <c r="AA5" s="111">
        <v>10212</v>
      </c>
      <c r="AB5" s="111">
        <v>3787</v>
      </c>
      <c r="AC5" s="111">
        <v>13999</v>
      </c>
    </row>
    <row r="6" spans="1:29" ht="15.75" customHeight="1" x14ac:dyDescent="0.3">
      <c r="A6" s="361">
        <v>2</v>
      </c>
      <c r="B6" s="167" t="s">
        <v>709</v>
      </c>
      <c r="C6" s="111">
        <v>13</v>
      </c>
      <c r="D6" s="111">
        <v>52</v>
      </c>
      <c r="E6" s="111">
        <v>65</v>
      </c>
      <c r="F6" s="111"/>
      <c r="G6" s="111"/>
      <c r="H6" s="111"/>
      <c r="I6" s="111">
        <v>210</v>
      </c>
      <c r="J6" s="111">
        <v>191</v>
      </c>
      <c r="K6" s="111">
        <v>401</v>
      </c>
      <c r="L6" s="111">
        <v>1979</v>
      </c>
      <c r="M6" s="111">
        <v>1568</v>
      </c>
      <c r="N6" s="111">
        <v>3547</v>
      </c>
      <c r="O6" s="111">
        <v>2</v>
      </c>
      <c r="P6" s="111">
        <v>3</v>
      </c>
      <c r="Q6" s="111">
        <v>5</v>
      </c>
      <c r="R6" s="111"/>
      <c r="S6" s="111"/>
      <c r="T6" s="111"/>
      <c r="U6" s="111">
        <v>11</v>
      </c>
      <c r="V6" s="111">
        <v>2</v>
      </c>
      <c r="W6" s="111">
        <v>13</v>
      </c>
      <c r="X6" s="111">
        <v>33</v>
      </c>
      <c r="Y6" s="111">
        <v>30</v>
      </c>
      <c r="Z6" s="111">
        <v>63</v>
      </c>
      <c r="AA6" s="111">
        <v>2248</v>
      </c>
      <c r="AB6" s="111">
        <v>1846</v>
      </c>
      <c r="AC6" s="111">
        <v>4094</v>
      </c>
    </row>
    <row r="7" spans="1:29" ht="15.75" customHeight="1" x14ac:dyDescent="0.3">
      <c r="A7" s="361">
        <v>3</v>
      </c>
      <c r="B7" s="167" t="s">
        <v>710</v>
      </c>
      <c r="C7" s="111">
        <v>18</v>
      </c>
      <c r="D7" s="111">
        <v>21</v>
      </c>
      <c r="E7" s="111">
        <v>39</v>
      </c>
      <c r="F7" s="111"/>
      <c r="G7" s="111">
        <v>3</v>
      </c>
      <c r="H7" s="111">
        <v>3</v>
      </c>
      <c r="I7" s="111">
        <v>175</v>
      </c>
      <c r="J7" s="111">
        <v>206</v>
      </c>
      <c r="K7" s="111">
        <v>381</v>
      </c>
      <c r="L7" s="111">
        <v>1261</v>
      </c>
      <c r="M7" s="111">
        <v>1206</v>
      </c>
      <c r="N7" s="111">
        <v>2467</v>
      </c>
      <c r="O7" s="111">
        <v>44</v>
      </c>
      <c r="P7" s="111">
        <v>22</v>
      </c>
      <c r="Q7" s="111">
        <v>66</v>
      </c>
      <c r="R7" s="111"/>
      <c r="S7" s="111">
        <v>315</v>
      </c>
      <c r="T7" s="111">
        <v>315</v>
      </c>
      <c r="U7" s="111">
        <v>2</v>
      </c>
      <c r="V7" s="111">
        <v>4</v>
      </c>
      <c r="W7" s="111">
        <v>6</v>
      </c>
      <c r="X7" s="111">
        <v>68</v>
      </c>
      <c r="Y7" s="111">
        <v>93</v>
      </c>
      <c r="Z7" s="111">
        <v>161</v>
      </c>
      <c r="AA7" s="111">
        <v>1568</v>
      </c>
      <c r="AB7" s="111">
        <v>1870</v>
      </c>
      <c r="AC7" s="111">
        <v>3438</v>
      </c>
    </row>
    <row r="8" spans="1:29" ht="15.75" customHeight="1" x14ac:dyDescent="0.3">
      <c r="A8" s="361">
        <v>4</v>
      </c>
      <c r="B8" s="167" t="s">
        <v>711</v>
      </c>
      <c r="C8" s="111">
        <v>119</v>
      </c>
      <c r="D8" s="111">
        <v>50</v>
      </c>
      <c r="E8" s="111">
        <v>169</v>
      </c>
      <c r="F8" s="111"/>
      <c r="G8" s="111"/>
      <c r="H8" s="111"/>
      <c r="I8" s="111">
        <v>285</v>
      </c>
      <c r="J8" s="111">
        <v>205</v>
      </c>
      <c r="K8" s="111">
        <v>490</v>
      </c>
      <c r="L8" s="111">
        <v>1992</v>
      </c>
      <c r="M8" s="111">
        <v>694</v>
      </c>
      <c r="N8" s="111">
        <v>2686</v>
      </c>
      <c r="O8" s="111">
        <v>1</v>
      </c>
      <c r="P8" s="111">
        <v>4</v>
      </c>
      <c r="Q8" s="111">
        <v>5</v>
      </c>
      <c r="R8" s="111">
        <v>16</v>
      </c>
      <c r="S8" s="111">
        <v>6</v>
      </c>
      <c r="T8" s="111">
        <v>22</v>
      </c>
      <c r="U8" s="111">
        <v>7</v>
      </c>
      <c r="V8" s="111">
        <v>3</v>
      </c>
      <c r="W8" s="111">
        <v>10</v>
      </c>
      <c r="X8" s="111">
        <v>23</v>
      </c>
      <c r="Y8" s="111">
        <v>15</v>
      </c>
      <c r="Z8" s="111">
        <v>38</v>
      </c>
      <c r="AA8" s="111">
        <v>2443</v>
      </c>
      <c r="AB8" s="111">
        <v>977</v>
      </c>
      <c r="AC8" s="111">
        <v>3420</v>
      </c>
    </row>
    <row r="9" spans="1:29" ht="15.75" customHeight="1" x14ac:dyDescent="0.3">
      <c r="A9" s="361">
        <v>5</v>
      </c>
      <c r="B9" s="167" t="s">
        <v>712</v>
      </c>
      <c r="C9" s="111">
        <v>95</v>
      </c>
      <c r="D9" s="111">
        <v>13</v>
      </c>
      <c r="E9" s="111">
        <v>108</v>
      </c>
      <c r="F9" s="111"/>
      <c r="G9" s="111"/>
      <c r="H9" s="111"/>
      <c r="I9" s="111">
        <v>588</v>
      </c>
      <c r="J9" s="111">
        <v>132</v>
      </c>
      <c r="K9" s="111">
        <v>720</v>
      </c>
      <c r="L9" s="111">
        <v>1794</v>
      </c>
      <c r="M9" s="111">
        <v>536</v>
      </c>
      <c r="N9" s="111">
        <v>2330</v>
      </c>
      <c r="O9" s="111">
        <v>7</v>
      </c>
      <c r="P9" s="111">
        <v>1</v>
      </c>
      <c r="Q9" s="111">
        <v>8</v>
      </c>
      <c r="R9" s="111">
        <v>2</v>
      </c>
      <c r="S9" s="111">
        <v>2</v>
      </c>
      <c r="T9" s="111">
        <v>4</v>
      </c>
      <c r="U9" s="111">
        <v>3</v>
      </c>
      <c r="V9" s="111">
        <v>2</v>
      </c>
      <c r="W9" s="111">
        <v>5</v>
      </c>
      <c r="X9" s="111">
        <v>18</v>
      </c>
      <c r="Y9" s="111">
        <v>12</v>
      </c>
      <c r="Z9" s="111">
        <v>30</v>
      </c>
      <c r="AA9" s="111">
        <v>2507</v>
      </c>
      <c r="AB9" s="111">
        <v>698</v>
      </c>
      <c r="AC9" s="111">
        <v>3205</v>
      </c>
    </row>
    <row r="10" spans="1:29" ht="15.75" customHeight="1" x14ac:dyDescent="0.3">
      <c r="A10" s="361">
        <v>6</v>
      </c>
      <c r="B10" s="167" t="s">
        <v>713</v>
      </c>
      <c r="C10" s="111">
        <v>11</v>
      </c>
      <c r="D10" s="111">
        <v>2</v>
      </c>
      <c r="E10" s="111">
        <v>13</v>
      </c>
      <c r="F10" s="111"/>
      <c r="G10" s="111"/>
      <c r="H10" s="111"/>
      <c r="I10" s="111">
        <v>117</v>
      </c>
      <c r="J10" s="111">
        <v>73</v>
      </c>
      <c r="K10" s="111">
        <v>190</v>
      </c>
      <c r="L10" s="111">
        <v>948</v>
      </c>
      <c r="M10" s="111">
        <v>747</v>
      </c>
      <c r="N10" s="111">
        <v>1695</v>
      </c>
      <c r="O10" s="111">
        <v>6</v>
      </c>
      <c r="P10" s="111">
        <v>2</v>
      </c>
      <c r="Q10" s="111">
        <v>8</v>
      </c>
      <c r="R10" s="111">
        <v>71</v>
      </c>
      <c r="S10" s="111">
        <v>59</v>
      </c>
      <c r="T10" s="111">
        <v>130</v>
      </c>
      <c r="U10" s="111"/>
      <c r="V10" s="111"/>
      <c r="W10" s="111"/>
      <c r="X10" s="111">
        <v>105</v>
      </c>
      <c r="Y10" s="111">
        <v>165</v>
      </c>
      <c r="Z10" s="111">
        <v>270</v>
      </c>
      <c r="AA10" s="111">
        <v>1258</v>
      </c>
      <c r="AB10" s="111">
        <v>1048</v>
      </c>
      <c r="AC10" s="111">
        <v>2306</v>
      </c>
    </row>
    <row r="11" spans="1:29" ht="15.75" customHeight="1" x14ac:dyDescent="0.3">
      <c r="A11" s="361">
        <v>7</v>
      </c>
      <c r="B11" s="167" t="s">
        <v>714</v>
      </c>
      <c r="C11" s="27">
        <v>241</v>
      </c>
      <c r="D11" s="111">
        <v>44</v>
      </c>
      <c r="E11" s="111">
        <v>285</v>
      </c>
      <c r="F11" s="111"/>
      <c r="G11" s="111"/>
      <c r="H11" s="111"/>
      <c r="I11" s="111">
        <v>642</v>
      </c>
      <c r="J11" s="111">
        <v>341</v>
      </c>
      <c r="K11" s="111">
        <v>983</v>
      </c>
      <c r="L11" s="111">
        <v>413</v>
      </c>
      <c r="M11" s="111">
        <v>402</v>
      </c>
      <c r="N11" s="111">
        <v>815</v>
      </c>
      <c r="O11" s="111">
        <v>6</v>
      </c>
      <c r="P11" s="111">
        <v>1</v>
      </c>
      <c r="Q11" s="111">
        <v>7</v>
      </c>
      <c r="R11" s="111">
        <v>16</v>
      </c>
      <c r="S11" s="111">
        <v>15</v>
      </c>
      <c r="T11" s="111">
        <v>31</v>
      </c>
      <c r="U11" s="111"/>
      <c r="V11" s="111"/>
      <c r="W11" s="111"/>
      <c r="X11" s="111">
        <v>9</v>
      </c>
      <c r="Y11" s="111">
        <v>1</v>
      </c>
      <c r="Z11" s="111">
        <v>10</v>
      </c>
      <c r="AA11" s="111">
        <v>1327</v>
      </c>
      <c r="AB11" s="111">
        <v>804</v>
      </c>
      <c r="AC11" s="111">
        <v>2131</v>
      </c>
    </row>
    <row r="12" spans="1:29" ht="15.75" customHeight="1" x14ac:dyDescent="0.3">
      <c r="A12" s="361">
        <v>8</v>
      </c>
      <c r="B12" s="167" t="s">
        <v>715</v>
      </c>
      <c r="C12" s="111">
        <v>39</v>
      </c>
      <c r="D12" s="111">
        <v>9</v>
      </c>
      <c r="E12" s="111">
        <v>48</v>
      </c>
      <c r="F12" s="111"/>
      <c r="G12" s="111"/>
      <c r="H12" s="111"/>
      <c r="I12" s="111">
        <v>105</v>
      </c>
      <c r="J12" s="111">
        <v>79</v>
      </c>
      <c r="K12" s="111">
        <v>184</v>
      </c>
      <c r="L12" s="111">
        <v>616</v>
      </c>
      <c r="M12" s="111">
        <v>576</v>
      </c>
      <c r="N12" s="111">
        <v>1192</v>
      </c>
      <c r="O12" s="111"/>
      <c r="P12" s="111"/>
      <c r="Q12" s="111"/>
      <c r="R12" s="111">
        <v>71</v>
      </c>
      <c r="S12" s="111">
        <v>71</v>
      </c>
      <c r="T12" s="111">
        <v>142</v>
      </c>
      <c r="U12" s="111">
        <v>4</v>
      </c>
      <c r="V12" s="111"/>
      <c r="W12" s="111">
        <v>4</v>
      </c>
      <c r="X12" s="111">
        <v>19</v>
      </c>
      <c r="Y12" s="111">
        <v>33</v>
      </c>
      <c r="Z12" s="111">
        <v>52</v>
      </c>
      <c r="AA12" s="111">
        <v>854</v>
      </c>
      <c r="AB12" s="111">
        <v>768</v>
      </c>
      <c r="AC12" s="111">
        <v>1622</v>
      </c>
    </row>
    <row r="13" spans="1:29" ht="17.25" customHeight="1" x14ac:dyDescent="0.3">
      <c r="A13" s="361">
        <v>9</v>
      </c>
      <c r="B13" s="167" t="s">
        <v>716</v>
      </c>
      <c r="C13" s="111">
        <v>4</v>
      </c>
      <c r="D13" s="111"/>
      <c r="E13" s="111">
        <v>4</v>
      </c>
      <c r="F13" s="111"/>
      <c r="G13" s="111"/>
      <c r="H13" s="111"/>
      <c r="I13" s="111">
        <v>90</v>
      </c>
      <c r="J13" s="111">
        <v>39</v>
      </c>
      <c r="K13" s="111">
        <v>129</v>
      </c>
      <c r="L13" s="111">
        <v>689</v>
      </c>
      <c r="M13" s="111">
        <v>531</v>
      </c>
      <c r="N13" s="111">
        <v>1220</v>
      </c>
      <c r="O13" s="111"/>
      <c r="P13" s="111">
        <v>1</v>
      </c>
      <c r="Q13" s="111">
        <v>1</v>
      </c>
      <c r="R13" s="111">
        <v>112</v>
      </c>
      <c r="S13" s="111">
        <v>104</v>
      </c>
      <c r="T13" s="111">
        <v>216</v>
      </c>
      <c r="U13" s="111"/>
      <c r="V13" s="111"/>
      <c r="W13" s="111"/>
      <c r="X13" s="111">
        <v>11</v>
      </c>
      <c r="Y13" s="111">
        <v>10</v>
      </c>
      <c r="Z13" s="111">
        <v>21</v>
      </c>
      <c r="AA13" s="111">
        <v>906</v>
      </c>
      <c r="AB13" s="111">
        <v>685</v>
      </c>
      <c r="AC13" s="111">
        <v>1591</v>
      </c>
    </row>
    <row r="14" spans="1:29" ht="15.75" customHeight="1" x14ac:dyDescent="0.3">
      <c r="A14" s="361">
        <v>10</v>
      </c>
      <c r="B14" s="167" t="s">
        <v>717</v>
      </c>
      <c r="C14" s="111">
        <v>31</v>
      </c>
      <c r="D14" s="111">
        <v>4</v>
      </c>
      <c r="E14" s="111">
        <v>35</v>
      </c>
      <c r="F14" s="111"/>
      <c r="G14" s="111"/>
      <c r="H14" s="111"/>
      <c r="I14" s="111">
        <v>123</v>
      </c>
      <c r="J14" s="111">
        <v>24</v>
      </c>
      <c r="K14" s="111">
        <v>147</v>
      </c>
      <c r="L14" s="111">
        <v>962</v>
      </c>
      <c r="M14" s="111">
        <v>117</v>
      </c>
      <c r="N14" s="111">
        <v>1079</v>
      </c>
      <c r="O14" s="111">
        <v>2</v>
      </c>
      <c r="P14" s="111"/>
      <c r="Q14" s="111">
        <v>2</v>
      </c>
      <c r="R14" s="111">
        <v>2</v>
      </c>
      <c r="S14" s="111">
        <v>1</v>
      </c>
      <c r="T14" s="111">
        <v>3</v>
      </c>
      <c r="U14" s="111">
        <v>3</v>
      </c>
      <c r="V14" s="111"/>
      <c r="W14" s="111">
        <v>3</v>
      </c>
      <c r="X14" s="111">
        <v>6</v>
      </c>
      <c r="Y14" s="111"/>
      <c r="Z14" s="111">
        <v>6</v>
      </c>
      <c r="AA14" s="111">
        <v>1129</v>
      </c>
      <c r="AB14" s="111">
        <v>146</v>
      </c>
      <c r="AC14" s="111">
        <v>1275</v>
      </c>
    </row>
    <row r="15" spans="1:29" ht="15.75" customHeight="1" x14ac:dyDescent="0.3">
      <c r="A15" s="361">
        <v>11</v>
      </c>
      <c r="B15" s="167" t="s">
        <v>718</v>
      </c>
      <c r="C15" s="111">
        <v>6</v>
      </c>
      <c r="D15" s="111">
        <v>21</v>
      </c>
      <c r="E15" s="111">
        <v>27</v>
      </c>
      <c r="F15" s="111"/>
      <c r="G15" s="111"/>
      <c r="H15" s="111"/>
      <c r="I15" s="111">
        <v>57</v>
      </c>
      <c r="J15" s="111">
        <v>35</v>
      </c>
      <c r="K15" s="111">
        <v>92</v>
      </c>
      <c r="L15" s="111">
        <v>540</v>
      </c>
      <c r="M15" s="111">
        <v>371</v>
      </c>
      <c r="N15" s="111">
        <v>911</v>
      </c>
      <c r="O15" s="111">
        <v>4</v>
      </c>
      <c r="P15" s="111">
        <v>1</v>
      </c>
      <c r="Q15" s="111">
        <v>5</v>
      </c>
      <c r="R15" s="111"/>
      <c r="S15" s="111">
        <v>3</v>
      </c>
      <c r="T15" s="111">
        <v>3</v>
      </c>
      <c r="U15" s="111">
        <v>1</v>
      </c>
      <c r="V15" s="111"/>
      <c r="W15" s="111">
        <v>1</v>
      </c>
      <c r="X15" s="111">
        <v>1</v>
      </c>
      <c r="Y15" s="111">
        <v>7</v>
      </c>
      <c r="Z15" s="111">
        <v>8</v>
      </c>
      <c r="AA15" s="111">
        <v>609</v>
      </c>
      <c r="AB15" s="111">
        <v>438</v>
      </c>
      <c r="AC15" s="111">
        <v>1047</v>
      </c>
    </row>
    <row r="16" spans="1:29" ht="15.75" customHeight="1" x14ac:dyDescent="0.3">
      <c r="A16" s="361">
        <v>12</v>
      </c>
      <c r="B16" s="167" t="s">
        <v>719</v>
      </c>
      <c r="C16" s="111">
        <v>8</v>
      </c>
      <c r="D16" s="111">
        <v>26</v>
      </c>
      <c r="E16" s="111">
        <v>34</v>
      </c>
      <c r="F16" s="111"/>
      <c r="G16" s="111"/>
      <c r="H16" s="111"/>
      <c r="I16" s="111">
        <v>38</v>
      </c>
      <c r="J16" s="111">
        <v>29</v>
      </c>
      <c r="K16" s="111">
        <v>67</v>
      </c>
      <c r="L16" s="111">
        <v>518</v>
      </c>
      <c r="M16" s="111">
        <v>386</v>
      </c>
      <c r="N16" s="111">
        <v>904</v>
      </c>
      <c r="O16" s="111">
        <v>2</v>
      </c>
      <c r="P16" s="111">
        <v>1</v>
      </c>
      <c r="Q16" s="111">
        <v>3</v>
      </c>
      <c r="R16" s="111"/>
      <c r="S16" s="111">
        <v>1</v>
      </c>
      <c r="T16" s="111">
        <v>1</v>
      </c>
      <c r="U16" s="111"/>
      <c r="V16" s="111"/>
      <c r="W16" s="111"/>
      <c r="X16" s="111">
        <v>3</v>
      </c>
      <c r="Y16" s="111">
        <v>4</v>
      </c>
      <c r="Z16" s="111">
        <v>7</v>
      </c>
      <c r="AA16" s="111">
        <v>569</v>
      </c>
      <c r="AB16" s="111">
        <v>447</v>
      </c>
      <c r="AC16" s="111">
        <v>1016</v>
      </c>
    </row>
    <row r="17" spans="1:29" ht="15.75" customHeight="1" x14ac:dyDescent="0.3">
      <c r="A17" s="361">
        <v>13</v>
      </c>
      <c r="B17" s="167" t="s">
        <v>720</v>
      </c>
      <c r="C17" s="111">
        <v>5</v>
      </c>
      <c r="D17" s="111">
        <v>3</v>
      </c>
      <c r="E17" s="111">
        <v>8</v>
      </c>
      <c r="F17" s="111"/>
      <c r="G17" s="111"/>
      <c r="H17" s="111"/>
      <c r="I17" s="111">
        <v>266</v>
      </c>
      <c r="J17" s="111">
        <v>165</v>
      </c>
      <c r="K17" s="111">
        <v>431</v>
      </c>
      <c r="L17" s="111">
        <v>264</v>
      </c>
      <c r="M17" s="111">
        <v>207</v>
      </c>
      <c r="N17" s="111">
        <v>471</v>
      </c>
      <c r="O17" s="111">
        <v>1</v>
      </c>
      <c r="P17" s="111">
        <v>2</v>
      </c>
      <c r="Q17" s="111">
        <v>3</v>
      </c>
      <c r="R17" s="111">
        <v>2</v>
      </c>
      <c r="S17" s="111"/>
      <c r="T17" s="111">
        <v>2</v>
      </c>
      <c r="U17" s="111">
        <v>1</v>
      </c>
      <c r="V17" s="111">
        <v>2</v>
      </c>
      <c r="W17" s="111">
        <v>3</v>
      </c>
      <c r="X17" s="111">
        <v>7</v>
      </c>
      <c r="Y17" s="111">
        <v>4</v>
      </c>
      <c r="Z17" s="111">
        <v>11</v>
      </c>
      <c r="AA17" s="111">
        <v>546</v>
      </c>
      <c r="AB17" s="111">
        <v>383</v>
      </c>
      <c r="AC17" s="111">
        <v>929</v>
      </c>
    </row>
    <row r="18" spans="1:29" ht="15.75" customHeight="1" x14ac:dyDescent="0.3">
      <c r="A18" s="361">
        <v>14</v>
      </c>
      <c r="B18" s="167" t="s">
        <v>721</v>
      </c>
      <c r="C18" s="111">
        <v>3</v>
      </c>
      <c r="D18" s="111"/>
      <c r="E18" s="111">
        <v>3</v>
      </c>
      <c r="F18" s="111"/>
      <c r="G18" s="111"/>
      <c r="H18" s="111"/>
      <c r="I18" s="111">
        <v>32</v>
      </c>
      <c r="J18" s="111">
        <v>13</v>
      </c>
      <c r="K18" s="111">
        <v>45</v>
      </c>
      <c r="L18" s="111">
        <v>561</v>
      </c>
      <c r="M18" s="111">
        <v>243</v>
      </c>
      <c r="N18" s="111">
        <v>804</v>
      </c>
      <c r="O18" s="111">
        <v>1</v>
      </c>
      <c r="P18" s="111"/>
      <c r="Q18" s="111">
        <v>1</v>
      </c>
      <c r="R18" s="111">
        <v>3</v>
      </c>
      <c r="S18" s="111">
        <v>1</v>
      </c>
      <c r="T18" s="111">
        <v>4</v>
      </c>
      <c r="U18" s="111">
        <v>1</v>
      </c>
      <c r="V18" s="111"/>
      <c r="W18" s="111">
        <v>1</v>
      </c>
      <c r="X18" s="111">
        <v>31</v>
      </c>
      <c r="Y18" s="111">
        <v>32</v>
      </c>
      <c r="Z18" s="111">
        <v>63</v>
      </c>
      <c r="AA18" s="111">
        <v>632</v>
      </c>
      <c r="AB18" s="111">
        <v>289</v>
      </c>
      <c r="AC18" s="111">
        <v>921</v>
      </c>
    </row>
    <row r="19" spans="1:29" ht="15.75" customHeight="1" x14ac:dyDescent="0.3">
      <c r="A19" s="361">
        <v>15</v>
      </c>
      <c r="B19" s="167" t="s">
        <v>722</v>
      </c>
      <c r="C19" s="111">
        <v>3</v>
      </c>
      <c r="D19" s="111">
        <v>2</v>
      </c>
      <c r="E19" s="111">
        <v>5</v>
      </c>
      <c r="F19" s="111"/>
      <c r="G19" s="111"/>
      <c r="H19" s="111"/>
      <c r="I19" s="111">
        <v>36</v>
      </c>
      <c r="J19" s="111">
        <v>39</v>
      </c>
      <c r="K19" s="111">
        <v>75</v>
      </c>
      <c r="L19" s="111">
        <v>468</v>
      </c>
      <c r="M19" s="111">
        <v>350</v>
      </c>
      <c r="N19" s="111">
        <v>818</v>
      </c>
      <c r="O19" s="111"/>
      <c r="P19" s="111">
        <v>1</v>
      </c>
      <c r="Q19" s="111">
        <v>1</v>
      </c>
      <c r="R19" s="111">
        <v>4</v>
      </c>
      <c r="S19" s="111">
        <v>4</v>
      </c>
      <c r="T19" s="111">
        <v>8</v>
      </c>
      <c r="U19" s="111">
        <v>1</v>
      </c>
      <c r="V19" s="111"/>
      <c r="W19" s="111">
        <v>1</v>
      </c>
      <c r="X19" s="111">
        <v>6</v>
      </c>
      <c r="Y19" s="111">
        <v>3</v>
      </c>
      <c r="Z19" s="111">
        <v>9</v>
      </c>
      <c r="AA19" s="111">
        <v>518</v>
      </c>
      <c r="AB19" s="111">
        <v>399</v>
      </c>
      <c r="AC19" s="111">
        <v>917</v>
      </c>
    </row>
    <row r="20" spans="1:29" ht="15.75" customHeight="1" x14ac:dyDescent="0.3">
      <c r="A20" s="361">
        <v>16</v>
      </c>
      <c r="B20" s="167" t="s">
        <v>723</v>
      </c>
      <c r="C20" s="111">
        <v>8</v>
      </c>
      <c r="D20" s="111">
        <v>5</v>
      </c>
      <c r="E20" s="111">
        <v>13</v>
      </c>
      <c r="F20" s="111"/>
      <c r="G20" s="111"/>
      <c r="H20" s="111"/>
      <c r="I20" s="111">
        <v>19</v>
      </c>
      <c r="J20" s="111">
        <v>25</v>
      </c>
      <c r="K20" s="111">
        <v>44</v>
      </c>
      <c r="L20" s="111">
        <v>444</v>
      </c>
      <c r="M20" s="111">
        <v>392</v>
      </c>
      <c r="N20" s="111">
        <v>836</v>
      </c>
      <c r="O20" s="111">
        <v>1</v>
      </c>
      <c r="P20" s="111"/>
      <c r="Q20" s="111">
        <v>1</v>
      </c>
      <c r="R20" s="111"/>
      <c r="S20" s="111"/>
      <c r="T20" s="111"/>
      <c r="U20" s="111">
        <v>1</v>
      </c>
      <c r="V20" s="111"/>
      <c r="W20" s="111">
        <v>1</v>
      </c>
      <c r="X20" s="111"/>
      <c r="Y20" s="111">
        <v>5</v>
      </c>
      <c r="Z20" s="111">
        <v>5</v>
      </c>
      <c r="AA20" s="111">
        <v>473</v>
      </c>
      <c r="AB20" s="111">
        <v>427</v>
      </c>
      <c r="AC20" s="111">
        <v>900</v>
      </c>
    </row>
    <row r="21" spans="1:29" ht="15.75" customHeight="1" x14ac:dyDescent="0.3">
      <c r="A21" s="361">
        <v>17</v>
      </c>
      <c r="B21" s="167" t="s">
        <v>724</v>
      </c>
      <c r="C21" s="111">
        <v>9</v>
      </c>
      <c r="D21" s="111">
        <v>2</v>
      </c>
      <c r="E21" s="111">
        <v>11</v>
      </c>
      <c r="F21" s="111"/>
      <c r="G21" s="111"/>
      <c r="H21" s="111"/>
      <c r="I21" s="111">
        <v>156</v>
      </c>
      <c r="J21" s="111">
        <v>88</v>
      </c>
      <c r="K21" s="111">
        <v>244</v>
      </c>
      <c r="L21" s="111">
        <v>268</v>
      </c>
      <c r="M21" s="111">
        <v>182</v>
      </c>
      <c r="N21" s="111">
        <v>450</v>
      </c>
      <c r="O21" s="111"/>
      <c r="P21" s="111"/>
      <c r="Q21" s="111"/>
      <c r="R21" s="111">
        <v>2</v>
      </c>
      <c r="S21" s="111">
        <v>2</v>
      </c>
      <c r="T21" s="111">
        <v>4</v>
      </c>
      <c r="U21" s="111"/>
      <c r="V21" s="111"/>
      <c r="W21" s="111"/>
      <c r="X21" s="111">
        <v>21</v>
      </c>
      <c r="Y21" s="111">
        <v>26</v>
      </c>
      <c r="Z21" s="111">
        <v>47</v>
      </c>
      <c r="AA21" s="111">
        <v>456</v>
      </c>
      <c r="AB21" s="111">
        <v>300</v>
      </c>
      <c r="AC21" s="111">
        <v>756</v>
      </c>
    </row>
    <row r="22" spans="1:29" ht="15.75" customHeight="1" x14ac:dyDescent="0.3">
      <c r="A22" s="361">
        <v>18</v>
      </c>
      <c r="B22" s="167" t="s">
        <v>725</v>
      </c>
      <c r="C22" s="111">
        <v>2</v>
      </c>
      <c r="D22" s="111"/>
      <c r="E22" s="111">
        <v>2</v>
      </c>
      <c r="F22" s="111"/>
      <c r="G22" s="111"/>
      <c r="H22" s="111"/>
      <c r="I22" s="111">
        <v>139</v>
      </c>
      <c r="J22" s="111">
        <v>49</v>
      </c>
      <c r="K22" s="111">
        <v>188</v>
      </c>
      <c r="L22" s="111">
        <v>337</v>
      </c>
      <c r="M22" s="111">
        <v>171</v>
      </c>
      <c r="N22" s="111">
        <v>508</v>
      </c>
      <c r="O22" s="111">
        <v>2</v>
      </c>
      <c r="P22" s="111"/>
      <c r="Q22" s="111">
        <v>2</v>
      </c>
      <c r="R22" s="111">
        <v>8</v>
      </c>
      <c r="S22" s="111">
        <v>2</v>
      </c>
      <c r="T22" s="111">
        <v>10</v>
      </c>
      <c r="U22" s="111"/>
      <c r="V22" s="111"/>
      <c r="W22" s="111"/>
      <c r="X22" s="111">
        <v>10</v>
      </c>
      <c r="Y22" s="111">
        <v>14</v>
      </c>
      <c r="Z22" s="111">
        <v>24</v>
      </c>
      <c r="AA22" s="111">
        <v>498</v>
      </c>
      <c r="AB22" s="111">
        <v>236</v>
      </c>
      <c r="AC22" s="111">
        <v>734</v>
      </c>
    </row>
    <row r="23" spans="1:29" ht="15.75" customHeight="1" x14ac:dyDescent="0.3">
      <c r="A23" s="361">
        <v>19</v>
      </c>
      <c r="B23" s="167" t="s">
        <v>726</v>
      </c>
      <c r="C23" s="111">
        <v>121</v>
      </c>
      <c r="D23" s="111">
        <v>46</v>
      </c>
      <c r="E23" s="111">
        <v>167</v>
      </c>
      <c r="F23" s="111"/>
      <c r="G23" s="111"/>
      <c r="H23" s="111"/>
      <c r="I23" s="111">
        <v>132</v>
      </c>
      <c r="J23" s="111">
        <v>33</v>
      </c>
      <c r="K23" s="111">
        <v>165</v>
      </c>
      <c r="L23" s="111">
        <v>341</v>
      </c>
      <c r="M23" s="111">
        <v>45</v>
      </c>
      <c r="N23" s="111">
        <v>386</v>
      </c>
      <c r="O23" s="111">
        <v>2</v>
      </c>
      <c r="P23" s="111">
        <v>3</v>
      </c>
      <c r="Q23" s="111">
        <v>5</v>
      </c>
      <c r="R23" s="111"/>
      <c r="S23" s="111"/>
      <c r="T23" s="111"/>
      <c r="U23" s="111"/>
      <c r="V23" s="111"/>
      <c r="W23" s="111"/>
      <c r="X23" s="111">
        <v>2</v>
      </c>
      <c r="Y23" s="111">
        <v>1</v>
      </c>
      <c r="Z23" s="111">
        <v>3</v>
      </c>
      <c r="AA23" s="111">
        <v>598</v>
      </c>
      <c r="AB23" s="111">
        <v>128</v>
      </c>
      <c r="AC23" s="111">
        <v>726</v>
      </c>
    </row>
    <row r="24" spans="1:29" ht="15.75" customHeight="1" x14ac:dyDescent="0.3">
      <c r="A24" s="361">
        <v>20</v>
      </c>
      <c r="B24" s="167" t="s">
        <v>727</v>
      </c>
      <c r="C24" s="111">
        <v>12</v>
      </c>
      <c r="D24" s="111">
        <v>15</v>
      </c>
      <c r="E24" s="111">
        <v>27</v>
      </c>
      <c r="F24" s="111"/>
      <c r="G24" s="111">
        <v>1</v>
      </c>
      <c r="H24" s="111">
        <v>1</v>
      </c>
      <c r="I24" s="111">
        <v>78</v>
      </c>
      <c r="J24" s="111">
        <v>78</v>
      </c>
      <c r="K24" s="111">
        <v>156</v>
      </c>
      <c r="L24" s="111">
        <v>234</v>
      </c>
      <c r="M24" s="111">
        <v>236</v>
      </c>
      <c r="N24" s="111">
        <v>470</v>
      </c>
      <c r="O24" s="111">
        <v>1</v>
      </c>
      <c r="P24" s="111">
        <v>3</v>
      </c>
      <c r="Q24" s="111">
        <v>4</v>
      </c>
      <c r="R24" s="111">
        <v>10</v>
      </c>
      <c r="S24" s="111">
        <v>3</v>
      </c>
      <c r="T24" s="111">
        <v>13</v>
      </c>
      <c r="U24" s="111">
        <v>9</v>
      </c>
      <c r="V24" s="111">
        <v>20</v>
      </c>
      <c r="W24" s="111">
        <v>29</v>
      </c>
      <c r="X24" s="111">
        <v>4</v>
      </c>
      <c r="Y24" s="111">
        <v>18</v>
      </c>
      <c r="Z24" s="111">
        <v>22</v>
      </c>
      <c r="AA24" s="111">
        <v>348</v>
      </c>
      <c r="AB24" s="111">
        <v>374</v>
      </c>
      <c r="AC24" s="111">
        <v>722</v>
      </c>
    </row>
    <row r="25" spans="1:29" ht="15.75" customHeight="1" x14ac:dyDescent="0.3">
      <c r="A25" s="361">
        <v>21</v>
      </c>
      <c r="B25" s="167" t="s">
        <v>728</v>
      </c>
      <c r="C25" s="111">
        <v>52</v>
      </c>
      <c r="D25" s="111">
        <v>28</v>
      </c>
      <c r="E25" s="111">
        <v>80</v>
      </c>
      <c r="F25" s="111"/>
      <c r="G25" s="111"/>
      <c r="H25" s="111"/>
      <c r="I25" s="111">
        <v>52</v>
      </c>
      <c r="J25" s="111">
        <v>23</v>
      </c>
      <c r="K25" s="111">
        <v>75</v>
      </c>
      <c r="L25" s="111">
        <v>358</v>
      </c>
      <c r="M25" s="111">
        <v>77</v>
      </c>
      <c r="N25" s="111">
        <v>435</v>
      </c>
      <c r="O25" s="111">
        <v>8</v>
      </c>
      <c r="P25" s="111">
        <v>6</v>
      </c>
      <c r="Q25" s="111">
        <v>14</v>
      </c>
      <c r="R25" s="111"/>
      <c r="S25" s="111"/>
      <c r="T25" s="111"/>
      <c r="U25" s="111"/>
      <c r="V25" s="111"/>
      <c r="W25" s="111"/>
      <c r="X25" s="111"/>
      <c r="Y25" s="111">
        <v>2</v>
      </c>
      <c r="Z25" s="111">
        <v>2</v>
      </c>
      <c r="AA25" s="111">
        <v>470</v>
      </c>
      <c r="AB25" s="111">
        <v>136</v>
      </c>
      <c r="AC25" s="111">
        <v>606</v>
      </c>
    </row>
    <row r="26" spans="1:29" x14ac:dyDescent="0.3">
      <c r="A26" s="361">
        <v>22</v>
      </c>
      <c r="B26" s="167" t="s">
        <v>729</v>
      </c>
      <c r="C26" s="111">
        <v>20</v>
      </c>
      <c r="D26" s="111"/>
      <c r="E26" s="111">
        <v>20</v>
      </c>
      <c r="F26" s="111"/>
      <c r="G26" s="111"/>
      <c r="H26" s="111"/>
      <c r="I26" s="111">
        <v>236</v>
      </c>
      <c r="J26" s="111">
        <v>67</v>
      </c>
      <c r="K26" s="111">
        <v>303</v>
      </c>
      <c r="L26" s="111">
        <v>189</v>
      </c>
      <c r="M26" s="111">
        <v>47</v>
      </c>
      <c r="N26" s="111">
        <v>236</v>
      </c>
      <c r="O26" s="111">
        <v>2</v>
      </c>
      <c r="P26" s="111"/>
      <c r="Q26" s="111">
        <v>2</v>
      </c>
      <c r="R26" s="111"/>
      <c r="S26" s="111">
        <v>1</v>
      </c>
      <c r="T26" s="111">
        <v>1</v>
      </c>
      <c r="U26" s="111"/>
      <c r="V26" s="111"/>
      <c r="W26" s="111"/>
      <c r="X26" s="111">
        <v>2</v>
      </c>
      <c r="Y26" s="111">
        <v>9</v>
      </c>
      <c r="Z26" s="111">
        <v>11</v>
      </c>
      <c r="AA26" s="111">
        <v>449</v>
      </c>
      <c r="AB26" s="111">
        <v>124</v>
      </c>
      <c r="AC26" s="111">
        <v>573</v>
      </c>
    </row>
    <row r="27" spans="1:29" x14ac:dyDescent="0.3">
      <c r="A27" s="361">
        <v>23</v>
      </c>
      <c r="B27" s="167" t="s">
        <v>730</v>
      </c>
      <c r="C27" s="111"/>
      <c r="D27" s="111">
        <v>3</v>
      </c>
      <c r="E27" s="111">
        <v>3</v>
      </c>
      <c r="F27" s="111"/>
      <c r="G27" s="111"/>
      <c r="H27" s="111"/>
      <c r="I27" s="111">
        <v>10</v>
      </c>
      <c r="J27" s="111">
        <v>23</v>
      </c>
      <c r="K27" s="111">
        <v>33</v>
      </c>
      <c r="L27" s="111">
        <v>263</v>
      </c>
      <c r="M27" s="111">
        <v>195</v>
      </c>
      <c r="N27" s="111">
        <v>458</v>
      </c>
      <c r="O27" s="111"/>
      <c r="P27" s="111"/>
      <c r="Q27" s="111"/>
      <c r="R27" s="111"/>
      <c r="S27" s="111">
        <v>2</v>
      </c>
      <c r="T27" s="111">
        <v>2</v>
      </c>
      <c r="U27" s="111"/>
      <c r="V27" s="111"/>
      <c r="W27" s="111"/>
      <c r="X27" s="111"/>
      <c r="Y27" s="111">
        <v>5</v>
      </c>
      <c r="Z27" s="111">
        <v>5</v>
      </c>
      <c r="AA27" s="111">
        <v>273</v>
      </c>
      <c r="AB27" s="111">
        <v>228</v>
      </c>
      <c r="AC27" s="111">
        <v>501</v>
      </c>
    </row>
    <row r="28" spans="1:29" x14ac:dyDescent="0.3">
      <c r="A28" s="361">
        <v>24</v>
      </c>
      <c r="B28" s="167" t="s">
        <v>731</v>
      </c>
      <c r="C28" s="111">
        <v>11</v>
      </c>
      <c r="D28" s="111">
        <v>1</v>
      </c>
      <c r="E28" s="111">
        <v>12</v>
      </c>
      <c r="F28" s="111"/>
      <c r="G28" s="111"/>
      <c r="H28" s="111"/>
      <c r="I28" s="111">
        <v>147</v>
      </c>
      <c r="J28" s="111">
        <v>80</v>
      </c>
      <c r="K28" s="111">
        <v>227</v>
      </c>
      <c r="L28" s="111">
        <v>152</v>
      </c>
      <c r="M28" s="111">
        <v>88</v>
      </c>
      <c r="N28" s="111">
        <v>240</v>
      </c>
      <c r="O28" s="111">
        <v>2</v>
      </c>
      <c r="P28" s="111"/>
      <c r="Q28" s="111">
        <v>2</v>
      </c>
      <c r="R28" s="111">
        <v>2</v>
      </c>
      <c r="S28" s="111"/>
      <c r="T28" s="111">
        <v>2</v>
      </c>
      <c r="U28" s="111">
        <v>1</v>
      </c>
      <c r="V28" s="111"/>
      <c r="W28" s="111">
        <v>1</v>
      </c>
      <c r="X28" s="111">
        <v>3</v>
      </c>
      <c r="Y28" s="111">
        <v>2</v>
      </c>
      <c r="Z28" s="111">
        <v>5</v>
      </c>
      <c r="AA28" s="111">
        <v>318</v>
      </c>
      <c r="AB28" s="111">
        <v>171</v>
      </c>
      <c r="AC28" s="111">
        <v>489</v>
      </c>
    </row>
    <row r="29" spans="1:29" x14ac:dyDescent="0.3">
      <c r="A29" s="361">
        <v>25</v>
      </c>
      <c r="B29" s="167" t="s">
        <v>732</v>
      </c>
      <c r="C29" s="111">
        <v>2</v>
      </c>
      <c r="D29" s="111">
        <v>2</v>
      </c>
      <c r="E29" s="111">
        <v>4</v>
      </c>
      <c r="F29" s="111"/>
      <c r="G29" s="111"/>
      <c r="H29" s="111"/>
      <c r="I29" s="111">
        <v>13</v>
      </c>
      <c r="J29" s="111">
        <v>31</v>
      </c>
      <c r="K29" s="111">
        <v>44</v>
      </c>
      <c r="L29" s="111">
        <v>190</v>
      </c>
      <c r="M29" s="111">
        <v>210</v>
      </c>
      <c r="N29" s="111">
        <v>400</v>
      </c>
      <c r="O29" s="111"/>
      <c r="P29" s="111"/>
      <c r="Q29" s="111"/>
      <c r="R29" s="111">
        <v>3</v>
      </c>
      <c r="S29" s="111">
        <v>3</v>
      </c>
      <c r="T29" s="111">
        <v>6</v>
      </c>
      <c r="U29" s="111"/>
      <c r="V29" s="111"/>
      <c r="W29" s="111"/>
      <c r="X29" s="111">
        <v>3</v>
      </c>
      <c r="Y29" s="111">
        <v>22</v>
      </c>
      <c r="Z29" s="111">
        <v>25</v>
      </c>
      <c r="AA29" s="111">
        <v>211</v>
      </c>
      <c r="AB29" s="111">
        <v>268</v>
      </c>
      <c r="AC29" s="111">
        <v>479</v>
      </c>
    </row>
    <row r="30" spans="1:29" x14ac:dyDescent="0.3">
      <c r="A30" s="361">
        <v>26</v>
      </c>
      <c r="B30" s="167" t="s">
        <v>733</v>
      </c>
      <c r="C30" s="111">
        <v>63</v>
      </c>
      <c r="D30" s="111">
        <v>20</v>
      </c>
      <c r="E30" s="111">
        <v>83</v>
      </c>
      <c r="F30" s="111">
        <v>1</v>
      </c>
      <c r="G30" s="111"/>
      <c r="H30" s="111">
        <v>1</v>
      </c>
      <c r="I30" s="111">
        <v>69</v>
      </c>
      <c r="J30" s="111">
        <v>42</v>
      </c>
      <c r="K30" s="111">
        <v>111</v>
      </c>
      <c r="L30" s="111">
        <v>128</v>
      </c>
      <c r="M30" s="111">
        <v>92</v>
      </c>
      <c r="N30" s="111">
        <v>220</v>
      </c>
      <c r="O30" s="111"/>
      <c r="P30" s="111">
        <v>4</v>
      </c>
      <c r="Q30" s="111">
        <v>4</v>
      </c>
      <c r="R30" s="111">
        <v>8</v>
      </c>
      <c r="S30" s="111"/>
      <c r="T30" s="111">
        <v>8</v>
      </c>
      <c r="U30" s="111">
        <v>15</v>
      </c>
      <c r="V30" s="111"/>
      <c r="W30" s="111">
        <v>15</v>
      </c>
      <c r="X30" s="111"/>
      <c r="Y30" s="111">
        <v>3</v>
      </c>
      <c r="Z30" s="111">
        <v>3</v>
      </c>
      <c r="AA30" s="111">
        <v>284</v>
      </c>
      <c r="AB30" s="111">
        <v>161</v>
      </c>
      <c r="AC30" s="111">
        <v>445</v>
      </c>
    </row>
    <row r="31" spans="1:29" x14ac:dyDescent="0.3">
      <c r="A31" s="361">
        <v>27</v>
      </c>
      <c r="B31" s="167" t="s">
        <v>734</v>
      </c>
      <c r="C31" s="111">
        <v>2</v>
      </c>
      <c r="D31" s="111">
        <v>1</v>
      </c>
      <c r="E31" s="111">
        <v>3</v>
      </c>
      <c r="F31" s="111"/>
      <c r="G31" s="111"/>
      <c r="H31" s="111"/>
      <c r="I31" s="111">
        <v>29</v>
      </c>
      <c r="J31" s="111">
        <v>33</v>
      </c>
      <c r="K31" s="111">
        <v>62</v>
      </c>
      <c r="L31" s="111">
        <v>150</v>
      </c>
      <c r="M31" s="111">
        <v>140</v>
      </c>
      <c r="N31" s="111">
        <v>290</v>
      </c>
      <c r="O31" s="111">
        <v>3</v>
      </c>
      <c r="P31" s="111">
        <v>4</v>
      </c>
      <c r="Q31" s="111">
        <v>7</v>
      </c>
      <c r="R31" s="111"/>
      <c r="S31" s="111">
        <v>1</v>
      </c>
      <c r="T31" s="111">
        <v>1</v>
      </c>
      <c r="U31" s="111">
        <v>1</v>
      </c>
      <c r="V31" s="111"/>
      <c r="W31" s="111">
        <v>1</v>
      </c>
      <c r="X31" s="111">
        <v>44</v>
      </c>
      <c r="Y31" s="111">
        <v>25</v>
      </c>
      <c r="Z31" s="111">
        <v>69</v>
      </c>
      <c r="AA31" s="111">
        <v>229</v>
      </c>
      <c r="AB31" s="111">
        <v>204</v>
      </c>
      <c r="AC31" s="111">
        <v>433</v>
      </c>
    </row>
    <row r="32" spans="1:29" x14ac:dyDescent="0.3">
      <c r="A32" s="361">
        <v>28</v>
      </c>
      <c r="B32" s="167" t="s">
        <v>735</v>
      </c>
      <c r="C32" s="111">
        <v>191</v>
      </c>
      <c r="D32" s="111">
        <v>11</v>
      </c>
      <c r="E32" s="111">
        <v>202</v>
      </c>
      <c r="F32" s="111"/>
      <c r="G32" s="111"/>
      <c r="H32" s="111"/>
      <c r="I32" s="111">
        <v>44</v>
      </c>
      <c r="J32" s="111">
        <v>11</v>
      </c>
      <c r="K32" s="111">
        <v>55</v>
      </c>
      <c r="L32" s="111">
        <v>116</v>
      </c>
      <c r="M32" s="111">
        <v>46</v>
      </c>
      <c r="N32" s="111">
        <v>162</v>
      </c>
      <c r="O32" s="111">
        <v>1</v>
      </c>
      <c r="P32" s="111">
        <v>3</v>
      </c>
      <c r="Q32" s="111">
        <v>4</v>
      </c>
      <c r="R32" s="111"/>
      <c r="S32" s="111"/>
      <c r="T32" s="111"/>
      <c r="U32" s="111"/>
      <c r="V32" s="111"/>
      <c r="W32" s="111"/>
      <c r="X32" s="111">
        <v>3</v>
      </c>
      <c r="Y32" s="111"/>
      <c r="Z32" s="111">
        <v>3</v>
      </c>
      <c r="AA32" s="111">
        <v>355</v>
      </c>
      <c r="AB32" s="111">
        <v>71</v>
      </c>
      <c r="AC32" s="111">
        <v>426</v>
      </c>
    </row>
    <row r="33" spans="1:29" ht="28" x14ac:dyDescent="0.3">
      <c r="A33" s="361">
        <v>29</v>
      </c>
      <c r="B33" s="167" t="s">
        <v>736</v>
      </c>
      <c r="C33" s="111">
        <v>5</v>
      </c>
      <c r="D33" s="111">
        <v>3</v>
      </c>
      <c r="E33" s="111">
        <v>8</v>
      </c>
      <c r="F33" s="111"/>
      <c r="G33" s="111"/>
      <c r="H33" s="111"/>
      <c r="I33" s="111">
        <v>34</v>
      </c>
      <c r="J33" s="111">
        <v>19</v>
      </c>
      <c r="K33" s="111">
        <v>53</v>
      </c>
      <c r="L33" s="111">
        <v>157</v>
      </c>
      <c r="M33" s="111">
        <v>147</v>
      </c>
      <c r="N33" s="111">
        <v>304</v>
      </c>
      <c r="O33" s="111">
        <v>3</v>
      </c>
      <c r="P33" s="111">
        <v>2</v>
      </c>
      <c r="Q33" s="111">
        <v>5</v>
      </c>
      <c r="R33" s="111">
        <v>1</v>
      </c>
      <c r="S33" s="111">
        <v>3</v>
      </c>
      <c r="T33" s="111">
        <v>4</v>
      </c>
      <c r="U33" s="111"/>
      <c r="V33" s="111"/>
      <c r="W33" s="111"/>
      <c r="X33" s="111">
        <v>7</v>
      </c>
      <c r="Y33" s="111">
        <v>15</v>
      </c>
      <c r="Z33" s="111">
        <v>22</v>
      </c>
      <c r="AA33" s="111">
        <v>207</v>
      </c>
      <c r="AB33" s="111">
        <v>189</v>
      </c>
      <c r="AC33" s="111">
        <v>396</v>
      </c>
    </row>
    <row r="34" spans="1:29" x14ac:dyDescent="0.3">
      <c r="A34" s="361">
        <v>30</v>
      </c>
      <c r="B34" s="167" t="s">
        <v>737</v>
      </c>
      <c r="C34" s="111">
        <v>16</v>
      </c>
      <c r="D34" s="111">
        <v>7</v>
      </c>
      <c r="E34" s="111">
        <v>23</v>
      </c>
      <c r="F34" s="111"/>
      <c r="G34" s="111"/>
      <c r="H34" s="111"/>
      <c r="I34" s="111">
        <v>50</v>
      </c>
      <c r="J34" s="111">
        <v>26</v>
      </c>
      <c r="K34" s="111">
        <v>76</v>
      </c>
      <c r="L34" s="111">
        <v>176</v>
      </c>
      <c r="M34" s="111">
        <v>77</v>
      </c>
      <c r="N34" s="111">
        <v>253</v>
      </c>
      <c r="O34" s="111">
        <v>2</v>
      </c>
      <c r="P34" s="111">
        <v>2</v>
      </c>
      <c r="Q34" s="111">
        <v>4</v>
      </c>
      <c r="R34" s="111">
        <v>6</v>
      </c>
      <c r="S34" s="111">
        <v>1</v>
      </c>
      <c r="T34" s="111">
        <v>7</v>
      </c>
      <c r="U34" s="111"/>
      <c r="V34" s="111"/>
      <c r="W34" s="111"/>
      <c r="X34" s="111">
        <v>3</v>
      </c>
      <c r="Y34" s="111">
        <v>2</v>
      </c>
      <c r="Z34" s="111">
        <v>5</v>
      </c>
      <c r="AA34" s="111">
        <v>253</v>
      </c>
      <c r="AB34" s="111">
        <v>115</v>
      </c>
      <c r="AC34" s="111">
        <v>368</v>
      </c>
    </row>
    <row r="35" spans="1:29" x14ac:dyDescent="0.3">
      <c r="A35" s="361">
        <v>31</v>
      </c>
      <c r="B35" s="167" t="s">
        <v>738</v>
      </c>
      <c r="C35" s="111"/>
      <c r="D35" s="111"/>
      <c r="E35" s="111"/>
      <c r="F35" s="111"/>
      <c r="G35" s="111"/>
      <c r="H35" s="111"/>
      <c r="I35" s="111">
        <v>45</v>
      </c>
      <c r="J35" s="111">
        <v>16</v>
      </c>
      <c r="K35" s="111">
        <v>61</v>
      </c>
      <c r="L35" s="111">
        <v>146</v>
      </c>
      <c r="M35" s="111">
        <v>139</v>
      </c>
      <c r="N35" s="111">
        <v>285</v>
      </c>
      <c r="O35" s="111">
        <v>2</v>
      </c>
      <c r="P35" s="111">
        <v>1</v>
      </c>
      <c r="Q35" s="111">
        <v>3</v>
      </c>
      <c r="R35" s="111">
        <v>5</v>
      </c>
      <c r="S35" s="111">
        <v>2</v>
      </c>
      <c r="T35" s="111">
        <v>7</v>
      </c>
      <c r="U35" s="111"/>
      <c r="V35" s="111">
        <v>1</v>
      </c>
      <c r="W35" s="111">
        <v>1</v>
      </c>
      <c r="X35" s="111">
        <v>2</v>
      </c>
      <c r="Y35" s="111">
        <v>1</v>
      </c>
      <c r="Z35" s="111">
        <v>3</v>
      </c>
      <c r="AA35" s="111">
        <v>200</v>
      </c>
      <c r="AB35" s="111">
        <v>160</v>
      </c>
      <c r="AC35" s="111">
        <v>360</v>
      </c>
    </row>
    <row r="36" spans="1:29" x14ac:dyDescent="0.3">
      <c r="A36" s="361">
        <v>32</v>
      </c>
      <c r="B36" s="167" t="s">
        <v>739</v>
      </c>
      <c r="C36" s="111">
        <v>23</v>
      </c>
      <c r="D36" s="111">
        <v>23</v>
      </c>
      <c r="E36" s="111">
        <v>46</v>
      </c>
      <c r="F36" s="111"/>
      <c r="G36" s="111"/>
      <c r="H36" s="111"/>
      <c r="I36" s="111">
        <v>35</v>
      </c>
      <c r="J36" s="111">
        <v>47</v>
      </c>
      <c r="K36" s="111">
        <v>82</v>
      </c>
      <c r="L36" s="111">
        <v>120</v>
      </c>
      <c r="M36" s="111">
        <v>97</v>
      </c>
      <c r="N36" s="111">
        <v>217</v>
      </c>
      <c r="O36" s="111"/>
      <c r="P36" s="111">
        <v>2</v>
      </c>
      <c r="Q36" s="111">
        <v>2</v>
      </c>
      <c r="R36" s="111"/>
      <c r="S36" s="111">
        <v>1</v>
      </c>
      <c r="T36" s="111">
        <v>1</v>
      </c>
      <c r="U36" s="111"/>
      <c r="V36" s="111"/>
      <c r="W36" s="111"/>
      <c r="X36" s="111"/>
      <c r="Y36" s="111">
        <v>1</v>
      </c>
      <c r="Z36" s="111">
        <v>1</v>
      </c>
      <c r="AA36" s="111">
        <v>178</v>
      </c>
      <c r="AB36" s="111">
        <v>171</v>
      </c>
      <c r="AC36" s="111">
        <v>349</v>
      </c>
    </row>
    <row r="37" spans="1:29" x14ac:dyDescent="0.3">
      <c r="A37" s="361">
        <v>33</v>
      </c>
      <c r="B37" s="167" t="s">
        <v>740</v>
      </c>
      <c r="C37" s="111">
        <v>5</v>
      </c>
      <c r="D37" s="111"/>
      <c r="E37" s="111">
        <v>5</v>
      </c>
      <c r="F37" s="111"/>
      <c r="G37" s="111"/>
      <c r="H37" s="111"/>
      <c r="I37" s="111">
        <v>190</v>
      </c>
      <c r="J37" s="111">
        <v>23</v>
      </c>
      <c r="K37" s="111">
        <v>213</v>
      </c>
      <c r="L37" s="111">
        <v>67</v>
      </c>
      <c r="M37" s="111">
        <v>24</v>
      </c>
      <c r="N37" s="111">
        <v>91</v>
      </c>
      <c r="O37" s="111">
        <v>2</v>
      </c>
      <c r="P37" s="111"/>
      <c r="Q37" s="111">
        <v>2</v>
      </c>
      <c r="R37" s="111"/>
      <c r="S37" s="111"/>
      <c r="T37" s="111"/>
      <c r="U37" s="111"/>
      <c r="V37" s="111"/>
      <c r="W37" s="111"/>
      <c r="X37" s="111">
        <v>2</v>
      </c>
      <c r="Y37" s="111">
        <v>3</v>
      </c>
      <c r="Z37" s="111">
        <v>5</v>
      </c>
      <c r="AA37" s="111">
        <v>266</v>
      </c>
      <c r="AB37" s="111">
        <v>50</v>
      </c>
      <c r="AC37" s="111">
        <v>316</v>
      </c>
    </row>
    <row r="38" spans="1:29" x14ac:dyDescent="0.3">
      <c r="A38" s="361">
        <v>34</v>
      </c>
      <c r="B38" s="167" t="s">
        <v>741</v>
      </c>
      <c r="C38" s="111">
        <v>4</v>
      </c>
      <c r="D38" s="111">
        <v>1</v>
      </c>
      <c r="E38" s="111">
        <v>5</v>
      </c>
      <c r="F38" s="111"/>
      <c r="G38" s="111"/>
      <c r="H38" s="111"/>
      <c r="I38" s="111">
        <v>20</v>
      </c>
      <c r="J38" s="111">
        <v>36</v>
      </c>
      <c r="K38" s="111">
        <v>56</v>
      </c>
      <c r="L38" s="111">
        <v>58</v>
      </c>
      <c r="M38" s="111">
        <v>170</v>
      </c>
      <c r="N38" s="111">
        <v>228</v>
      </c>
      <c r="O38" s="111">
        <v>1</v>
      </c>
      <c r="P38" s="111">
        <v>3</v>
      </c>
      <c r="Q38" s="111">
        <v>4</v>
      </c>
      <c r="R38" s="111">
        <v>2</v>
      </c>
      <c r="S38" s="111">
        <v>2</v>
      </c>
      <c r="T38" s="111">
        <v>4</v>
      </c>
      <c r="U38" s="111"/>
      <c r="V38" s="111"/>
      <c r="W38" s="111"/>
      <c r="X38" s="111"/>
      <c r="Y38" s="111">
        <v>5</v>
      </c>
      <c r="Z38" s="111">
        <v>5</v>
      </c>
      <c r="AA38" s="111">
        <v>85</v>
      </c>
      <c r="AB38" s="111">
        <v>217</v>
      </c>
      <c r="AC38" s="111">
        <v>302</v>
      </c>
    </row>
    <row r="39" spans="1:29" x14ac:dyDescent="0.3">
      <c r="A39" s="361">
        <v>35</v>
      </c>
      <c r="B39" s="167" t="s">
        <v>742</v>
      </c>
      <c r="C39" s="111"/>
      <c r="D39" s="111"/>
      <c r="E39" s="111"/>
      <c r="F39" s="111"/>
      <c r="G39" s="111"/>
      <c r="H39" s="111"/>
      <c r="I39" s="111">
        <v>39</v>
      </c>
      <c r="J39" s="111">
        <v>13</v>
      </c>
      <c r="K39" s="111">
        <v>52</v>
      </c>
      <c r="L39" s="111">
        <v>181</v>
      </c>
      <c r="M39" s="111">
        <v>53</v>
      </c>
      <c r="N39" s="111">
        <v>234</v>
      </c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>
        <v>220</v>
      </c>
      <c r="AB39" s="111">
        <v>66</v>
      </c>
      <c r="AC39" s="111">
        <v>286</v>
      </c>
    </row>
    <row r="40" spans="1:29" x14ac:dyDescent="0.3">
      <c r="A40" s="361">
        <v>36</v>
      </c>
      <c r="B40" s="167" t="s">
        <v>743</v>
      </c>
      <c r="C40" s="111">
        <v>2</v>
      </c>
      <c r="D40" s="111"/>
      <c r="E40" s="111">
        <v>2</v>
      </c>
      <c r="F40" s="111"/>
      <c r="G40" s="111"/>
      <c r="H40" s="111"/>
      <c r="I40" s="111">
        <v>20</v>
      </c>
      <c r="J40" s="111">
        <v>13</v>
      </c>
      <c r="K40" s="111">
        <v>33</v>
      </c>
      <c r="L40" s="111">
        <v>144</v>
      </c>
      <c r="M40" s="111">
        <v>84</v>
      </c>
      <c r="N40" s="111">
        <v>228</v>
      </c>
      <c r="O40" s="111"/>
      <c r="P40" s="111"/>
      <c r="Q40" s="111"/>
      <c r="R40" s="111">
        <v>1</v>
      </c>
      <c r="S40" s="111"/>
      <c r="T40" s="111">
        <v>1</v>
      </c>
      <c r="U40" s="111"/>
      <c r="V40" s="111"/>
      <c r="W40" s="111"/>
      <c r="X40" s="111">
        <v>5</v>
      </c>
      <c r="Y40" s="111">
        <v>2</v>
      </c>
      <c r="Z40" s="111">
        <v>7</v>
      </c>
      <c r="AA40" s="111">
        <v>172</v>
      </c>
      <c r="AB40" s="111">
        <v>99</v>
      </c>
      <c r="AC40" s="111">
        <v>271</v>
      </c>
    </row>
    <row r="41" spans="1:29" x14ac:dyDescent="0.3">
      <c r="A41" s="361">
        <v>37</v>
      </c>
      <c r="B41" s="167" t="s">
        <v>744</v>
      </c>
      <c r="C41" s="111"/>
      <c r="D41" s="111">
        <v>3</v>
      </c>
      <c r="E41" s="111">
        <v>3</v>
      </c>
      <c r="F41" s="111"/>
      <c r="G41" s="111"/>
      <c r="H41" s="111"/>
      <c r="I41" s="111">
        <v>18</v>
      </c>
      <c r="J41" s="111">
        <v>13</v>
      </c>
      <c r="K41" s="111">
        <v>31</v>
      </c>
      <c r="L41" s="111">
        <v>108</v>
      </c>
      <c r="M41" s="111">
        <v>103</v>
      </c>
      <c r="N41" s="111">
        <v>211</v>
      </c>
      <c r="O41" s="111">
        <v>2</v>
      </c>
      <c r="P41" s="111">
        <v>1</v>
      </c>
      <c r="Q41" s="111">
        <v>3</v>
      </c>
      <c r="R41" s="111">
        <v>1</v>
      </c>
      <c r="S41" s="111">
        <v>8</v>
      </c>
      <c r="T41" s="111">
        <v>9</v>
      </c>
      <c r="U41" s="111"/>
      <c r="V41" s="111"/>
      <c r="W41" s="111"/>
      <c r="X41" s="111">
        <v>1</v>
      </c>
      <c r="Y41" s="111">
        <v>4</v>
      </c>
      <c r="Z41" s="111">
        <v>5</v>
      </c>
      <c r="AA41" s="111">
        <v>130</v>
      </c>
      <c r="AB41" s="111">
        <v>132</v>
      </c>
      <c r="AC41" s="111">
        <v>262</v>
      </c>
    </row>
    <row r="42" spans="1:29" x14ac:dyDescent="0.3">
      <c r="A42" s="361">
        <v>38</v>
      </c>
      <c r="B42" s="167" t="s">
        <v>745</v>
      </c>
      <c r="C42" s="111">
        <v>37</v>
      </c>
      <c r="D42" s="111">
        <v>45</v>
      </c>
      <c r="E42" s="111">
        <v>82</v>
      </c>
      <c r="F42" s="111">
        <v>7</v>
      </c>
      <c r="G42" s="111">
        <v>8</v>
      </c>
      <c r="H42" s="111">
        <v>15</v>
      </c>
      <c r="I42" s="111">
        <v>38</v>
      </c>
      <c r="J42" s="111">
        <v>84</v>
      </c>
      <c r="K42" s="111">
        <v>122</v>
      </c>
      <c r="L42" s="111">
        <v>21</v>
      </c>
      <c r="M42" s="111">
        <v>7</v>
      </c>
      <c r="N42" s="111">
        <v>28</v>
      </c>
      <c r="O42" s="111"/>
      <c r="P42" s="111"/>
      <c r="Q42" s="111"/>
      <c r="R42" s="111">
        <v>1</v>
      </c>
      <c r="S42" s="111"/>
      <c r="T42" s="111">
        <v>1</v>
      </c>
      <c r="U42" s="111"/>
      <c r="V42" s="111">
        <v>1</v>
      </c>
      <c r="W42" s="111">
        <v>1</v>
      </c>
      <c r="X42" s="111"/>
      <c r="Y42" s="111"/>
      <c r="Z42" s="111"/>
      <c r="AA42" s="111">
        <v>104</v>
      </c>
      <c r="AB42" s="111">
        <v>145</v>
      </c>
      <c r="AC42" s="111">
        <v>249</v>
      </c>
    </row>
    <row r="43" spans="1:29" x14ac:dyDescent="0.3">
      <c r="A43" s="361">
        <v>39</v>
      </c>
      <c r="B43" s="167" t="s">
        <v>746</v>
      </c>
      <c r="C43" s="111">
        <v>2</v>
      </c>
      <c r="D43" s="111"/>
      <c r="E43" s="111">
        <v>2</v>
      </c>
      <c r="F43" s="111"/>
      <c r="G43" s="111"/>
      <c r="H43" s="111"/>
      <c r="I43" s="111">
        <v>118</v>
      </c>
      <c r="J43" s="111">
        <v>7</v>
      </c>
      <c r="K43" s="111">
        <v>125</v>
      </c>
      <c r="L43" s="111">
        <v>89</v>
      </c>
      <c r="M43" s="111">
        <v>16</v>
      </c>
      <c r="N43" s="111">
        <v>105</v>
      </c>
      <c r="O43" s="111">
        <v>4</v>
      </c>
      <c r="P43" s="111">
        <v>1</v>
      </c>
      <c r="Q43" s="111">
        <v>5</v>
      </c>
      <c r="R43" s="111"/>
      <c r="S43" s="111"/>
      <c r="T43" s="111"/>
      <c r="U43" s="111">
        <v>1</v>
      </c>
      <c r="V43" s="111">
        <v>3</v>
      </c>
      <c r="W43" s="111">
        <v>4</v>
      </c>
      <c r="X43" s="111"/>
      <c r="Y43" s="111">
        <v>1</v>
      </c>
      <c r="Z43" s="111">
        <v>1</v>
      </c>
      <c r="AA43" s="111">
        <v>214</v>
      </c>
      <c r="AB43" s="111">
        <v>28</v>
      </c>
      <c r="AC43" s="111">
        <v>242</v>
      </c>
    </row>
    <row r="44" spans="1:29" x14ac:dyDescent="0.3">
      <c r="A44" s="361">
        <v>40</v>
      </c>
      <c r="B44" s="167" t="s">
        <v>747</v>
      </c>
      <c r="C44" s="111">
        <v>75</v>
      </c>
      <c r="D44" s="111">
        <v>15</v>
      </c>
      <c r="E44" s="111">
        <v>90</v>
      </c>
      <c r="F44" s="111"/>
      <c r="G44" s="111"/>
      <c r="H44" s="111"/>
      <c r="I44" s="111">
        <v>81</v>
      </c>
      <c r="J44" s="111">
        <v>10</v>
      </c>
      <c r="K44" s="111">
        <v>91</v>
      </c>
      <c r="L44" s="111">
        <v>51</v>
      </c>
      <c r="M44" s="111">
        <v>10</v>
      </c>
      <c r="N44" s="111">
        <v>61</v>
      </c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>
        <v>207</v>
      </c>
      <c r="AB44" s="111">
        <v>35</v>
      </c>
      <c r="AC44" s="111">
        <v>242</v>
      </c>
    </row>
    <row r="45" spans="1:29" x14ac:dyDescent="0.3">
      <c r="A45" s="361">
        <v>41</v>
      </c>
      <c r="B45" s="167" t="s">
        <v>748</v>
      </c>
      <c r="C45" s="111">
        <v>7</v>
      </c>
      <c r="D45" s="111">
        <v>2</v>
      </c>
      <c r="E45" s="111">
        <v>9</v>
      </c>
      <c r="F45" s="111"/>
      <c r="G45" s="111"/>
      <c r="H45" s="111"/>
      <c r="I45" s="111">
        <v>38</v>
      </c>
      <c r="J45" s="111">
        <v>15</v>
      </c>
      <c r="K45" s="111">
        <v>53</v>
      </c>
      <c r="L45" s="111">
        <v>104</v>
      </c>
      <c r="M45" s="111">
        <v>71</v>
      </c>
      <c r="N45" s="111">
        <v>175</v>
      </c>
      <c r="O45" s="111">
        <v>1</v>
      </c>
      <c r="P45" s="111"/>
      <c r="Q45" s="111">
        <v>1</v>
      </c>
      <c r="R45" s="111"/>
      <c r="S45" s="111"/>
      <c r="T45" s="111"/>
      <c r="U45" s="111"/>
      <c r="V45" s="111"/>
      <c r="W45" s="111"/>
      <c r="X45" s="111">
        <v>2</v>
      </c>
      <c r="Y45" s="111"/>
      <c r="Z45" s="111">
        <v>2</v>
      </c>
      <c r="AA45" s="111">
        <v>152</v>
      </c>
      <c r="AB45" s="111">
        <v>88</v>
      </c>
      <c r="AC45" s="111">
        <v>240</v>
      </c>
    </row>
    <row r="46" spans="1:29" x14ac:dyDescent="0.3">
      <c r="A46" s="361">
        <v>42</v>
      </c>
      <c r="B46" s="167" t="s">
        <v>749</v>
      </c>
      <c r="C46" s="111">
        <v>5</v>
      </c>
      <c r="D46" s="111">
        <v>9</v>
      </c>
      <c r="E46" s="111">
        <v>14</v>
      </c>
      <c r="F46" s="111"/>
      <c r="G46" s="111"/>
      <c r="H46" s="111"/>
      <c r="I46" s="111">
        <v>34</v>
      </c>
      <c r="J46" s="111">
        <v>22</v>
      </c>
      <c r="K46" s="111">
        <v>56</v>
      </c>
      <c r="L46" s="111">
        <v>59</v>
      </c>
      <c r="M46" s="111">
        <v>60</v>
      </c>
      <c r="N46" s="111">
        <v>119</v>
      </c>
      <c r="O46" s="111">
        <v>2</v>
      </c>
      <c r="P46" s="111"/>
      <c r="Q46" s="111">
        <v>2</v>
      </c>
      <c r="R46" s="111">
        <v>15</v>
      </c>
      <c r="S46" s="111">
        <v>16</v>
      </c>
      <c r="T46" s="111">
        <v>31</v>
      </c>
      <c r="U46" s="111"/>
      <c r="V46" s="111"/>
      <c r="W46" s="111"/>
      <c r="X46" s="111">
        <v>4</v>
      </c>
      <c r="Y46" s="111"/>
      <c r="Z46" s="111">
        <v>4</v>
      </c>
      <c r="AA46" s="111">
        <v>119</v>
      </c>
      <c r="AB46" s="111">
        <v>107</v>
      </c>
      <c r="AC46" s="111">
        <v>226</v>
      </c>
    </row>
    <row r="47" spans="1:29" x14ac:dyDescent="0.3">
      <c r="A47" s="361">
        <v>43</v>
      </c>
      <c r="B47" s="167" t="s">
        <v>750</v>
      </c>
      <c r="C47" s="111">
        <v>3</v>
      </c>
      <c r="D47" s="111"/>
      <c r="E47" s="111">
        <v>3</v>
      </c>
      <c r="F47" s="111"/>
      <c r="G47" s="111"/>
      <c r="H47" s="111"/>
      <c r="I47" s="111">
        <v>26</v>
      </c>
      <c r="J47" s="111">
        <v>5</v>
      </c>
      <c r="K47" s="111">
        <v>31</v>
      </c>
      <c r="L47" s="111">
        <v>138</v>
      </c>
      <c r="M47" s="111">
        <v>47</v>
      </c>
      <c r="N47" s="111">
        <v>185</v>
      </c>
      <c r="O47" s="111"/>
      <c r="P47" s="111"/>
      <c r="Q47" s="111"/>
      <c r="R47" s="111"/>
      <c r="S47" s="111"/>
      <c r="T47" s="111"/>
      <c r="U47" s="111">
        <v>1</v>
      </c>
      <c r="V47" s="111">
        <v>1</v>
      </c>
      <c r="W47" s="111">
        <v>2</v>
      </c>
      <c r="X47" s="111">
        <v>2</v>
      </c>
      <c r="Y47" s="111">
        <v>1</v>
      </c>
      <c r="Z47" s="111">
        <v>3</v>
      </c>
      <c r="AA47" s="111">
        <v>170</v>
      </c>
      <c r="AB47" s="111">
        <v>54</v>
      </c>
      <c r="AC47" s="111">
        <v>224</v>
      </c>
    </row>
    <row r="48" spans="1:29" x14ac:dyDescent="0.3">
      <c r="A48" s="361">
        <v>44</v>
      </c>
      <c r="B48" s="167" t="s">
        <v>751</v>
      </c>
      <c r="C48" s="111">
        <v>20</v>
      </c>
      <c r="D48" s="111">
        <v>10</v>
      </c>
      <c r="E48" s="111">
        <v>30</v>
      </c>
      <c r="F48" s="111"/>
      <c r="G48" s="111"/>
      <c r="H48" s="111"/>
      <c r="I48" s="111">
        <v>24</v>
      </c>
      <c r="J48" s="111">
        <v>36</v>
      </c>
      <c r="K48" s="111">
        <v>60</v>
      </c>
      <c r="L48" s="111">
        <v>72</v>
      </c>
      <c r="M48" s="111">
        <v>53</v>
      </c>
      <c r="N48" s="111">
        <v>125</v>
      </c>
      <c r="O48" s="111">
        <v>1</v>
      </c>
      <c r="P48" s="111"/>
      <c r="Q48" s="111">
        <v>1</v>
      </c>
      <c r="R48" s="111"/>
      <c r="S48" s="111"/>
      <c r="T48" s="111"/>
      <c r="U48" s="111">
        <v>1</v>
      </c>
      <c r="V48" s="111">
        <v>6</v>
      </c>
      <c r="W48" s="111">
        <v>7</v>
      </c>
      <c r="X48" s="111"/>
      <c r="Y48" s="111"/>
      <c r="Z48" s="111"/>
      <c r="AA48" s="111">
        <v>118</v>
      </c>
      <c r="AB48" s="111">
        <v>105</v>
      </c>
      <c r="AC48" s="111">
        <v>223</v>
      </c>
    </row>
    <row r="49" spans="1:29" x14ac:dyDescent="0.3">
      <c r="A49" s="361">
        <v>45</v>
      </c>
      <c r="B49" s="167" t="s">
        <v>752</v>
      </c>
      <c r="C49" s="111">
        <v>2</v>
      </c>
      <c r="D49" s="111">
        <v>1</v>
      </c>
      <c r="E49" s="111">
        <v>3</v>
      </c>
      <c r="F49" s="111"/>
      <c r="G49" s="111"/>
      <c r="H49" s="111"/>
      <c r="I49" s="111">
        <v>10</v>
      </c>
      <c r="J49" s="111">
        <v>11</v>
      </c>
      <c r="K49" s="111">
        <v>21</v>
      </c>
      <c r="L49" s="111">
        <v>72</v>
      </c>
      <c r="M49" s="111">
        <v>65</v>
      </c>
      <c r="N49" s="111">
        <v>137</v>
      </c>
      <c r="O49" s="111">
        <v>5</v>
      </c>
      <c r="P49" s="111">
        <v>1</v>
      </c>
      <c r="Q49" s="111">
        <v>6</v>
      </c>
      <c r="R49" s="111">
        <v>2</v>
      </c>
      <c r="S49" s="111">
        <v>2</v>
      </c>
      <c r="T49" s="111">
        <v>4</v>
      </c>
      <c r="U49" s="111"/>
      <c r="V49" s="111"/>
      <c r="W49" s="111"/>
      <c r="X49" s="111">
        <v>4</v>
      </c>
      <c r="Y49" s="111">
        <v>7</v>
      </c>
      <c r="Z49" s="111">
        <v>11</v>
      </c>
      <c r="AA49" s="111">
        <v>95</v>
      </c>
      <c r="AB49" s="111">
        <v>87</v>
      </c>
      <c r="AC49" s="111">
        <v>182</v>
      </c>
    </row>
    <row r="50" spans="1:29" x14ac:dyDescent="0.3">
      <c r="A50" s="361">
        <v>46</v>
      </c>
      <c r="B50" s="167" t="s">
        <v>753</v>
      </c>
      <c r="C50" s="111"/>
      <c r="D50" s="111">
        <v>3</v>
      </c>
      <c r="E50" s="111">
        <v>3</v>
      </c>
      <c r="F50" s="111"/>
      <c r="G50" s="111"/>
      <c r="H50" s="111"/>
      <c r="I50" s="111">
        <v>10</v>
      </c>
      <c r="J50" s="111">
        <v>22</v>
      </c>
      <c r="K50" s="111">
        <v>32</v>
      </c>
      <c r="L50" s="111">
        <v>77</v>
      </c>
      <c r="M50" s="111">
        <v>51</v>
      </c>
      <c r="N50" s="111">
        <v>128</v>
      </c>
      <c r="O50" s="111">
        <v>1</v>
      </c>
      <c r="P50" s="111"/>
      <c r="Q50" s="111">
        <v>1</v>
      </c>
      <c r="R50" s="111">
        <v>1</v>
      </c>
      <c r="S50" s="111"/>
      <c r="T50" s="111">
        <v>1</v>
      </c>
      <c r="U50" s="111"/>
      <c r="V50" s="111"/>
      <c r="W50" s="111"/>
      <c r="X50" s="111">
        <v>1</v>
      </c>
      <c r="Y50" s="111">
        <v>3</v>
      </c>
      <c r="Z50" s="111">
        <v>4</v>
      </c>
      <c r="AA50" s="111">
        <v>90</v>
      </c>
      <c r="AB50" s="111">
        <v>79</v>
      </c>
      <c r="AC50" s="111">
        <v>169</v>
      </c>
    </row>
    <row r="51" spans="1:29" x14ac:dyDescent="0.3">
      <c r="A51" s="361">
        <v>47</v>
      </c>
      <c r="B51" s="167" t="s">
        <v>754</v>
      </c>
      <c r="C51" s="111">
        <v>4</v>
      </c>
      <c r="D51" s="111">
        <v>8</v>
      </c>
      <c r="E51" s="111">
        <v>12</v>
      </c>
      <c r="F51" s="111"/>
      <c r="G51" s="111"/>
      <c r="H51" s="111"/>
      <c r="I51" s="111">
        <v>25</v>
      </c>
      <c r="J51" s="111">
        <v>34</v>
      </c>
      <c r="K51" s="111">
        <v>59</v>
      </c>
      <c r="L51" s="111">
        <v>28</v>
      </c>
      <c r="M51" s="111">
        <v>36</v>
      </c>
      <c r="N51" s="111">
        <v>64</v>
      </c>
      <c r="O51" s="111"/>
      <c r="P51" s="111"/>
      <c r="Q51" s="111"/>
      <c r="R51" s="111">
        <v>13</v>
      </c>
      <c r="S51" s="111"/>
      <c r="T51" s="111">
        <v>13</v>
      </c>
      <c r="U51" s="111">
        <v>2</v>
      </c>
      <c r="V51" s="111"/>
      <c r="W51" s="111">
        <v>2</v>
      </c>
      <c r="X51" s="111"/>
      <c r="Y51" s="111"/>
      <c r="Z51" s="111"/>
      <c r="AA51" s="111">
        <v>72</v>
      </c>
      <c r="AB51" s="111">
        <v>78</v>
      </c>
      <c r="AC51" s="111">
        <v>150</v>
      </c>
    </row>
    <row r="52" spans="1:29" x14ac:dyDescent="0.3">
      <c r="A52" s="361">
        <v>48</v>
      </c>
      <c r="B52" s="167" t="s">
        <v>755</v>
      </c>
      <c r="C52" s="111">
        <v>3</v>
      </c>
      <c r="D52" s="111">
        <v>3</v>
      </c>
      <c r="E52" s="111">
        <v>6</v>
      </c>
      <c r="F52" s="111"/>
      <c r="G52" s="111"/>
      <c r="H52" s="111"/>
      <c r="I52" s="111">
        <v>13</v>
      </c>
      <c r="J52" s="111">
        <v>8</v>
      </c>
      <c r="K52" s="111">
        <v>21</v>
      </c>
      <c r="L52" s="111">
        <v>35</v>
      </c>
      <c r="M52" s="111">
        <v>64</v>
      </c>
      <c r="N52" s="111">
        <v>99</v>
      </c>
      <c r="O52" s="111"/>
      <c r="P52" s="111"/>
      <c r="Q52" s="111"/>
      <c r="R52" s="111">
        <v>1</v>
      </c>
      <c r="S52" s="111"/>
      <c r="T52" s="111">
        <v>1</v>
      </c>
      <c r="U52" s="111"/>
      <c r="V52" s="111">
        <v>1</v>
      </c>
      <c r="W52" s="111">
        <v>1</v>
      </c>
      <c r="X52" s="111">
        <v>5</v>
      </c>
      <c r="Y52" s="111">
        <v>8</v>
      </c>
      <c r="Z52" s="111">
        <v>13</v>
      </c>
      <c r="AA52" s="111">
        <v>57</v>
      </c>
      <c r="AB52" s="111">
        <v>84</v>
      </c>
      <c r="AC52" s="111">
        <v>141</v>
      </c>
    </row>
    <row r="53" spans="1:29" x14ac:dyDescent="0.3">
      <c r="A53" s="361">
        <v>49</v>
      </c>
      <c r="B53" s="167" t="s">
        <v>756</v>
      </c>
      <c r="C53" s="111"/>
      <c r="D53" s="111"/>
      <c r="E53" s="111"/>
      <c r="F53" s="111"/>
      <c r="G53" s="111"/>
      <c r="H53" s="111"/>
      <c r="I53" s="111">
        <v>4</v>
      </c>
      <c r="J53" s="111">
        <v>4</v>
      </c>
      <c r="K53" s="111">
        <v>8</v>
      </c>
      <c r="L53" s="111">
        <v>104</v>
      </c>
      <c r="M53" s="111">
        <v>26</v>
      </c>
      <c r="N53" s="111">
        <v>130</v>
      </c>
      <c r="O53" s="111"/>
      <c r="P53" s="111"/>
      <c r="Q53" s="111"/>
      <c r="R53" s="111"/>
      <c r="S53" s="111"/>
      <c r="T53" s="111"/>
      <c r="U53" s="111"/>
      <c r="V53" s="111"/>
      <c r="W53" s="111"/>
      <c r="X53" s="111">
        <v>2</v>
      </c>
      <c r="Y53" s="111"/>
      <c r="Z53" s="111">
        <v>2</v>
      </c>
      <c r="AA53" s="111">
        <v>110</v>
      </c>
      <c r="AB53" s="111">
        <v>30</v>
      </c>
      <c r="AC53" s="111">
        <v>140</v>
      </c>
    </row>
    <row r="54" spans="1:29" x14ac:dyDescent="0.3">
      <c r="A54" s="361">
        <v>50</v>
      </c>
      <c r="B54" s="167" t="s">
        <v>757</v>
      </c>
      <c r="C54" s="111">
        <v>2</v>
      </c>
      <c r="D54" s="111">
        <v>1</v>
      </c>
      <c r="E54" s="111">
        <v>3</v>
      </c>
      <c r="F54" s="111"/>
      <c r="G54" s="111"/>
      <c r="H54" s="111"/>
      <c r="I54" s="111">
        <v>15</v>
      </c>
      <c r="J54" s="111">
        <v>15</v>
      </c>
      <c r="K54" s="111">
        <v>30</v>
      </c>
      <c r="L54" s="111">
        <v>34</v>
      </c>
      <c r="M54" s="111">
        <v>57</v>
      </c>
      <c r="N54" s="111">
        <v>91</v>
      </c>
      <c r="O54" s="111">
        <v>1</v>
      </c>
      <c r="P54" s="111"/>
      <c r="Q54" s="111">
        <v>1</v>
      </c>
      <c r="R54" s="111"/>
      <c r="S54" s="111">
        <v>4</v>
      </c>
      <c r="T54" s="111">
        <v>4</v>
      </c>
      <c r="U54" s="111"/>
      <c r="V54" s="111"/>
      <c r="W54" s="111"/>
      <c r="X54" s="111">
        <v>1</v>
      </c>
      <c r="Y54" s="111">
        <v>4</v>
      </c>
      <c r="Z54" s="111">
        <v>5</v>
      </c>
      <c r="AA54" s="111">
        <v>53</v>
      </c>
      <c r="AB54" s="111">
        <v>81</v>
      </c>
      <c r="AC54" s="111">
        <v>134</v>
      </c>
    </row>
    <row r="55" spans="1:29" x14ac:dyDescent="0.3">
      <c r="A55" s="361">
        <v>51</v>
      </c>
      <c r="B55" s="167" t="s">
        <v>758</v>
      </c>
      <c r="C55" s="111">
        <v>1</v>
      </c>
      <c r="D55" s="111"/>
      <c r="E55" s="111">
        <v>1</v>
      </c>
      <c r="F55" s="111"/>
      <c r="G55" s="111"/>
      <c r="H55" s="111"/>
      <c r="I55" s="111">
        <v>33</v>
      </c>
      <c r="J55" s="111">
        <v>12</v>
      </c>
      <c r="K55" s="111">
        <v>45</v>
      </c>
      <c r="L55" s="111">
        <v>49</v>
      </c>
      <c r="M55" s="111">
        <v>18</v>
      </c>
      <c r="N55" s="111">
        <v>67</v>
      </c>
      <c r="O55" s="111"/>
      <c r="P55" s="111">
        <v>1</v>
      </c>
      <c r="Q55" s="111">
        <v>1</v>
      </c>
      <c r="R55" s="111"/>
      <c r="S55" s="111"/>
      <c r="T55" s="111"/>
      <c r="U55" s="111">
        <v>8</v>
      </c>
      <c r="V55" s="111"/>
      <c r="W55" s="111">
        <v>8</v>
      </c>
      <c r="X55" s="111"/>
      <c r="Y55" s="111">
        <v>2</v>
      </c>
      <c r="Z55" s="111">
        <v>2</v>
      </c>
      <c r="AA55" s="111">
        <v>91</v>
      </c>
      <c r="AB55" s="111">
        <v>33</v>
      </c>
      <c r="AC55" s="111">
        <v>124</v>
      </c>
    </row>
    <row r="56" spans="1:29" x14ac:dyDescent="0.3">
      <c r="A56" s="361">
        <v>52</v>
      </c>
      <c r="B56" s="167" t="s">
        <v>759</v>
      </c>
      <c r="C56" s="111">
        <v>2</v>
      </c>
      <c r="D56" s="111"/>
      <c r="E56" s="111">
        <v>2</v>
      </c>
      <c r="F56" s="111"/>
      <c r="G56" s="111"/>
      <c r="H56" s="111"/>
      <c r="I56" s="111">
        <v>6</v>
      </c>
      <c r="J56" s="111">
        <v>5</v>
      </c>
      <c r="K56" s="111">
        <v>11</v>
      </c>
      <c r="L56" s="111">
        <v>54</v>
      </c>
      <c r="M56" s="111">
        <v>51</v>
      </c>
      <c r="N56" s="111">
        <v>105</v>
      </c>
      <c r="O56" s="111"/>
      <c r="P56" s="111"/>
      <c r="Q56" s="111"/>
      <c r="R56" s="111"/>
      <c r="S56" s="111"/>
      <c r="T56" s="111"/>
      <c r="U56" s="111"/>
      <c r="V56" s="111"/>
      <c r="W56" s="111"/>
      <c r="X56" s="111">
        <v>1</v>
      </c>
      <c r="Y56" s="111">
        <v>2</v>
      </c>
      <c r="Z56" s="111">
        <v>3</v>
      </c>
      <c r="AA56" s="111">
        <v>63</v>
      </c>
      <c r="AB56" s="111">
        <v>58</v>
      </c>
      <c r="AC56" s="111">
        <v>121</v>
      </c>
    </row>
    <row r="57" spans="1:29" x14ac:dyDescent="0.3">
      <c r="A57" s="361">
        <v>53</v>
      </c>
      <c r="B57" s="167" t="s">
        <v>760</v>
      </c>
      <c r="C57" s="111">
        <v>3</v>
      </c>
      <c r="D57" s="111">
        <v>5</v>
      </c>
      <c r="E57" s="111">
        <v>8</v>
      </c>
      <c r="F57" s="111"/>
      <c r="G57" s="111"/>
      <c r="H57" s="111"/>
      <c r="I57" s="111">
        <v>12</v>
      </c>
      <c r="J57" s="111">
        <v>19</v>
      </c>
      <c r="K57" s="111">
        <v>31</v>
      </c>
      <c r="L57" s="111">
        <v>33</v>
      </c>
      <c r="M57" s="111">
        <v>40</v>
      </c>
      <c r="N57" s="111">
        <v>73</v>
      </c>
      <c r="O57" s="111"/>
      <c r="P57" s="111">
        <v>1</v>
      </c>
      <c r="Q57" s="111">
        <v>1</v>
      </c>
      <c r="R57" s="111">
        <v>1</v>
      </c>
      <c r="S57" s="111"/>
      <c r="T57" s="111">
        <v>1</v>
      </c>
      <c r="U57" s="111"/>
      <c r="V57" s="111"/>
      <c r="W57" s="111"/>
      <c r="X57" s="111"/>
      <c r="Y57" s="111">
        <v>2</v>
      </c>
      <c r="Z57" s="111">
        <v>2</v>
      </c>
      <c r="AA57" s="111">
        <v>49</v>
      </c>
      <c r="AB57" s="111">
        <v>67</v>
      </c>
      <c r="AC57" s="111">
        <v>116</v>
      </c>
    </row>
    <row r="58" spans="1:29" x14ac:dyDescent="0.3">
      <c r="A58" s="361">
        <v>54</v>
      </c>
      <c r="B58" s="167" t="s">
        <v>761</v>
      </c>
      <c r="C58" s="111"/>
      <c r="D58" s="111"/>
      <c r="E58" s="111"/>
      <c r="F58" s="111"/>
      <c r="G58" s="111"/>
      <c r="H58" s="111"/>
      <c r="I58" s="111">
        <v>1</v>
      </c>
      <c r="J58" s="111">
        <v>3</v>
      </c>
      <c r="K58" s="111">
        <v>4</v>
      </c>
      <c r="L58" s="111">
        <v>55</v>
      </c>
      <c r="M58" s="111">
        <v>42</v>
      </c>
      <c r="N58" s="111">
        <v>97</v>
      </c>
      <c r="O58" s="111">
        <v>1</v>
      </c>
      <c r="P58" s="111"/>
      <c r="Q58" s="111">
        <v>1</v>
      </c>
      <c r="R58" s="111">
        <v>1</v>
      </c>
      <c r="S58" s="111"/>
      <c r="T58" s="111">
        <v>1</v>
      </c>
      <c r="U58" s="111"/>
      <c r="V58" s="111"/>
      <c r="W58" s="111"/>
      <c r="X58" s="111">
        <v>7</v>
      </c>
      <c r="Y58" s="111">
        <v>4</v>
      </c>
      <c r="Z58" s="111">
        <v>11</v>
      </c>
      <c r="AA58" s="111">
        <v>65</v>
      </c>
      <c r="AB58" s="111">
        <v>49</v>
      </c>
      <c r="AC58" s="111">
        <v>114</v>
      </c>
    </row>
    <row r="59" spans="1:29" x14ac:dyDescent="0.3">
      <c r="A59" s="361">
        <v>55</v>
      </c>
      <c r="B59" s="167" t="s">
        <v>762</v>
      </c>
      <c r="C59" s="111"/>
      <c r="D59" s="111">
        <v>2</v>
      </c>
      <c r="E59" s="111">
        <v>2</v>
      </c>
      <c r="F59" s="111"/>
      <c r="G59" s="111"/>
      <c r="H59" s="111"/>
      <c r="I59" s="111">
        <v>16</v>
      </c>
      <c r="J59" s="111">
        <v>16</v>
      </c>
      <c r="K59" s="111">
        <v>32</v>
      </c>
      <c r="L59" s="111">
        <v>46</v>
      </c>
      <c r="M59" s="111">
        <v>26</v>
      </c>
      <c r="N59" s="111">
        <v>72</v>
      </c>
      <c r="O59" s="111"/>
      <c r="P59" s="111"/>
      <c r="Q59" s="111"/>
      <c r="R59" s="111"/>
      <c r="S59" s="111">
        <v>1</v>
      </c>
      <c r="T59" s="111">
        <v>1</v>
      </c>
      <c r="U59" s="111">
        <v>1</v>
      </c>
      <c r="V59" s="111"/>
      <c r="W59" s="111">
        <v>1</v>
      </c>
      <c r="X59" s="111">
        <v>1</v>
      </c>
      <c r="Y59" s="111">
        <v>1</v>
      </c>
      <c r="Z59" s="111">
        <v>2</v>
      </c>
      <c r="AA59" s="111">
        <v>64</v>
      </c>
      <c r="AB59" s="111">
        <v>46</v>
      </c>
      <c r="AC59" s="111">
        <v>110</v>
      </c>
    </row>
    <row r="60" spans="1:29" x14ac:dyDescent="0.3">
      <c r="A60" s="361">
        <v>56</v>
      </c>
      <c r="B60" s="167" t="s">
        <v>763</v>
      </c>
      <c r="C60" s="111"/>
      <c r="D60" s="111"/>
      <c r="E60" s="111"/>
      <c r="F60" s="111"/>
      <c r="G60" s="111"/>
      <c r="H60" s="111"/>
      <c r="I60" s="111">
        <v>12</v>
      </c>
      <c r="J60" s="111">
        <v>2</v>
      </c>
      <c r="K60" s="111">
        <v>14</v>
      </c>
      <c r="L60" s="111">
        <v>55</v>
      </c>
      <c r="M60" s="111">
        <v>33</v>
      </c>
      <c r="N60" s="111">
        <v>88</v>
      </c>
      <c r="O60" s="111"/>
      <c r="P60" s="111"/>
      <c r="Q60" s="111"/>
      <c r="R60" s="111"/>
      <c r="S60" s="111"/>
      <c r="T60" s="111"/>
      <c r="U60" s="111">
        <v>2</v>
      </c>
      <c r="V60" s="111">
        <v>1</v>
      </c>
      <c r="W60" s="111">
        <v>3</v>
      </c>
      <c r="X60" s="111">
        <v>1</v>
      </c>
      <c r="Y60" s="111"/>
      <c r="Z60" s="111">
        <v>1</v>
      </c>
      <c r="AA60" s="111">
        <v>70</v>
      </c>
      <c r="AB60" s="111">
        <v>36</v>
      </c>
      <c r="AC60" s="111">
        <v>106</v>
      </c>
    </row>
    <row r="61" spans="1:29" x14ac:dyDescent="0.3">
      <c r="A61" s="361">
        <v>57</v>
      </c>
      <c r="B61" s="167" t="s">
        <v>764</v>
      </c>
      <c r="C61" s="111">
        <v>2</v>
      </c>
      <c r="D61" s="111"/>
      <c r="E61" s="111">
        <v>2</v>
      </c>
      <c r="F61" s="111"/>
      <c r="G61" s="111"/>
      <c r="H61" s="111"/>
      <c r="I61" s="111">
        <v>34</v>
      </c>
      <c r="J61" s="111">
        <v>32</v>
      </c>
      <c r="K61" s="111">
        <v>66</v>
      </c>
      <c r="L61" s="111">
        <v>21</v>
      </c>
      <c r="M61" s="111">
        <v>9</v>
      </c>
      <c r="N61" s="111">
        <v>30</v>
      </c>
      <c r="O61" s="111">
        <v>2</v>
      </c>
      <c r="P61" s="111">
        <v>1</v>
      </c>
      <c r="Q61" s="111">
        <v>3</v>
      </c>
      <c r="R61" s="111">
        <v>1</v>
      </c>
      <c r="S61" s="111"/>
      <c r="T61" s="111">
        <v>1</v>
      </c>
      <c r="U61" s="111"/>
      <c r="V61" s="111"/>
      <c r="W61" s="111"/>
      <c r="X61" s="111">
        <v>3</v>
      </c>
      <c r="Y61" s="111"/>
      <c r="Z61" s="111">
        <v>3</v>
      </c>
      <c r="AA61" s="111">
        <v>63</v>
      </c>
      <c r="AB61" s="111">
        <v>42</v>
      </c>
      <c r="AC61" s="111">
        <v>105</v>
      </c>
    </row>
    <row r="62" spans="1:29" x14ac:dyDescent="0.3">
      <c r="A62" s="361">
        <v>58</v>
      </c>
      <c r="B62" s="167" t="s">
        <v>765</v>
      </c>
      <c r="C62" s="111">
        <v>2</v>
      </c>
      <c r="D62" s="111">
        <v>2</v>
      </c>
      <c r="E62" s="111">
        <v>4</v>
      </c>
      <c r="F62" s="111"/>
      <c r="G62" s="111"/>
      <c r="H62" s="111"/>
      <c r="I62" s="111">
        <v>33</v>
      </c>
      <c r="J62" s="111">
        <v>22</v>
      </c>
      <c r="K62" s="111">
        <v>55</v>
      </c>
      <c r="L62" s="111">
        <v>11</v>
      </c>
      <c r="M62" s="111">
        <v>18</v>
      </c>
      <c r="N62" s="111">
        <v>29</v>
      </c>
      <c r="O62" s="111">
        <v>6</v>
      </c>
      <c r="P62" s="111">
        <v>3</v>
      </c>
      <c r="Q62" s="111">
        <v>9</v>
      </c>
      <c r="R62" s="111"/>
      <c r="S62" s="111">
        <v>6</v>
      </c>
      <c r="T62" s="111">
        <v>6</v>
      </c>
      <c r="U62" s="111"/>
      <c r="V62" s="111"/>
      <c r="W62" s="111"/>
      <c r="X62" s="111">
        <v>1</v>
      </c>
      <c r="Y62" s="111">
        <v>1</v>
      </c>
      <c r="Z62" s="111">
        <v>2</v>
      </c>
      <c r="AA62" s="111">
        <v>53</v>
      </c>
      <c r="AB62" s="111">
        <v>52</v>
      </c>
      <c r="AC62" s="111">
        <v>105</v>
      </c>
    </row>
    <row r="63" spans="1:29" x14ac:dyDescent="0.3">
      <c r="A63" s="361">
        <v>59</v>
      </c>
      <c r="B63" s="167" t="s">
        <v>766</v>
      </c>
      <c r="C63" s="111">
        <v>1</v>
      </c>
      <c r="D63" s="111"/>
      <c r="E63" s="111">
        <v>1</v>
      </c>
      <c r="F63" s="111"/>
      <c r="G63" s="111"/>
      <c r="H63" s="111"/>
      <c r="I63" s="111">
        <v>8</v>
      </c>
      <c r="J63" s="111">
        <v>4</v>
      </c>
      <c r="K63" s="111">
        <v>12</v>
      </c>
      <c r="L63" s="111">
        <v>55</v>
      </c>
      <c r="M63" s="111">
        <v>33</v>
      </c>
      <c r="N63" s="111">
        <v>88</v>
      </c>
      <c r="O63" s="111">
        <v>1</v>
      </c>
      <c r="P63" s="111"/>
      <c r="Q63" s="111">
        <v>1</v>
      </c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65</v>
      </c>
      <c r="AB63" s="111">
        <v>37</v>
      </c>
      <c r="AC63" s="111">
        <v>102</v>
      </c>
    </row>
    <row r="64" spans="1:29" ht="15.75" customHeight="1" x14ac:dyDescent="0.3">
      <c r="A64" s="361">
        <v>60</v>
      </c>
      <c r="B64" s="167" t="s">
        <v>767</v>
      </c>
      <c r="C64" s="111">
        <v>6</v>
      </c>
      <c r="D64" s="111">
        <v>2</v>
      </c>
      <c r="E64" s="111">
        <v>8</v>
      </c>
      <c r="F64" s="111"/>
      <c r="G64" s="111"/>
      <c r="H64" s="111"/>
      <c r="I64" s="111">
        <v>7</v>
      </c>
      <c r="J64" s="111">
        <v>8</v>
      </c>
      <c r="K64" s="111">
        <v>15</v>
      </c>
      <c r="L64" s="111">
        <v>34</v>
      </c>
      <c r="M64" s="111">
        <v>25</v>
      </c>
      <c r="N64" s="111">
        <v>59</v>
      </c>
      <c r="O64" s="111">
        <v>2</v>
      </c>
      <c r="P64" s="111">
        <v>1</v>
      </c>
      <c r="Q64" s="111">
        <v>3</v>
      </c>
      <c r="R64" s="111"/>
      <c r="S64" s="111"/>
      <c r="T64" s="111"/>
      <c r="U64" s="111">
        <v>2</v>
      </c>
      <c r="V64" s="111">
        <v>4</v>
      </c>
      <c r="W64" s="111">
        <v>6</v>
      </c>
      <c r="X64" s="111">
        <v>2</v>
      </c>
      <c r="Y64" s="111">
        <v>1</v>
      </c>
      <c r="Z64" s="111">
        <v>3</v>
      </c>
      <c r="AA64" s="111">
        <v>53</v>
      </c>
      <c r="AB64" s="111">
        <v>41</v>
      </c>
      <c r="AC64" s="111">
        <v>94</v>
      </c>
    </row>
    <row r="65" spans="1:29" x14ac:dyDescent="0.3">
      <c r="A65" s="361">
        <v>61</v>
      </c>
      <c r="B65" s="167" t="s">
        <v>768</v>
      </c>
      <c r="C65" s="111">
        <v>2</v>
      </c>
      <c r="D65" s="111"/>
      <c r="E65" s="111">
        <v>2</v>
      </c>
      <c r="F65" s="111"/>
      <c r="G65" s="111"/>
      <c r="H65" s="111"/>
      <c r="I65" s="111">
        <v>21</v>
      </c>
      <c r="J65" s="111">
        <v>4</v>
      </c>
      <c r="K65" s="111">
        <v>25</v>
      </c>
      <c r="L65" s="111">
        <v>34</v>
      </c>
      <c r="M65" s="111">
        <v>17</v>
      </c>
      <c r="N65" s="111">
        <v>51</v>
      </c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57</v>
      </c>
      <c r="AB65" s="111">
        <v>21</v>
      </c>
      <c r="AC65" s="111">
        <v>78</v>
      </c>
    </row>
    <row r="66" spans="1:29" x14ac:dyDescent="0.3">
      <c r="A66" s="361">
        <v>62</v>
      </c>
      <c r="B66" s="167" t="s">
        <v>769</v>
      </c>
      <c r="C66" s="111">
        <v>1</v>
      </c>
      <c r="D66" s="111">
        <v>1</v>
      </c>
      <c r="E66" s="111">
        <v>2</v>
      </c>
      <c r="F66" s="111"/>
      <c r="G66" s="111"/>
      <c r="H66" s="111"/>
      <c r="I66" s="111">
        <v>12</v>
      </c>
      <c r="J66" s="111">
        <v>18</v>
      </c>
      <c r="K66" s="111">
        <v>30</v>
      </c>
      <c r="L66" s="111">
        <v>15</v>
      </c>
      <c r="M66" s="111">
        <v>27</v>
      </c>
      <c r="N66" s="111">
        <v>42</v>
      </c>
      <c r="O66" s="111"/>
      <c r="P66" s="111"/>
      <c r="Q66" s="111"/>
      <c r="R66" s="111"/>
      <c r="S66" s="111"/>
      <c r="T66" s="111"/>
      <c r="U66" s="111">
        <v>2</v>
      </c>
      <c r="V66" s="111"/>
      <c r="W66" s="111">
        <v>2</v>
      </c>
      <c r="X66" s="111"/>
      <c r="Y66" s="111">
        <v>1</v>
      </c>
      <c r="Z66" s="111">
        <v>1</v>
      </c>
      <c r="AA66" s="111">
        <v>30</v>
      </c>
      <c r="AB66" s="111">
        <v>47</v>
      </c>
      <c r="AC66" s="111">
        <v>77</v>
      </c>
    </row>
    <row r="67" spans="1:29" x14ac:dyDescent="0.3">
      <c r="A67" s="361">
        <v>63</v>
      </c>
      <c r="B67" s="167" t="s">
        <v>770</v>
      </c>
      <c r="C67" s="111"/>
      <c r="D67" s="111"/>
      <c r="E67" s="111"/>
      <c r="F67" s="111"/>
      <c r="G67" s="111"/>
      <c r="H67" s="111"/>
      <c r="I67" s="111">
        <v>7</v>
      </c>
      <c r="J67" s="111">
        <v>2</v>
      </c>
      <c r="K67" s="111">
        <v>9</v>
      </c>
      <c r="L67" s="111">
        <v>58</v>
      </c>
      <c r="M67" s="111">
        <v>8</v>
      </c>
      <c r="N67" s="111">
        <v>66</v>
      </c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>
        <v>65</v>
      </c>
      <c r="AB67" s="111">
        <v>10</v>
      </c>
      <c r="AC67" s="111">
        <v>75</v>
      </c>
    </row>
    <row r="68" spans="1:29" x14ac:dyDescent="0.3">
      <c r="A68" s="361">
        <v>64</v>
      </c>
      <c r="B68" s="167" t="s">
        <v>771</v>
      </c>
      <c r="C68" s="111">
        <v>4</v>
      </c>
      <c r="D68" s="111"/>
      <c r="E68" s="111">
        <v>4</v>
      </c>
      <c r="F68" s="111"/>
      <c r="G68" s="111"/>
      <c r="H68" s="111"/>
      <c r="I68" s="111">
        <v>15</v>
      </c>
      <c r="J68" s="111">
        <v>3</v>
      </c>
      <c r="K68" s="111">
        <v>18</v>
      </c>
      <c r="L68" s="111">
        <v>35</v>
      </c>
      <c r="M68" s="111">
        <v>13</v>
      </c>
      <c r="N68" s="111">
        <v>48</v>
      </c>
      <c r="O68" s="111">
        <v>1</v>
      </c>
      <c r="P68" s="111"/>
      <c r="Q68" s="111">
        <v>1</v>
      </c>
      <c r="R68" s="111"/>
      <c r="S68" s="111"/>
      <c r="T68" s="111"/>
      <c r="U68" s="111"/>
      <c r="V68" s="111"/>
      <c r="W68" s="111"/>
      <c r="X68" s="111"/>
      <c r="Y68" s="111"/>
      <c r="Z68" s="111"/>
      <c r="AA68" s="111">
        <v>55</v>
      </c>
      <c r="AB68" s="111">
        <v>16</v>
      </c>
      <c r="AC68" s="111">
        <v>71</v>
      </c>
    </row>
    <row r="69" spans="1:29" x14ac:dyDescent="0.3">
      <c r="A69" s="361">
        <v>65</v>
      </c>
      <c r="B69" s="167" t="s">
        <v>772</v>
      </c>
      <c r="C69" s="111">
        <v>7</v>
      </c>
      <c r="D69" s="111">
        <v>2</v>
      </c>
      <c r="E69" s="111">
        <v>9</v>
      </c>
      <c r="F69" s="111"/>
      <c r="G69" s="111"/>
      <c r="H69" s="111"/>
      <c r="I69" s="111">
        <v>18</v>
      </c>
      <c r="J69" s="111">
        <v>10</v>
      </c>
      <c r="K69" s="111">
        <v>28</v>
      </c>
      <c r="L69" s="111">
        <v>15</v>
      </c>
      <c r="M69" s="111">
        <v>7</v>
      </c>
      <c r="N69" s="111">
        <v>22</v>
      </c>
      <c r="O69" s="111">
        <v>1</v>
      </c>
      <c r="P69" s="111"/>
      <c r="Q69" s="111">
        <v>1</v>
      </c>
      <c r="R69" s="111">
        <v>3</v>
      </c>
      <c r="S69" s="111"/>
      <c r="T69" s="111">
        <v>3</v>
      </c>
      <c r="U69" s="111"/>
      <c r="V69" s="111"/>
      <c r="W69" s="111"/>
      <c r="X69" s="111">
        <v>1</v>
      </c>
      <c r="Y69" s="111"/>
      <c r="Z69" s="111">
        <v>1</v>
      </c>
      <c r="AA69" s="111">
        <v>45</v>
      </c>
      <c r="AB69" s="111">
        <v>19</v>
      </c>
      <c r="AC69" s="111">
        <v>64</v>
      </c>
    </row>
    <row r="70" spans="1:29" x14ac:dyDescent="0.3">
      <c r="A70" s="361">
        <v>66</v>
      </c>
      <c r="B70" s="167" t="s">
        <v>773</v>
      </c>
      <c r="C70" s="111">
        <v>5</v>
      </c>
      <c r="D70" s="111">
        <v>6</v>
      </c>
      <c r="E70" s="111">
        <v>11</v>
      </c>
      <c r="F70" s="111"/>
      <c r="G70" s="111"/>
      <c r="H70" s="111"/>
      <c r="I70" s="111">
        <v>12</v>
      </c>
      <c r="J70" s="111">
        <v>7</v>
      </c>
      <c r="K70" s="111">
        <v>19</v>
      </c>
      <c r="L70" s="111">
        <v>14</v>
      </c>
      <c r="M70" s="111">
        <v>8</v>
      </c>
      <c r="N70" s="111">
        <v>22</v>
      </c>
      <c r="O70" s="111">
        <v>2</v>
      </c>
      <c r="P70" s="111">
        <v>4</v>
      </c>
      <c r="Q70" s="111">
        <v>6</v>
      </c>
      <c r="R70" s="111"/>
      <c r="S70" s="111"/>
      <c r="T70" s="111"/>
      <c r="U70" s="111">
        <v>1</v>
      </c>
      <c r="V70" s="111">
        <v>2</v>
      </c>
      <c r="W70" s="111">
        <v>3</v>
      </c>
      <c r="X70" s="111">
        <v>1</v>
      </c>
      <c r="Y70" s="111"/>
      <c r="Z70" s="111">
        <v>1</v>
      </c>
      <c r="AA70" s="111">
        <v>35</v>
      </c>
      <c r="AB70" s="111">
        <v>27</v>
      </c>
      <c r="AC70" s="111">
        <v>62</v>
      </c>
    </row>
    <row r="71" spans="1:29" x14ac:dyDescent="0.3">
      <c r="A71" s="361">
        <v>67</v>
      </c>
      <c r="B71" s="167" t="s">
        <v>774</v>
      </c>
      <c r="C71" s="111"/>
      <c r="D71" s="111">
        <v>3</v>
      </c>
      <c r="E71" s="111">
        <v>3</v>
      </c>
      <c r="F71" s="111"/>
      <c r="G71" s="111"/>
      <c r="H71" s="111"/>
      <c r="I71" s="111">
        <v>2</v>
      </c>
      <c r="J71" s="111">
        <v>4</v>
      </c>
      <c r="K71" s="111">
        <v>6</v>
      </c>
      <c r="L71" s="111">
        <v>29</v>
      </c>
      <c r="M71" s="111">
        <v>17</v>
      </c>
      <c r="N71" s="111">
        <v>46</v>
      </c>
      <c r="O71" s="111"/>
      <c r="P71" s="111"/>
      <c r="Q71" s="111"/>
      <c r="R71" s="111"/>
      <c r="S71" s="111"/>
      <c r="T71" s="111"/>
      <c r="U71" s="111"/>
      <c r="V71" s="111">
        <v>2</v>
      </c>
      <c r="W71" s="111">
        <v>2</v>
      </c>
      <c r="X71" s="111">
        <v>2</v>
      </c>
      <c r="Y71" s="111">
        <v>2</v>
      </c>
      <c r="Z71" s="111">
        <v>4</v>
      </c>
      <c r="AA71" s="111">
        <v>33</v>
      </c>
      <c r="AB71" s="111">
        <v>28</v>
      </c>
      <c r="AC71" s="111">
        <v>61</v>
      </c>
    </row>
    <row r="72" spans="1:29" x14ac:dyDescent="0.3">
      <c r="A72" s="361">
        <v>68</v>
      </c>
      <c r="B72" s="167" t="s">
        <v>775</v>
      </c>
      <c r="C72" s="111">
        <v>3</v>
      </c>
      <c r="D72" s="111"/>
      <c r="E72" s="111">
        <v>3</v>
      </c>
      <c r="F72" s="111"/>
      <c r="G72" s="111"/>
      <c r="H72" s="111"/>
      <c r="I72" s="111">
        <v>11</v>
      </c>
      <c r="J72" s="111">
        <v>9</v>
      </c>
      <c r="K72" s="111">
        <v>20</v>
      </c>
      <c r="L72" s="111">
        <v>27</v>
      </c>
      <c r="M72" s="111">
        <v>10</v>
      </c>
      <c r="N72" s="111">
        <v>37</v>
      </c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>
        <v>41</v>
      </c>
      <c r="AB72" s="111">
        <v>19</v>
      </c>
      <c r="AC72" s="111">
        <v>60</v>
      </c>
    </row>
    <row r="73" spans="1:29" x14ac:dyDescent="0.3">
      <c r="A73" s="361">
        <v>69</v>
      </c>
      <c r="B73" s="167" t="s">
        <v>776</v>
      </c>
      <c r="C73" s="111">
        <v>4</v>
      </c>
      <c r="D73" s="111">
        <v>4</v>
      </c>
      <c r="E73" s="111">
        <v>8</v>
      </c>
      <c r="F73" s="111"/>
      <c r="G73" s="111"/>
      <c r="H73" s="111"/>
      <c r="I73" s="111">
        <v>6</v>
      </c>
      <c r="J73" s="111">
        <v>5</v>
      </c>
      <c r="K73" s="111">
        <v>11</v>
      </c>
      <c r="L73" s="111">
        <v>14</v>
      </c>
      <c r="M73" s="111">
        <v>17</v>
      </c>
      <c r="N73" s="111">
        <v>31</v>
      </c>
      <c r="O73" s="111"/>
      <c r="P73" s="111"/>
      <c r="Q73" s="111"/>
      <c r="R73" s="111"/>
      <c r="S73" s="111"/>
      <c r="T73" s="111"/>
      <c r="U73" s="111">
        <v>1</v>
      </c>
      <c r="V73" s="111">
        <v>3</v>
      </c>
      <c r="W73" s="111">
        <v>4</v>
      </c>
      <c r="X73" s="111"/>
      <c r="Y73" s="111"/>
      <c r="Z73" s="111"/>
      <c r="AA73" s="111">
        <v>25</v>
      </c>
      <c r="AB73" s="111">
        <v>29</v>
      </c>
      <c r="AC73" s="111">
        <v>54</v>
      </c>
    </row>
    <row r="74" spans="1:29" x14ac:dyDescent="0.3">
      <c r="A74" s="361">
        <v>70</v>
      </c>
      <c r="B74" s="167" t="s">
        <v>777</v>
      </c>
      <c r="C74" s="111"/>
      <c r="D74" s="111">
        <v>1</v>
      </c>
      <c r="E74" s="111">
        <v>1</v>
      </c>
      <c r="F74" s="111"/>
      <c r="G74" s="111"/>
      <c r="H74" s="111"/>
      <c r="I74" s="111">
        <v>8</v>
      </c>
      <c r="J74" s="111">
        <v>2</v>
      </c>
      <c r="K74" s="111">
        <v>10</v>
      </c>
      <c r="L74" s="111">
        <v>17</v>
      </c>
      <c r="M74" s="111">
        <v>22</v>
      </c>
      <c r="N74" s="111">
        <v>39</v>
      </c>
      <c r="O74" s="111">
        <v>2</v>
      </c>
      <c r="P74" s="111"/>
      <c r="Q74" s="111">
        <v>2</v>
      </c>
      <c r="R74" s="111"/>
      <c r="S74" s="111"/>
      <c r="T74" s="111"/>
      <c r="U74" s="111"/>
      <c r="V74" s="111"/>
      <c r="W74" s="111"/>
      <c r="X74" s="111"/>
      <c r="Y74" s="111"/>
      <c r="Z74" s="111"/>
      <c r="AA74" s="111">
        <v>27</v>
      </c>
      <c r="AB74" s="111">
        <v>25</v>
      </c>
      <c r="AC74" s="111">
        <v>52</v>
      </c>
    </row>
    <row r="75" spans="1:29" x14ac:dyDescent="0.3">
      <c r="A75" s="361">
        <v>71</v>
      </c>
      <c r="B75" s="167" t="s">
        <v>778</v>
      </c>
      <c r="C75" s="111">
        <v>2</v>
      </c>
      <c r="D75" s="111">
        <v>2</v>
      </c>
      <c r="E75" s="111">
        <v>4</v>
      </c>
      <c r="F75" s="111"/>
      <c r="G75" s="111"/>
      <c r="H75" s="111"/>
      <c r="I75" s="111">
        <v>6</v>
      </c>
      <c r="J75" s="111">
        <v>5</v>
      </c>
      <c r="K75" s="111">
        <v>11</v>
      </c>
      <c r="L75" s="111">
        <v>9</v>
      </c>
      <c r="M75" s="111">
        <v>14</v>
      </c>
      <c r="N75" s="111">
        <v>23</v>
      </c>
      <c r="O75" s="111">
        <v>1</v>
      </c>
      <c r="P75" s="111">
        <v>1</v>
      </c>
      <c r="Q75" s="111">
        <v>2</v>
      </c>
      <c r="R75" s="111">
        <v>2</v>
      </c>
      <c r="S75" s="111"/>
      <c r="T75" s="111">
        <v>2</v>
      </c>
      <c r="U75" s="111"/>
      <c r="V75" s="111">
        <v>3</v>
      </c>
      <c r="W75" s="111">
        <v>3</v>
      </c>
      <c r="X75" s="111"/>
      <c r="Y75" s="111"/>
      <c r="Z75" s="111"/>
      <c r="AA75" s="111">
        <v>20</v>
      </c>
      <c r="AB75" s="111">
        <v>25</v>
      </c>
      <c r="AC75" s="111">
        <v>45</v>
      </c>
    </row>
    <row r="76" spans="1:29" x14ac:dyDescent="0.3">
      <c r="A76" s="361">
        <v>72</v>
      </c>
      <c r="B76" s="167" t="s">
        <v>779</v>
      </c>
      <c r="C76" s="111"/>
      <c r="D76" s="111">
        <v>2</v>
      </c>
      <c r="E76" s="111">
        <v>2</v>
      </c>
      <c r="F76" s="111"/>
      <c r="G76" s="111"/>
      <c r="H76" s="111"/>
      <c r="I76" s="111">
        <v>6</v>
      </c>
      <c r="J76" s="111">
        <v>4</v>
      </c>
      <c r="K76" s="111">
        <v>10</v>
      </c>
      <c r="L76" s="111">
        <v>11</v>
      </c>
      <c r="M76" s="111">
        <v>15</v>
      </c>
      <c r="N76" s="111">
        <v>26</v>
      </c>
      <c r="O76" s="111">
        <v>2</v>
      </c>
      <c r="P76" s="111">
        <v>2</v>
      </c>
      <c r="Q76" s="111">
        <v>4</v>
      </c>
      <c r="R76" s="111"/>
      <c r="S76" s="111"/>
      <c r="T76" s="111"/>
      <c r="U76" s="111">
        <v>2</v>
      </c>
      <c r="V76" s="111"/>
      <c r="W76" s="111">
        <v>2</v>
      </c>
      <c r="X76" s="111"/>
      <c r="Y76" s="111"/>
      <c r="Z76" s="111"/>
      <c r="AA76" s="111">
        <v>21</v>
      </c>
      <c r="AB76" s="111">
        <v>23</v>
      </c>
      <c r="AC76" s="111">
        <v>44</v>
      </c>
    </row>
    <row r="77" spans="1:29" x14ac:dyDescent="0.3">
      <c r="A77" s="361">
        <v>73</v>
      </c>
      <c r="B77" s="167" t="s">
        <v>780</v>
      </c>
      <c r="C77" s="111"/>
      <c r="D77" s="111">
        <v>3</v>
      </c>
      <c r="E77" s="111">
        <v>3</v>
      </c>
      <c r="F77" s="111"/>
      <c r="G77" s="111"/>
      <c r="H77" s="111"/>
      <c r="I77" s="111">
        <v>6</v>
      </c>
      <c r="J77" s="111">
        <v>10</v>
      </c>
      <c r="K77" s="111">
        <v>16</v>
      </c>
      <c r="L77" s="111">
        <v>7</v>
      </c>
      <c r="M77" s="111">
        <v>9</v>
      </c>
      <c r="N77" s="111">
        <v>16</v>
      </c>
      <c r="O77" s="111"/>
      <c r="P77" s="111">
        <v>1</v>
      </c>
      <c r="Q77" s="111">
        <v>1</v>
      </c>
      <c r="R77" s="111">
        <v>5</v>
      </c>
      <c r="S77" s="111"/>
      <c r="T77" s="111">
        <v>5</v>
      </c>
      <c r="U77" s="111">
        <v>3</v>
      </c>
      <c r="V77" s="111"/>
      <c r="W77" s="111">
        <v>3</v>
      </c>
      <c r="X77" s="111"/>
      <c r="Y77" s="111"/>
      <c r="Z77" s="111"/>
      <c r="AA77" s="111">
        <v>21</v>
      </c>
      <c r="AB77" s="111">
        <v>23</v>
      </c>
      <c r="AC77" s="111">
        <v>44</v>
      </c>
    </row>
    <row r="78" spans="1:29" x14ac:dyDescent="0.3">
      <c r="A78" s="361">
        <v>74</v>
      </c>
      <c r="B78" s="167" t="s">
        <v>781</v>
      </c>
      <c r="C78" s="111"/>
      <c r="D78" s="111"/>
      <c r="E78" s="111"/>
      <c r="F78" s="111"/>
      <c r="G78" s="111"/>
      <c r="H78" s="111"/>
      <c r="I78" s="111">
        <v>25</v>
      </c>
      <c r="J78" s="111">
        <v>5</v>
      </c>
      <c r="K78" s="111">
        <v>30</v>
      </c>
      <c r="L78" s="111">
        <v>12</v>
      </c>
      <c r="M78" s="111">
        <v>1</v>
      </c>
      <c r="N78" s="111">
        <v>13</v>
      </c>
      <c r="O78" s="111"/>
      <c r="P78" s="111"/>
      <c r="Q78" s="111"/>
      <c r="R78" s="111">
        <v>1</v>
      </c>
      <c r="S78" s="111"/>
      <c r="T78" s="111">
        <v>1</v>
      </c>
      <c r="U78" s="111"/>
      <c r="V78" s="111"/>
      <c r="W78" s="111"/>
      <c r="X78" s="111"/>
      <c r="Y78" s="111"/>
      <c r="Z78" s="111"/>
      <c r="AA78" s="111">
        <v>38</v>
      </c>
      <c r="AB78" s="111">
        <v>6</v>
      </c>
      <c r="AC78" s="111">
        <v>44</v>
      </c>
    </row>
    <row r="79" spans="1:29" x14ac:dyDescent="0.3">
      <c r="A79" s="361">
        <v>75</v>
      </c>
      <c r="B79" s="167" t="s">
        <v>782</v>
      </c>
      <c r="C79" s="111">
        <v>2</v>
      </c>
      <c r="D79" s="111"/>
      <c r="E79" s="111">
        <v>2</v>
      </c>
      <c r="F79" s="111"/>
      <c r="G79" s="111"/>
      <c r="H79" s="111"/>
      <c r="I79" s="111">
        <v>6</v>
      </c>
      <c r="J79" s="111">
        <v>1</v>
      </c>
      <c r="K79" s="111">
        <v>7</v>
      </c>
      <c r="L79" s="111">
        <v>13</v>
      </c>
      <c r="M79" s="111">
        <v>10</v>
      </c>
      <c r="N79" s="111">
        <v>23</v>
      </c>
      <c r="O79" s="111">
        <v>1</v>
      </c>
      <c r="P79" s="111"/>
      <c r="Q79" s="111">
        <v>1</v>
      </c>
      <c r="R79" s="111">
        <v>7</v>
      </c>
      <c r="S79" s="111">
        <v>1</v>
      </c>
      <c r="T79" s="111">
        <v>8</v>
      </c>
      <c r="U79" s="111"/>
      <c r="V79" s="111"/>
      <c r="W79" s="111"/>
      <c r="X79" s="111"/>
      <c r="Y79" s="111"/>
      <c r="Z79" s="111"/>
      <c r="AA79" s="111">
        <v>29</v>
      </c>
      <c r="AB79" s="111">
        <v>12</v>
      </c>
      <c r="AC79" s="111">
        <v>41</v>
      </c>
    </row>
    <row r="80" spans="1:29" x14ac:dyDescent="0.3">
      <c r="A80" s="361">
        <v>76</v>
      </c>
      <c r="B80" s="167" t="s">
        <v>783</v>
      </c>
      <c r="C80" s="111"/>
      <c r="D80" s="111"/>
      <c r="E80" s="111"/>
      <c r="F80" s="111"/>
      <c r="G80" s="111"/>
      <c r="H80" s="111"/>
      <c r="I80" s="111">
        <v>4</v>
      </c>
      <c r="J80" s="111"/>
      <c r="K80" s="111">
        <v>4</v>
      </c>
      <c r="L80" s="111">
        <v>28</v>
      </c>
      <c r="M80" s="111">
        <v>4</v>
      </c>
      <c r="N80" s="111">
        <v>32</v>
      </c>
      <c r="O80" s="111">
        <v>1</v>
      </c>
      <c r="P80" s="111"/>
      <c r="Q80" s="111">
        <v>1</v>
      </c>
      <c r="R80" s="111"/>
      <c r="S80" s="111"/>
      <c r="T80" s="111"/>
      <c r="U80" s="111">
        <v>1</v>
      </c>
      <c r="V80" s="111">
        <v>1</v>
      </c>
      <c r="W80" s="111">
        <v>2</v>
      </c>
      <c r="X80" s="111"/>
      <c r="Y80" s="111"/>
      <c r="Z80" s="111"/>
      <c r="AA80" s="111">
        <v>34</v>
      </c>
      <c r="AB80" s="111">
        <v>5</v>
      </c>
      <c r="AC80" s="111">
        <v>39</v>
      </c>
    </row>
    <row r="81" spans="1:29" x14ac:dyDescent="0.3">
      <c r="A81" s="361">
        <v>77</v>
      </c>
      <c r="B81" s="167" t="s">
        <v>784</v>
      </c>
      <c r="C81" s="111">
        <v>5</v>
      </c>
      <c r="D81" s="111">
        <v>1</v>
      </c>
      <c r="E81" s="111">
        <v>6</v>
      </c>
      <c r="F81" s="111"/>
      <c r="G81" s="111"/>
      <c r="H81" s="111"/>
      <c r="I81" s="111">
        <v>4</v>
      </c>
      <c r="J81" s="111">
        <v>9</v>
      </c>
      <c r="K81" s="111">
        <v>13</v>
      </c>
      <c r="L81" s="111">
        <v>6</v>
      </c>
      <c r="M81" s="111">
        <v>3</v>
      </c>
      <c r="N81" s="111">
        <v>9</v>
      </c>
      <c r="O81" s="111"/>
      <c r="P81" s="111"/>
      <c r="Q81" s="111"/>
      <c r="R81" s="111"/>
      <c r="S81" s="111"/>
      <c r="T81" s="111"/>
      <c r="U81" s="111">
        <v>4</v>
      </c>
      <c r="V81" s="111">
        <v>5</v>
      </c>
      <c r="W81" s="111">
        <v>9</v>
      </c>
      <c r="X81" s="111"/>
      <c r="Y81" s="111">
        <v>1</v>
      </c>
      <c r="Z81" s="111">
        <v>1</v>
      </c>
      <c r="AA81" s="111">
        <v>19</v>
      </c>
      <c r="AB81" s="111">
        <v>19</v>
      </c>
      <c r="AC81" s="111">
        <v>38</v>
      </c>
    </row>
    <row r="82" spans="1:29" x14ac:dyDescent="0.3">
      <c r="A82" s="361">
        <v>78</v>
      </c>
      <c r="B82" s="167" t="s">
        <v>785</v>
      </c>
      <c r="C82" s="111">
        <v>1</v>
      </c>
      <c r="D82" s="111">
        <v>5</v>
      </c>
      <c r="E82" s="111">
        <v>6</v>
      </c>
      <c r="F82" s="111"/>
      <c r="G82" s="111"/>
      <c r="H82" s="111"/>
      <c r="I82" s="111">
        <v>3</v>
      </c>
      <c r="J82" s="111">
        <v>2</v>
      </c>
      <c r="K82" s="111">
        <v>5</v>
      </c>
      <c r="L82" s="111">
        <v>8</v>
      </c>
      <c r="M82" s="111">
        <v>6</v>
      </c>
      <c r="N82" s="111">
        <v>14</v>
      </c>
      <c r="O82" s="111"/>
      <c r="P82" s="111">
        <v>1</v>
      </c>
      <c r="Q82" s="111">
        <v>1</v>
      </c>
      <c r="R82" s="111"/>
      <c r="S82" s="111"/>
      <c r="T82" s="111"/>
      <c r="U82" s="111">
        <v>5</v>
      </c>
      <c r="V82" s="111">
        <v>3</v>
      </c>
      <c r="W82" s="111">
        <v>8</v>
      </c>
      <c r="X82" s="111"/>
      <c r="Y82" s="111"/>
      <c r="Z82" s="111"/>
      <c r="AA82" s="111">
        <v>17</v>
      </c>
      <c r="AB82" s="111">
        <v>17</v>
      </c>
      <c r="AC82" s="111">
        <v>34</v>
      </c>
    </row>
    <row r="83" spans="1:29" x14ac:dyDescent="0.3">
      <c r="A83" s="361">
        <v>79</v>
      </c>
      <c r="B83" s="167" t="s">
        <v>786</v>
      </c>
      <c r="C83" s="111">
        <v>4</v>
      </c>
      <c r="D83" s="111">
        <v>4</v>
      </c>
      <c r="E83" s="111">
        <v>8</v>
      </c>
      <c r="F83" s="111"/>
      <c r="G83" s="111"/>
      <c r="H83" s="111"/>
      <c r="I83" s="111">
        <v>11</v>
      </c>
      <c r="J83" s="111">
        <v>7</v>
      </c>
      <c r="K83" s="111">
        <v>18</v>
      </c>
      <c r="L83" s="111">
        <v>4</v>
      </c>
      <c r="M83" s="111">
        <v>1</v>
      </c>
      <c r="N83" s="111">
        <v>5</v>
      </c>
      <c r="O83" s="111">
        <v>1</v>
      </c>
      <c r="P83" s="111"/>
      <c r="Q83" s="111">
        <v>1</v>
      </c>
      <c r="R83" s="111"/>
      <c r="S83" s="111"/>
      <c r="T83" s="111"/>
      <c r="U83" s="111"/>
      <c r="V83" s="111"/>
      <c r="W83" s="111"/>
      <c r="X83" s="111"/>
      <c r="Y83" s="111">
        <v>1</v>
      </c>
      <c r="Z83" s="111">
        <v>1</v>
      </c>
      <c r="AA83" s="111">
        <v>20</v>
      </c>
      <c r="AB83" s="111">
        <v>13</v>
      </c>
      <c r="AC83" s="111">
        <v>33</v>
      </c>
    </row>
    <row r="84" spans="1:29" x14ac:dyDescent="0.3">
      <c r="A84" s="361">
        <v>80</v>
      </c>
      <c r="B84" s="167" t="s">
        <v>787</v>
      </c>
      <c r="C84" s="111"/>
      <c r="D84" s="111"/>
      <c r="E84" s="111"/>
      <c r="F84" s="111"/>
      <c r="G84" s="111"/>
      <c r="H84" s="111"/>
      <c r="I84" s="111"/>
      <c r="J84" s="111">
        <v>3</v>
      </c>
      <c r="K84" s="111">
        <v>3</v>
      </c>
      <c r="L84" s="111">
        <v>13</v>
      </c>
      <c r="M84" s="111">
        <v>12</v>
      </c>
      <c r="N84" s="111">
        <v>25</v>
      </c>
      <c r="O84" s="111"/>
      <c r="P84" s="111"/>
      <c r="Q84" s="111"/>
      <c r="R84" s="111">
        <v>1</v>
      </c>
      <c r="S84" s="111"/>
      <c r="T84" s="111">
        <v>1</v>
      </c>
      <c r="U84" s="111"/>
      <c r="V84" s="111"/>
      <c r="W84" s="111"/>
      <c r="X84" s="111">
        <v>2</v>
      </c>
      <c r="Y84" s="111">
        <v>1</v>
      </c>
      <c r="Z84" s="111">
        <v>3</v>
      </c>
      <c r="AA84" s="111">
        <v>16</v>
      </c>
      <c r="AB84" s="111">
        <v>16</v>
      </c>
      <c r="AC84" s="111">
        <v>32</v>
      </c>
    </row>
    <row r="85" spans="1:29" x14ac:dyDescent="0.3">
      <c r="A85" s="361">
        <v>81</v>
      </c>
      <c r="B85" s="167" t="s">
        <v>788</v>
      </c>
      <c r="C85" s="111">
        <v>1</v>
      </c>
      <c r="D85" s="111"/>
      <c r="E85" s="111">
        <v>1</v>
      </c>
      <c r="F85" s="111"/>
      <c r="G85" s="111"/>
      <c r="H85" s="111"/>
      <c r="I85" s="111">
        <v>14</v>
      </c>
      <c r="J85" s="111">
        <v>7</v>
      </c>
      <c r="K85" s="111">
        <v>21</v>
      </c>
      <c r="L85" s="111">
        <v>6</v>
      </c>
      <c r="M85" s="111">
        <v>2</v>
      </c>
      <c r="N85" s="111">
        <v>8</v>
      </c>
      <c r="O85" s="111"/>
      <c r="P85" s="111"/>
      <c r="Q85" s="111"/>
      <c r="R85" s="111">
        <v>1</v>
      </c>
      <c r="S85" s="111"/>
      <c r="T85" s="111">
        <v>1</v>
      </c>
      <c r="U85" s="111"/>
      <c r="V85" s="111"/>
      <c r="W85" s="111"/>
      <c r="X85" s="111"/>
      <c r="Y85" s="111"/>
      <c r="Z85" s="111"/>
      <c r="AA85" s="111">
        <v>22</v>
      </c>
      <c r="AB85" s="111">
        <v>9</v>
      </c>
      <c r="AC85" s="111">
        <v>31</v>
      </c>
    </row>
    <row r="86" spans="1:29" x14ac:dyDescent="0.3">
      <c r="A86" s="361">
        <v>82</v>
      </c>
      <c r="B86" s="167" t="s">
        <v>789</v>
      </c>
      <c r="C86" s="111"/>
      <c r="D86" s="111"/>
      <c r="E86" s="111"/>
      <c r="F86" s="111"/>
      <c r="G86" s="111"/>
      <c r="H86" s="111"/>
      <c r="I86" s="111">
        <v>6</v>
      </c>
      <c r="J86" s="111">
        <v>1</v>
      </c>
      <c r="K86" s="111">
        <v>7</v>
      </c>
      <c r="L86" s="111">
        <v>13</v>
      </c>
      <c r="M86" s="111">
        <v>5</v>
      </c>
      <c r="N86" s="111">
        <v>18</v>
      </c>
      <c r="O86" s="111">
        <v>1</v>
      </c>
      <c r="P86" s="111"/>
      <c r="Q86" s="111">
        <v>1</v>
      </c>
      <c r="R86" s="111"/>
      <c r="S86" s="111"/>
      <c r="T86" s="111"/>
      <c r="U86" s="111"/>
      <c r="V86" s="111"/>
      <c r="W86" s="111"/>
      <c r="X86" s="111">
        <v>4</v>
      </c>
      <c r="Y86" s="111"/>
      <c r="Z86" s="111">
        <v>4</v>
      </c>
      <c r="AA86" s="111">
        <v>24</v>
      </c>
      <c r="AB86" s="111">
        <v>6</v>
      </c>
      <c r="AC86" s="111">
        <v>30</v>
      </c>
    </row>
    <row r="87" spans="1:29" x14ac:dyDescent="0.3">
      <c r="A87" s="361">
        <v>83</v>
      </c>
      <c r="B87" s="167" t="s">
        <v>790</v>
      </c>
      <c r="C87" s="111"/>
      <c r="D87" s="111"/>
      <c r="E87" s="111"/>
      <c r="F87" s="111"/>
      <c r="G87" s="111"/>
      <c r="H87" s="111"/>
      <c r="I87" s="111">
        <v>3</v>
      </c>
      <c r="J87" s="111">
        <v>1</v>
      </c>
      <c r="K87" s="111">
        <v>4</v>
      </c>
      <c r="L87" s="111">
        <v>16</v>
      </c>
      <c r="M87" s="111">
        <v>7</v>
      </c>
      <c r="N87" s="111">
        <v>23</v>
      </c>
      <c r="O87" s="111"/>
      <c r="P87" s="111">
        <v>1</v>
      </c>
      <c r="Q87" s="111">
        <v>1</v>
      </c>
      <c r="R87" s="111">
        <v>1</v>
      </c>
      <c r="S87" s="111"/>
      <c r="T87" s="111">
        <v>1</v>
      </c>
      <c r="U87" s="111"/>
      <c r="V87" s="111"/>
      <c r="W87" s="111"/>
      <c r="X87" s="111"/>
      <c r="Y87" s="111"/>
      <c r="Z87" s="111"/>
      <c r="AA87" s="111">
        <v>20</v>
      </c>
      <c r="AB87" s="111">
        <v>9</v>
      </c>
      <c r="AC87" s="111">
        <v>29</v>
      </c>
    </row>
    <row r="88" spans="1:29" x14ac:dyDescent="0.3">
      <c r="A88" s="361">
        <v>84</v>
      </c>
      <c r="B88" s="167" t="s">
        <v>791</v>
      </c>
      <c r="C88" s="111">
        <v>9</v>
      </c>
      <c r="D88" s="111">
        <v>3</v>
      </c>
      <c r="E88" s="111">
        <v>12</v>
      </c>
      <c r="F88" s="111"/>
      <c r="G88" s="111"/>
      <c r="H88" s="111"/>
      <c r="I88" s="111">
        <v>8</v>
      </c>
      <c r="J88" s="111">
        <v>3</v>
      </c>
      <c r="K88" s="111">
        <v>11</v>
      </c>
      <c r="L88" s="111">
        <v>3</v>
      </c>
      <c r="M88" s="111">
        <v>2</v>
      </c>
      <c r="N88" s="111">
        <v>5</v>
      </c>
      <c r="O88" s="111"/>
      <c r="P88" s="111">
        <v>1</v>
      </c>
      <c r="Q88" s="111">
        <v>1</v>
      </c>
      <c r="R88" s="111"/>
      <c r="S88" s="111"/>
      <c r="T88" s="111"/>
      <c r="U88" s="111"/>
      <c r="V88" s="111"/>
      <c r="W88" s="111"/>
      <c r="X88" s="111"/>
      <c r="Y88" s="111"/>
      <c r="Z88" s="111"/>
      <c r="AA88" s="111">
        <v>20</v>
      </c>
      <c r="AB88" s="111">
        <v>9</v>
      </c>
      <c r="AC88" s="111">
        <v>29</v>
      </c>
    </row>
    <row r="89" spans="1:29" x14ac:dyDescent="0.3">
      <c r="A89" s="361">
        <v>85</v>
      </c>
      <c r="B89" s="167" t="s">
        <v>792</v>
      </c>
      <c r="C89" s="111"/>
      <c r="D89" s="111"/>
      <c r="E89" s="111"/>
      <c r="F89" s="111"/>
      <c r="G89" s="111"/>
      <c r="H89" s="111"/>
      <c r="I89" s="111">
        <v>4</v>
      </c>
      <c r="J89" s="111">
        <v>6</v>
      </c>
      <c r="K89" s="111">
        <v>10</v>
      </c>
      <c r="L89" s="111">
        <v>11</v>
      </c>
      <c r="M89" s="111">
        <v>7</v>
      </c>
      <c r="N89" s="111">
        <v>18</v>
      </c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>
        <v>15</v>
      </c>
      <c r="AB89" s="111">
        <v>13</v>
      </c>
      <c r="AC89" s="111">
        <v>28</v>
      </c>
    </row>
    <row r="90" spans="1:29" x14ac:dyDescent="0.3">
      <c r="A90" s="361">
        <v>86</v>
      </c>
      <c r="B90" s="167" t="s">
        <v>793</v>
      </c>
      <c r="C90" s="111"/>
      <c r="D90" s="111"/>
      <c r="E90" s="111"/>
      <c r="F90" s="111"/>
      <c r="G90" s="111"/>
      <c r="H90" s="111"/>
      <c r="I90" s="111"/>
      <c r="J90" s="111"/>
      <c r="K90" s="111"/>
      <c r="L90" s="111">
        <v>15</v>
      </c>
      <c r="M90" s="111">
        <v>12</v>
      </c>
      <c r="N90" s="111">
        <v>27</v>
      </c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>
        <v>15</v>
      </c>
      <c r="AB90" s="111">
        <v>12</v>
      </c>
      <c r="AC90" s="111">
        <v>27</v>
      </c>
    </row>
    <row r="91" spans="1:29" x14ac:dyDescent="0.3">
      <c r="A91" s="361">
        <v>87</v>
      </c>
      <c r="B91" s="167" t="s">
        <v>794</v>
      </c>
      <c r="C91" s="111">
        <v>3</v>
      </c>
      <c r="D91" s="111">
        <v>1</v>
      </c>
      <c r="E91" s="111">
        <v>4</v>
      </c>
      <c r="F91" s="111"/>
      <c r="G91" s="111"/>
      <c r="H91" s="111"/>
      <c r="I91" s="111">
        <v>6</v>
      </c>
      <c r="J91" s="111">
        <v>7</v>
      </c>
      <c r="K91" s="111">
        <v>13</v>
      </c>
      <c r="L91" s="111">
        <v>3</v>
      </c>
      <c r="M91" s="111">
        <v>5</v>
      </c>
      <c r="N91" s="111">
        <v>8</v>
      </c>
      <c r="O91" s="111">
        <v>1</v>
      </c>
      <c r="P91" s="111"/>
      <c r="Q91" s="111">
        <v>1</v>
      </c>
      <c r="R91" s="111"/>
      <c r="S91" s="111"/>
      <c r="T91" s="111"/>
      <c r="U91" s="111"/>
      <c r="V91" s="111"/>
      <c r="W91" s="111"/>
      <c r="X91" s="111"/>
      <c r="Y91" s="111"/>
      <c r="Z91" s="111"/>
      <c r="AA91" s="111">
        <v>13</v>
      </c>
      <c r="AB91" s="111">
        <v>13</v>
      </c>
      <c r="AC91" s="111">
        <v>26</v>
      </c>
    </row>
    <row r="92" spans="1:29" x14ac:dyDescent="0.3">
      <c r="A92" s="361">
        <v>88</v>
      </c>
      <c r="B92" s="167" t="s">
        <v>795</v>
      </c>
      <c r="C92" s="111">
        <v>1</v>
      </c>
      <c r="D92" s="111">
        <v>1</v>
      </c>
      <c r="E92" s="111">
        <v>2</v>
      </c>
      <c r="F92" s="111"/>
      <c r="G92" s="111"/>
      <c r="H92" s="111"/>
      <c r="I92" s="111">
        <v>7</v>
      </c>
      <c r="J92" s="111">
        <v>5</v>
      </c>
      <c r="K92" s="111">
        <v>12</v>
      </c>
      <c r="L92" s="111">
        <v>4</v>
      </c>
      <c r="M92" s="111">
        <v>6</v>
      </c>
      <c r="N92" s="111">
        <v>10</v>
      </c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>
        <v>1</v>
      </c>
      <c r="Z92" s="111">
        <v>1</v>
      </c>
      <c r="AA92" s="111">
        <v>12</v>
      </c>
      <c r="AB92" s="111">
        <v>13</v>
      </c>
      <c r="AC92" s="111">
        <v>25</v>
      </c>
    </row>
    <row r="93" spans="1:29" x14ac:dyDescent="0.3">
      <c r="A93" s="361">
        <v>89</v>
      </c>
      <c r="B93" s="167" t="s">
        <v>796</v>
      </c>
      <c r="C93" s="111"/>
      <c r="D93" s="111"/>
      <c r="E93" s="111"/>
      <c r="F93" s="111"/>
      <c r="G93" s="111"/>
      <c r="H93" s="111"/>
      <c r="I93" s="111">
        <v>6</v>
      </c>
      <c r="J93" s="111">
        <v>4</v>
      </c>
      <c r="K93" s="111">
        <v>10</v>
      </c>
      <c r="L93" s="111">
        <v>3</v>
      </c>
      <c r="M93" s="111">
        <v>11</v>
      </c>
      <c r="N93" s="111">
        <v>14</v>
      </c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>
        <v>9</v>
      </c>
      <c r="AB93" s="111">
        <v>15</v>
      </c>
      <c r="AC93" s="111">
        <v>24</v>
      </c>
    </row>
    <row r="94" spans="1:29" x14ac:dyDescent="0.3">
      <c r="A94" s="361">
        <v>90</v>
      </c>
      <c r="B94" s="167" t="s">
        <v>797</v>
      </c>
      <c r="C94" s="111"/>
      <c r="D94" s="111">
        <v>1</v>
      </c>
      <c r="E94" s="111">
        <v>1</v>
      </c>
      <c r="F94" s="111"/>
      <c r="G94" s="111"/>
      <c r="H94" s="111"/>
      <c r="I94" s="111"/>
      <c r="J94" s="111">
        <v>2</v>
      </c>
      <c r="K94" s="111">
        <v>2</v>
      </c>
      <c r="L94" s="111">
        <v>8</v>
      </c>
      <c r="M94" s="111">
        <v>8</v>
      </c>
      <c r="N94" s="111">
        <v>16</v>
      </c>
      <c r="O94" s="111">
        <v>1</v>
      </c>
      <c r="P94" s="111">
        <v>1</v>
      </c>
      <c r="Q94" s="111">
        <v>2</v>
      </c>
      <c r="R94" s="111"/>
      <c r="S94" s="111"/>
      <c r="T94" s="111"/>
      <c r="U94" s="111"/>
      <c r="V94" s="111"/>
      <c r="W94" s="111"/>
      <c r="X94" s="111"/>
      <c r="Y94" s="111"/>
      <c r="Z94" s="111"/>
      <c r="AA94" s="111">
        <v>9</v>
      </c>
      <c r="AB94" s="111">
        <v>12</v>
      </c>
      <c r="AC94" s="111">
        <v>21</v>
      </c>
    </row>
    <row r="95" spans="1:29" x14ac:dyDescent="0.3">
      <c r="A95" s="361">
        <v>91</v>
      </c>
      <c r="B95" s="167" t="s">
        <v>798</v>
      </c>
      <c r="C95" s="111">
        <v>2</v>
      </c>
      <c r="D95" s="111"/>
      <c r="E95" s="111">
        <v>2</v>
      </c>
      <c r="F95" s="111"/>
      <c r="G95" s="111"/>
      <c r="H95" s="111"/>
      <c r="I95" s="111">
        <v>6</v>
      </c>
      <c r="J95" s="111">
        <v>3</v>
      </c>
      <c r="K95" s="111">
        <v>9</v>
      </c>
      <c r="L95" s="111">
        <v>5</v>
      </c>
      <c r="M95" s="111">
        <v>2</v>
      </c>
      <c r="N95" s="111">
        <v>7</v>
      </c>
      <c r="O95" s="111">
        <v>1</v>
      </c>
      <c r="P95" s="111">
        <v>2</v>
      </c>
      <c r="Q95" s="111">
        <v>3</v>
      </c>
      <c r="R95" s="111"/>
      <c r="S95" s="111"/>
      <c r="T95" s="111"/>
      <c r="U95" s="111"/>
      <c r="V95" s="111"/>
      <c r="W95" s="111"/>
      <c r="X95" s="111"/>
      <c r="Y95" s="111"/>
      <c r="Z95" s="111"/>
      <c r="AA95" s="111">
        <v>14</v>
      </c>
      <c r="AB95" s="111">
        <v>7</v>
      </c>
      <c r="AC95" s="111">
        <v>21</v>
      </c>
    </row>
    <row r="96" spans="1:29" x14ac:dyDescent="0.3">
      <c r="A96" s="361">
        <v>92</v>
      </c>
      <c r="B96" s="167" t="s">
        <v>799</v>
      </c>
      <c r="C96" s="111"/>
      <c r="D96" s="111"/>
      <c r="E96" s="111"/>
      <c r="F96" s="111"/>
      <c r="G96" s="111"/>
      <c r="H96" s="111"/>
      <c r="I96" s="111">
        <v>6</v>
      </c>
      <c r="J96" s="111">
        <v>8</v>
      </c>
      <c r="K96" s="111">
        <v>14</v>
      </c>
      <c r="L96" s="111">
        <v>2</v>
      </c>
      <c r="M96" s="111">
        <v>5</v>
      </c>
      <c r="N96" s="111">
        <v>7</v>
      </c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>
        <v>8</v>
      </c>
      <c r="AB96" s="111">
        <v>13</v>
      </c>
      <c r="AC96" s="111">
        <v>21</v>
      </c>
    </row>
    <row r="97" spans="1:29" ht="15.75" customHeight="1" x14ac:dyDescent="0.3">
      <c r="A97" s="361">
        <v>93</v>
      </c>
      <c r="B97" s="167" t="s">
        <v>800</v>
      </c>
      <c r="C97" s="111">
        <v>1</v>
      </c>
      <c r="D97" s="111">
        <v>1</v>
      </c>
      <c r="E97" s="111">
        <v>2</v>
      </c>
      <c r="F97" s="111"/>
      <c r="G97" s="111"/>
      <c r="H97" s="111"/>
      <c r="I97" s="111">
        <v>3</v>
      </c>
      <c r="J97" s="111">
        <v>2</v>
      </c>
      <c r="K97" s="111">
        <v>5</v>
      </c>
      <c r="L97" s="111">
        <v>2</v>
      </c>
      <c r="M97" s="111">
        <v>7</v>
      </c>
      <c r="N97" s="111">
        <v>9</v>
      </c>
      <c r="O97" s="111">
        <v>1</v>
      </c>
      <c r="P97" s="111">
        <v>1</v>
      </c>
      <c r="Q97" s="111">
        <v>2</v>
      </c>
      <c r="R97" s="111"/>
      <c r="S97" s="111">
        <v>2</v>
      </c>
      <c r="T97" s="111">
        <v>2</v>
      </c>
      <c r="U97" s="111"/>
      <c r="V97" s="111"/>
      <c r="W97" s="111"/>
      <c r="X97" s="111">
        <v>1</v>
      </c>
      <c r="Y97" s="111"/>
      <c r="Z97" s="111">
        <v>1</v>
      </c>
      <c r="AA97" s="111">
        <v>8</v>
      </c>
      <c r="AB97" s="111">
        <v>13</v>
      </c>
      <c r="AC97" s="111">
        <v>21</v>
      </c>
    </row>
    <row r="98" spans="1:29" x14ac:dyDescent="0.3">
      <c r="A98" s="361">
        <v>94</v>
      </c>
      <c r="B98" s="167" t="s">
        <v>801</v>
      </c>
      <c r="C98" s="111"/>
      <c r="D98" s="111"/>
      <c r="E98" s="111"/>
      <c r="F98" s="111"/>
      <c r="G98" s="111"/>
      <c r="H98" s="111"/>
      <c r="I98" s="111">
        <v>1</v>
      </c>
      <c r="J98" s="111">
        <v>1</v>
      </c>
      <c r="K98" s="111">
        <v>2</v>
      </c>
      <c r="L98" s="111">
        <v>6</v>
      </c>
      <c r="M98" s="111">
        <v>10</v>
      </c>
      <c r="N98" s="111">
        <v>16</v>
      </c>
      <c r="O98" s="111"/>
      <c r="P98" s="111"/>
      <c r="Q98" s="111"/>
      <c r="R98" s="111">
        <v>1</v>
      </c>
      <c r="S98" s="111"/>
      <c r="T98" s="111">
        <v>1</v>
      </c>
      <c r="U98" s="111"/>
      <c r="V98" s="111"/>
      <c r="W98" s="111"/>
      <c r="X98" s="111"/>
      <c r="Y98" s="111"/>
      <c r="Z98" s="111"/>
      <c r="AA98" s="111">
        <v>8</v>
      </c>
      <c r="AB98" s="111">
        <v>11</v>
      </c>
      <c r="AC98" s="111">
        <v>19</v>
      </c>
    </row>
    <row r="99" spans="1:29" x14ac:dyDescent="0.3">
      <c r="A99" s="361">
        <v>95</v>
      </c>
      <c r="B99" s="167" t="s">
        <v>802</v>
      </c>
      <c r="C99" s="111"/>
      <c r="D99" s="111">
        <v>1</v>
      </c>
      <c r="E99" s="111">
        <v>1</v>
      </c>
      <c r="F99" s="111"/>
      <c r="G99" s="111"/>
      <c r="H99" s="111"/>
      <c r="I99" s="111">
        <v>5</v>
      </c>
      <c r="J99" s="111">
        <v>1</v>
      </c>
      <c r="K99" s="111">
        <v>6</v>
      </c>
      <c r="L99" s="111">
        <v>3</v>
      </c>
      <c r="M99" s="111">
        <v>7</v>
      </c>
      <c r="N99" s="111">
        <v>10</v>
      </c>
      <c r="O99" s="111"/>
      <c r="P99" s="111">
        <v>1</v>
      </c>
      <c r="Q99" s="111">
        <v>1</v>
      </c>
      <c r="R99" s="111"/>
      <c r="S99" s="111"/>
      <c r="T99" s="111"/>
      <c r="U99" s="111"/>
      <c r="V99" s="111"/>
      <c r="W99" s="111"/>
      <c r="X99" s="111"/>
      <c r="Y99" s="111"/>
      <c r="Z99" s="111"/>
      <c r="AA99" s="111">
        <v>8</v>
      </c>
      <c r="AB99" s="111">
        <v>10</v>
      </c>
      <c r="AC99" s="111">
        <v>18</v>
      </c>
    </row>
    <row r="100" spans="1:29" x14ac:dyDescent="0.3">
      <c r="A100" s="361">
        <v>96</v>
      </c>
      <c r="B100" s="167" t="s">
        <v>803</v>
      </c>
      <c r="C100" s="111">
        <v>3</v>
      </c>
      <c r="D100" s="111">
        <v>2</v>
      </c>
      <c r="E100" s="111">
        <v>5</v>
      </c>
      <c r="F100" s="111"/>
      <c r="G100" s="111"/>
      <c r="H100" s="111"/>
      <c r="I100" s="111">
        <v>5</v>
      </c>
      <c r="J100" s="111"/>
      <c r="K100" s="111">
        <v>5</v>
      </c>
      <c r="L100" s="111">
        <v>7</v>
      </c>
      <c r="M100" s="111"/>
      <c r="N100" s="111">
        <v>7</v>
      </c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15</v>
      </c>
      <c r="AB100" s="111">
        <v>2</v>
      </c>
      <c r="AC100" s="111">
        <v>17</v>
      </c>
    </row>
    <row r="101" spans="1:29" ht="28" x14ac:dyDescent="0.3">
      <c r="A101" s="361">
        <v>97</v>
      </c>
      <c r="B101" s="167" t="s">
        <v>804</v>
      </c>
      <c r="C101" s="111"/>
      <c r="D101" s="111"/>
      <c r="E101" s="111"/>
      <c r="F101" s="111"/>
      <c r="G101" s="111"/>
      <c r="H101" s="111"/>
      <c r="I101" s="111">
        <v>2</v>
      </c>
      <c r="J101" s="111"/>
      <c r="K101" s="111">
        <v>2</v>
      </c>
      <c r="L101" s="111">
        <v>9</v>
      </c>
      <c r="M101" s="111">
        <v>6</v>
      </c>
      <c r="N101" s="111">
        <v>15</v>
      </c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11</v>
      </c>
      <c r="AB101" s="111">
        <v>6</v>
      </c>
      <c r="AC101" s="111">
        <v>17</v>
      </c>
    </row>
    <row r="102" spans="1:29" x14ac:dyDescent="0.3">
      <c r="A102" s="361">
        <v>98</v>
      </c>
      <c r="B102" s="167" t="s">
        <v>805</v>
      </c>
      <c r="C102" s="111"/>
      <c r="D102" s="111"/>
      <c r="E102" s="111"/>
      <c r="F102" s="111"/>
      <c r="G102" s="111"/>
      <c r="H102" s="111"/>
      <c r="I102" s="111">
        <v>3</v>
      </c>
      <c r="J102" s="111">
        <v>2</v>
      </c>
      <c r="K102" s="111">
        <v>5</v>
      </c>
      <c r="L102" s="111">
        <v>3</v>
      </c>
      <c r="M102" s="111">
        <v>7</v>
      </c>
      <c r="N102" s="111">
        <v>10</v>
      </c>
      <c r="O102" s="111">
        <v>1</v>
      </c>
      <c r="P102" s="111"/>
      <c r="Q102" s="111">
        <v>1</v>
      </c>
      <c r="R102" s="111"/>
      <c r="S102" s="111">
        <v>1</v>
      </c>
      <c r="T102" s="111">
        <v>1</v>
      </c>
      <c r="U102" s="111"/>
      <c r="V102" s="111"/>
      <c r="W102" s="111"/>
      <c r="X102" s="111"/>
      <c r="Y102" s="111"/>
      <c r="Z102" s="111"/>
      <c r="AA102" s="111">
        <v>7</v>
      </c>
      <c r="AB102" s="111">
        <v>10</v>
      </c>
      <c r="AC102" s="111">
        <v>17</v>
      </c>
    </row>
    <row r="103" spans="1:29" x14ac:dyDescent="0.3">
      <c r="A103" s="361">
        <v>99</v>
      </c>
      <c r="B103" s="167" t="s">
        <v>806</v>
      </c>
      <c r="C103" s="111"/>
      <c r="D103" s="111"/>
      <c r="E103" s="111"/>
      <c r="F103" s="111"/>
      <c r="G103" s="111"/>
      <c r="H103" s="111"/>
      <c r="I103" s="111">
        <v>2</v>
      </c>
      <c r="J103" s="111">
        <v>7</v>
      </c>
      <c r="K103" s="111">
        <v>9</v>
      </c>
      <c r="L103" s="111">
        <v>1</v>
      </c>
      <c r="M103" s="111">
        <v>5</v>
      </c>
      <c r="N103" s="111">
        <v>6</v>
      </c>
      <c r="O103" s="111">
        <v>1</v>
      </c>
      <c r="P103" s="111"/>
      <c r="Q103" s="111">
        <v>1</v>
      </c>
      <c r="R103" s="111"/>
      <c r="S103" s="111"/>
      <c r="T103" s="111"/>
      <c r="U103" s="111"/>
      <c r="V103" s="111"/>
      <c r="W103" s="111"/>
      <c r="X103" s="111">
        <v>1</v>
      </c>
      <c r="Y103" s="111"/>
      <c r="Z103" s="111">
        <v>1</v>
      </c>
      <c r="AA103" s="111">
        <v>5</v>
      </c>
      <c r="AB103" s="111">
        <v>12</v>
      </c>
      <c r="AC103" s="111">
        <v>17</v>
      </c>
    </row>
    <row r="104" spans="1:29" x14ac:dyDescent="0.3">
      <c r="A104" s="361">
        <v>100</v>
      </c>
      <c r="B104" s="167" t="s">
        <v>807</v>
      </c>
      <c r="C104" s="111"/>
      <c r="D104" s="111"/>
      <c r="E104" s="111"/>
      <c r="F104" s="111"/>
      <c r="G104" s="111"/>
      <c r="H104" s="111"/>
      <c r="I104" s="111"/>
      <c r="J104" s="111"/>
      <c r="K104" s="111"/>
      <c r="L104" s="111">
        <v>7</v>
      </c>
      <c r="M104" s="111">
        <v>5</v>
      </c>
      <c r="N104" s="111">
        <v>12</v>
      </c>
      <c r="O104" s="111">
        <v>1</v>
      </c>
      <c r="P104" s="111">
        <v>2</v>
      </c>
      <c r="Q104" s="111">
        <v>3</v>
      </c>
      <c r="R104" s="111"/>
      <c r="S104" s="111"/>
      <c r="T104" s="111"/>
      <c r="U104" s="111"/>
      <c r="V104" s="111"/>
      <c r="W104" s="111"/>
      <c r="X104" s="111"/>
      <c r="Y104" s="111">
        <v>1</v>
      </c>
      <c r="Z104" s="111">
        <v>1</v>
      </c>
      <c r="AA104" s="111">
        <v>8</v>
      </c>
      <c r="AB104" s="111">
        <v>8</v>
      </c>
      <c r="AC104" s="111">
        <v>16</v>
      </c>
    </row>
    <row r="105" spans="1:29" x14ac:dyDescent="0.3">
      <c r="A105" s="361">
        <v>101</v>
      </c>
      <c r="B105" s="167" t="s">
        <v>808</v>
      </c>
      <c r="C105" s="111">
        <v>1</v>
      </c>
      <c r="D105" s="111">
        <v>2</v>
      </c>
      <c r="E105" s="111">
        <v>3</v>
      </c>
      <c r="F105" s="111"/>
      <c r="G105" s="111"/>
      <c r="H105" s="111"/>
      <c r="I105" s="111">
        <v>2</v>
      </c>
      <c r="J105" s="111">
        <v>1</v>
      </c>
      <c r="K105" s="111">
        <v>3</v>
      </c>
      <c r="L105" s="111">
        <v>5</v>
      </c>
      <c r="M105" s="111">
        <v>3</v>
      </c>
      <c r="N105" s="111">
        <v>8</v>
      </c>
      <c r="O105" s="111">
        <v>1</v>
      </c>
      <c r="P105" s="111"/>
      <c r="Q105" s="111">
        <v>1</v>
      </c>
      <c r="R105" s="111"/>
      <c r="S105" s="111"/>
      <c r="T105" s="111"/>
      <c r="U105" s="111">
        <v>1</v>
      </c>
      <c r="V105" s="111"/>
      <c r="W105" s="111">
        <v>1</v>
      </c>
      <c r="X105" s="111"/>
      <c r="Y105" s="111"/>
      <c r="Z105" s="111"/>
      <c r="AA105" s="111">
        <v>10</v>
      </c>
      <c r="AB105" s="111">
        <v>6</v>
      </c>
      <c r="AC105" s="111">
        <v>16</v>
      </c>
    </row>
    <row r="106" spans="1:29" x14ac:dyDescent="0.3">
      <c r="A106" s="361">
        <v>102</v>
      </c>
      <c r="B106" s="167" t="s">
        <v>809</v>
      </c>
      <c r="C106" s="111"/>
      <c r="D106" s="111"/>
      <c r="E106" s="111"/>
      <c r="F106" s="111"/>
      <c r="G106" s="111"/>
      <c r="H106" s="111"/>
      <c r="I106" s="111"/>
      <c r="J106" s="111">
        <v>1</v>
      </c>
      <c r="K106" s="111">
        <v>1</v>
      </c>
      <c r="L106" s="111">
        <v>5</v>
      </c>
      <c r="M106" s="111">
        <v>5</v>
      </c>
      <c r="N106" s="111">
        <v>10</v>
      </c>
      <c r="O106" s="111">
        <v>2</v>
      </c>
      <c r="P106" s="111">
        <v>1</v>
      </c>
      <c r="Q106" s="111">
        <v>3</v>
      </c>
      <c r="R106" s="111"/>
      <c r="S106" s="111"/>
      <c r="T106" s="111"/>
      <c r="U106" s="111"/>
      <c r="V106" s="111">
        <v>1</v>
      </c>
      <c r="W106" s="111">
        <v>1</v>
      </c>
      <c r="X106" s="111"/>
      <c r="Y106" s="111"/>
      <c r="Z106" s="111"/>
      <c r="AA106" s="111">
        <v>7</v>
      </c>
      <c r="AB106" s="111">
        <v>8</v>
      </c>
      <c r="AC106" s="111">
        <v>15</v>
      </c>
    </row>
    <row r="107" spans="1:29" x14ac:dyDescent="0.3">
      <c r="A107" s="361">
        <v>103</v>
      </c>
      <c r="B107" s="167" t="s">
        <v>810</v>
      </c>
      <c r="C107" s="111"/>
      <c r="D107" s="111">
        <v>1</v>
      </c>
      <c r="E107" s="111">
        <v>1</v>
      </c>
      <c r="F107" s="111"/>
      <c r="G107" s="111"/>
      <c r="H107" s="111"/>
      <c r="I107" s="111">
        <v>4</v>
      </c>
      <c r="J107" s="111">
        <v>5</v>
      </c>
      <c r="K107" s="111">
        <v>9</v>
      </c>
      <c r="L107" s="111">
        <v>1</v>
      </c>
      <c r="M107" s="111">
        <v>1</v>
      </c>
      <c r="N107" s="111">
        <v>2</v>
      </c>
      <c r="O107" s="111"/>
      <c r="P107" s="111"/>
      <c r="Q107" s="111"/>
      <c r="R107" s="111">
        <v>1</v>
      </c>
      <c r="S107" s="111"/>
      <c r="T107" s="111">
        <v>1</v>
      </c>
      <c r="U107" s="111">
        <v>1</v>
      </c>
      <c r="V107" s="111"/>
      <c r="W107" s="111">
        <v>1</v>
      </c>
      <c r="X107" s="111"/>
      <c r="Y107" s="111"/>
      <c r="Z107" s="111"/>
      <c r="AA107" s="111">
        <v>7</v>
      </c>
      <c r="AB107" s="111">
        <v>7</v>
      </c>
      <c r="AC107" s="111">
        <v>14</v>
      </c>
    </row>
    <row r="108" spans="1:29" x14ac:dyDescent="0.3">
      <c r="A108" s="361">
        <v>104</v>
      </c>
      <c r="B108" s="167" t="s">
        <v>811</v>
      </c>
      <c r="C108" s="111"/>
      <c r="D108" s="111"/>
      <c r="E108" s="111"/>
      <c r="F108" s="111"/>
      <c r="G108" s="111"/>
      <c r="H108" s="111"/>
      <c r="I108" s="111"/>
      <c r="J108" s="111"/>
      <c r="K108" s="111"/>
      <c r="L108" s="111">
        <v>6</v>
      </c>
      <c r="M108" s="111">
        <v>3</v>
      </c>
      <c r="N108" s="111">
        <v>9</v>
      </c>
      <c r="O108" s="111"/>
      <c r="P108" s="111"/>
      <c r="Q108" s="111"/>
      <c r="R108" s="111">
        <v>3</v>
      </c>
      <c r="S108" s="111"/>
      <c r="T108" s="111">
        <v>3</v>
      </c>
      <c r="U108" s="111">
        <v>2</v>
      </c>
      <c r="V108" s="111"/>
      <c r="W108" s="111">
        <v>2</v>
      </c>
      <c r="X108" s="111"/>
      <c r="Y108" s="111"/>
      <c r="Z108" s="111"/>
      <c r="AA108" s="111">
        <v>11</v>
      </c>
      <c r="AB108" s="111">
        <v>3</v>
      </c>
      <c r="AC108" s="111">
        <v>14</v>
      </c>
    </row>
    <row r="109" spans="1:29" x14ac:dyDescent="0.3">
      <c r="A109" s="361">
        <v>105</v>
      </c>
      <c r="B109" s="167" t="s">
        <v>812</v>
      </c>
      <c r="C109" s="111"/>
      <c r="D109" s="111"/>
      <c r="E109" s="111"/>
      <c r="F109" s="111"/>
      <c r="G109" s="111"/>
      <c r="H109" s="111"/>
      <c r="I109" s="111">
        <v>9</v>
      </c>
      <c r="J109" s="111"/>
      <c r="K109" s="111">
        <v>9</v>
      </c>
      <c r="L109" s="111">
        <v>3</v>
      </c>
      <c r="M109" s="111">
        <v>2</v>
      </c>
      <c r="N109" s="111">
        <v>5</v>
      </c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>
        <v>12</v>
      </c>
      <c r="AB109" s="111">
        <v>2</v>
      </c>
      <c r="AC109" s="111">
        <v>14</v>
      </c>
    </row>
    <row r="110" spans="1:29" x14ac:dyDescent="0.3">
      <c r="A110" s="361">
        <v>106</v>
      </c>
      <c r="B110" s="167" t="s">
        <v>813</v>
      </c>
      <c r="C110" s="111">
        <v>1</v>
      </c>
      <c r="D110" s="111"/>
      <c r="E110" s="111">
        <v>1</v>
      </c>
      <c r="F110" s="111"/>
      <c r="G110" s="111"/>
      <c r="H110" s="111"/>
      <c r="I110" s="111"/>
      <c r="J110" s="111">
        <v>4</v>
      </c>
      <c r="K110" s="111">
        <v>4</v>
      </c>
      <c r="L110" s="111">
        <v>3</v>
      </c>
      <c r="M110" s="111">
        <v>4</v>
      </c>
      <c r="N110" s="111">
        <v>7</v>
      </c>
      <c r="O110" s="111"/>
      <c r="P110" s="111"/>
      <c r="Q110" s="111"/>
      <c r="R110" s="111">
        <v>1</v>
      </c>
      <c r="S110" s="111"/>
      <c r="T110" s="111">
        <v>1</v>
      </c>
      <c r="U110" s="111"/>
      <c r="V110" s="111"/>
      <c r="W110" s="111"/>
      <c r="X110" s="111"/>
      <c r="Y110" s="111"/>
      <c r="Z110" s="111"/>
      <c r="AA110" s="111">
        <v>5</v>
      </c>
      <c r="AB110" s="111">
        <v>8</v>
      </c>
      <c r="AC110" s="111">
        <v>13</v>
      </c>
    </row>
    <row r="111" spans="1:29" x14ac:dyDescent="0.3">
      <c r="A111" s="361">
        <v>107</v>
      </c>
      <c r="B111" s="167" t="s">
        <v>814</v>
      </c>
      <c r="C111" s="111"/>
      <c r="D111" s="111">
        <v>1</v>
      </c>
      <c r="E111" s="111">
        <v>1</v>
      </c>
      <c r="F111" s="111"/>
      <c r="G111" s="111"/>
      <c r="H111" s="111"/>
      <c r="I111" s="111"/>
      <c r="J111" s="111">
        <v>2</v>
      </c>
      <c r="K111" s="111">
        <v>2</v>
      </c>
      <c r="L111" s="111">
        <v>4</v>
      </c>
      <c r="M111" s="111">
        <v>3</v>
      </c>
      <c r="N111" s="111">
        <v>7</v>
      </c>
      <c r="O111" s="111"/>
      <c r="P111" s="111"/>
      <c r="Q111" s="111"/>
      <c r="R111" s="111">
        <v>1</v>
      </c>
      <c r="S111" s="111"/>
      <c r="T111" s="111">
        <v>1</v>
      </c>
      <c r="U111" s="111"/>
      <c r="V111" s="111">
        <v>2</v>
      </c>
      <c r="W111" s="111">
        <v>2</v>
      </c>
      <c r="X111" s="111"/>
      <c r="Y111" s="111"/>
      <c r="Z111" s="111"/>
      <c r="AA111" s="111">
        <v>5</v>
      </c>
      <c r="AB111" s="111">
        <v>8</v>
      </c>
      <c r="AC111" s="111">
        <v>13</v>
      </c>
    </row>
    <row r="112" spans="1:29" x14ac:dyDescent="0.3">
      <c r="A112" s="361">
        <v>108</v>
      </c>
      <c r="B112" s="167" t="s">
        <v>815</v>
      </c>
      <c r="C112" s="111"/>
      <c r="D112" s="111"/>
      <c r="E112" s="111"/>
      <c r="F112" s="111"/>
      <c r="G112" s="111"/>
      <c r="H112" s="111"/>
      <c r="I112" s="111">
        <v>3</v>
      </c>
      <c r="J112" s="111">
        <v>1</v>
      </c>
      <c r="K112" s="111">
        <v>4</v>
      </c>
      <c r="L112" s="111">
        <v>7</v>
      </c>
      <c r="M112" s="111"/>
      <c r="N112" s="111">
        <v>7</v>
      </c>
      <c r="O112" s="111"/>
      <c r="P112" s="111"/>
      <c r="Q112" s="111"/>
      <c r="R112" s="111"/>
      <c r="S112" s="111">
        <v>2</v>
      </c>
      <c r="T112" s="111">
        <v>2</v>
      </c>
      <c r="U112" s="111"/>
      <c r="V112" s="111"/>
      <c r="W112" s="111"/>
      <c r="X112" s="111"/>
      <c r="Y112" s="111"/>
      <c r="Z112" s="111"/>
      <c r="AA112" s="111">
        <v>10</v>
      </c>
      <c r="AB112" s="111">
        <v>3</v>
      </c>
      <c r="AC112" s="111">
        <v>13</v>
      </c>
    </row>
    <row r="113" spans="1:29" x14ac:dyDescent="0.3">
      <c r="A113" s="361">
        <v>109</v>
      </c>
      <c r="B113" s="167" t="s">
        <v>816</v>
      </c>
      <c r="C113" s="111">
        <v>1</v>
      </c>
      <c r="D113" s="111"/>
      <c r="E113" s="111">
        <v>1</v>
      </c>
      <c r="F113" s="111"/>
      <c r="G113" s="111"/>
      <c r="H113" s="111"/>
      <c r="I113" s="111">
        <v>2</v>
      </c>
      <c r="J113" s="111">
        <v>1</v>
      </c>
      <c r="K113" s="111">
        <v>3</v>
      </c>
      <c r="L113" s="111">
        <v>3</v>
      </c>
      <c r="M113" s="111">
        <v>4</v>
      </c>
      <c r="N113" s="111">
        <v>7</v>
      </c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>
        <v>6</v>
      </c>
      <c r="AB113" s="111">
        <v>5</v>
      </c>
      <c r="AC113" s="111">
        <v>11</v>
      </c>
    </row>
    <row r="114" spans="1:29" x14ac:dyDescent="0.3">
      <c r="A114" s="361">
        <v>110</v>
      </c>
      <c r="B114" s="167" t="s">
        <v>817</v>
      </c>
      <c r="C114" s="111"/>
      <c r="D114" s="111"/>
      <c r="E114" s="111"/>
      <c r="F114" s="111"/>
      <c r="G114" s="111"/>
      <c r="H114" s="111"/>
      <c r="I114" s="111">
        <v>1</v>
      </c>
      <c r="J114" s="111">
        <v>2</v>
      </c>
      <c r="K114" s="111">
        <v>3</v>
      </c>
      <c r="L114" s="111">
        <v>5</v>
      </c>
      <c r="M114" s="111">
        <v>3</v>
      </c>
      <c r="N114" s="111">
        <v>8</v>
      </c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>
        <v>6</v>
      </c>
      <c r="AB114" s="111">
        <v>5</v>
      </c>
      <c r="AC114" s="111">
        <v>11</v>
      </c>
    </row>
    <row r="115" spans="1:29" x14ac:dyDescent="0.3">
      <c r="A115" s="361">
        <v>111</v>
      </c>
      <c r="B115" s="167" t="s">
        <v>818</v>
      </c>
      <c r="C115" s="111"/>
      <c r="D115" s="111">
        <v>2</v>
      </c>
      <c r="E115" s="111">
        <v>2</v>
      </c>
      <c r="F115" s="111"/>
      <c r="G115" s="111"/>
      <c r="H115" s="111"/>
      <c r="I115" s="111"/>
      <c r="J115" s="111">
        <v>3</v>
      </c>
      <c r="K115" s="111">
        <v>3</v>
      </c>
      <c r="L115" s="111">
        <v>3</v>
      </c>
      <c r="M115" s="111">
        <v>2</v>
      </c>
      <c r="N115" s="111">
        <v>5</v>
      </c>
      <c r="O115" s="111"/>
      <c r="P115" s="111">
        <v>1</v>
      </c>
      <c r="Q115" s="111">
        <v>1</v>
      </c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>
        <v>3</v>
      </c>
      <c r="AB115" s="111">
        <v>8</v>
      </c>
      <c r="AC115" s="111">
        <v>11</v>
      </c>
    </row>
    <row r="116" spans="1:29" x14ac:dyDescent="0.3">
      <c r="A116" s="361">
        <v>112</v>
      </c>
      <c r="B116" s="167" t="s">
        <v>819</v>
      </c>
      <c r="C116" s="111"/>
      <c r="D116" s="111"/>
      <c r="E116" s="111"/>
      <c r="F116" s="111"/>
      <c r="G116" s="111"/>
      <c r="H116" s="111"/>
      <c r="I116" s="111">
        <v>2</v>
      </c>
      <c r="J116" s="111">
        <v>5</v>
      </c>
      <c r="K116" s="111">
        <v>7</v>
      </c>
      <c r="L116" s="111">
        <v>2</v>
      </c>
      <c r="M116" s="111"/>
      <c r="N116" s="111">
        <v>2</v>
      </c>
      <c r="O116" s="111"/>
      <c r="P116" s="111"/>
      <c r="Q116" s="111"/>
      <c r="R116" s="111"/>
      <c r="S116" s="111"/>
      <c r="T116" s="111"/>
      <c r="U116" s="111"/>
      <c r="V116" s="111">
        <v>1</v>
      </c>
      <c r="W116" s="111">
        <v>1</v>
      </c>
      <c r="X116" s="111"/>
      <c r="Y116" s="111"/>
      <c r="Z116" s="111"/>
      <c r="AA116" s="111">
        <v>4</v>
      </c>
      <c r="AB116" s="111">
        <v>6</v>
      </c>
      <c r="AC116" s="111">
        <v>10</v>
      </c>
    </row>
    <row r="117" spans="1:29" x14ac:dyDescent="0.3">
      <c r="A117" s="361">
        <v>113</v>
      </c>
      <c r="B117" s="167" t="s">
        <v>820</v>
      </c>
      <c r="C117" s="111"/>
      <c r="D117" s="111">
        <v>1</v>
      </c>
      <c r="E117" s="111">
        <v>1</v>
      </c>
      <c r="F117" s="111"/>
      <c r="G117" s="111"/>
      <c r="H117" s="111"/>
      <c r="I117" s="111">
        <v>2</v>
      </c>
      <c r="J117" s="111"/>
      <c r="K117" s="111">
        <v>2</v>
      </c>
      <c r="L117" s="111">
        <v>3</v>
      </c>
      <c r="M117" s="111">
        <v>4</v>
      </c>
      <c r="N117" s="111">
        <v>7</v>
      </c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>
        <v>5</v>
      </c>
      <c r="AB117" s="111">
        <v>5</v>
      </c>
      <c r="AC117" s="111">
        <v>10</v>
      </c>
    </row>
    <row r="118" spans="1:29" x14ac:dyDescent="0.3">
      <c r="A118" s="361">
        <v>114</v>
      </c>
      <c r="B118" s="167" t="s">
        <v>821</v>
      </c>
      <c r="C118" s="111"/>
      <c r="D118" s="111"/>
      <c r="E118" s="111"/>
      <c r="F118" s="111"/>
      <c r="G118" s="111"/>
      <c r="H118" s="111"/>
      <c r="I118" s="111">
        <v>1</v>
      </c>
      <c r="J118" s="111">
        <v>1</v>
      </c>
      <c r="K118" s="111">
        <v>2</v>
      </c>
      <c r="L118" s="111">
        <v>7</v>
      </c>
      <c r="M118" s="111">
        <v>1</v>
      </c>
      <c r="N118" s="111">
        <v>8</v>
      </c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>
        <v>8</v>
      </c>
      <c r="AB118" s="111">
        <v>2</v>
      </c>
      <c r="AC118" s="111">
        <v>10</v>
      </c>
    </row>
    <row r="119" spans="1:29" ht="16.5" customHeight="1" x14ac:dyDescent="0.3">
      <c r="A119" s="361">
        <v>115</v>
      </c>
      <c r="B119" s="167" t="s">
        <v>822</v>
      </c>
      <c r="C119" s="111"/>
      <c r="D119" s="111">
        <v>1</v>
      </c>
      <c r="E119" s="111">
        <v>1</v>
      </c>
      <c r="F119" s="111"/>
      <c r="G119" s="111"/>
      <c r="H119" s="111"/>
      <c r="I119" s="111">
        <v>1</v>
      </c>
      <c r="J119" s="111"/>
      <c r="K119" s="111">
        <v>1</v>
      </c>
      <c r="L119" s="111">
        <v>2</v>
      </c>
      <c r="M119" s="111"/>
      <c r="N119" s="111">
        <v>2</v>
      </c>
      <c r="O119" s="111">
        <v>2</v>
      </c>
      <c r="P119" s="111"/>
      <c r="Q119" s="111">
        <v>2</v>
      </c>
      <c r="R119" s="111"/>
      <c r="S119" s="111"/>
      <c r="T119" s="111"/>
      <c r="U119" s="111">
        <v>3</v>
      </c>
      <c r="V119" s="111">
        <v>1</v>
      </c>
      <c r="W119" s="111">
        <v>4</v>
      </c>
      <c r="X119" s="111"/>
      <c r="Y119" s="111"/>
      <c r="Z119" s="111"/>
      <c r="AA119" s="111">
        <v>8</v>
      </c>
      <c r="AB119" s="111">
        <v>2</v>
      </c>
      <c r="AC119" s="111">
        <v>10</v>
      </c>
    </row>
    <row r="120" spans="1:29" x14ac:dyDescent="0.3">
      <c r="A120" s="361">
        <v>116</v>
      </c>
      <c r="B120" s="167" t="s">
        <v>823</v>
      </c>
      <c r="C120" s="111"/>
      <c r="D120" s="111">
        <v>1</v>
      </c>
      <c r="E120" s="111">
        <v>1</v>
      </c>
      <c r="F120" s="111">
        <v>1</v>
      </c>
      <c r="G120" s="111"/>
      <c r="H120" s="111">
        <v>1</v>
      </c>
      <c r="I120" s="111">
        <v>3</v>
      </c>
      <c r="J120" s="111">
        <v>1</v>
      </c>
      <c r="K120" s="111">
        <v>4</v>
      </c>
      <c r="L120" s="111">
        <v>1</v>
      </c>
      <c r="M120" s="111">
        <v>2</v>
      </c>
      <c r="N120" s="111">
        <v>3</v>
      </c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>
        <v>5</v>
      </c>
      <c r="AB120" s="111">
        <v>4</v>
      </c>
      <c r="AC120" s="111">
        <v>9</v>
      </c>
    </row>
    <row r="121" spans="1:29" ht="28" x14ac:dyDescent="0.3">
      <c r="A121" s="361">
        <v>117</v>
      </c>
      <c r="B121" s="167" t="s">
        <v>824</v>
      </c>
      <c r="C121" s="111"/>
      <c r="D121" s="111"/>
      <c r="E121" s="111"/>
      <c r="F121" s="111"/>
      <c r="G121" s="111"/>
      <c r="H121" s="111"/>
      <c r="I121" s="111">
        <v>1</v>
      </c>
      <c r="J121" s="111">
        <v>1</v>
      </c>
      <c r="K121" s="111">
        <v>2</v>
      </c>
      <c r="L121" s="111">
        <v>3</v>
      </c>
      <c r="M121" s="111">
        <v>4</v>
      </c>
      <c r="N121" s="111">
        <v>7</v>
      </c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>
        <v>4</v>
      </c>
      <c r="AB121" s="111">
        <v>5</v>
      </c>
      <c r="AC121" s="111">
        <v>9</v>
      </c>
    </row>
    <row r="122" spans="1:29" x14ac:dyDescent="0.3">
      <c r="A122" s="361">
        <v>118</v>
      </c>
      <c r="B122" s="167" t="s">
        <v>825</v>
      </c>
      <c r="C122" s="111"/>
      <c r="D122" s="111"/>
      <c r="E122" s="111"/>
      <c r="F122" s="111"/>
      <c r="G122" s="111"/>
      <c r="H122" s="111"/>
      <c r="I122" s="111">
        <v>4</v>
      </c>
      <c r="J122" s="111"/>
      <c r="K122" s="111">
        <v>4</v>
      </c>
      <c r="L122" s="111">
        <v>4</v>
      </c>
      <c r="M122" s="111"/>
      <c r="N122" s="111">
        <v>4</v>
      </c>
      <c r="O122" s="111"/>
      <c r="P122" s="111"/>
      <c r="Q122" s="111"/>
      <c r="R122" s="111"/>
      <c r="S122" s="111"/>
      <c r="T122" s="111"/>
      <c r="U122" s="111"/>
      <c r="V122" s="111"/>
      <c r="W122" s="111"/>
      <c r="X122" s="111">
        <v>1</v>
      </c>
      <c r="Y122" s="111"/>
      <c r="Z122" s="111">
        <v>1</v>
      </c>
      <c r="AA122" s="111">
        <v>9</v>
      </c>
      <c r="AB122" s="111"/>
      <c r="AC122" s="111">
        <v>9</v>
      </c>
    </row>
    <row r="123" spans="1:29" x14ac:dyDescent="0.3">
      <c r="A123" s="361">
        <v>119</v>
      </c>
      <c r="B123" s="167" t="s">
        <v>826</v>
      </c>
      <c r="C123" s="111"/>
      <c r="D123" s="111"/>
      <c r="E123" s="111"/>
      <c r="F123" s="111"/>
      <c r="G123" s="111"/>
      <c r="H123" s="111"/>
      <c r="I123" s="111"/>
      <c r="J123" s="111"/>
      <c r="K123" s="111"/>
      <c r="L123" s="111">
        <v>4</v>
      </c>
      <c r="M123" s="111">
        <v>3</v>
      </c>
      <c r="N123" s="111">
        <v>7</v>
      </c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>
        <v>4</v>
      </c>
      <c r="AB123" s="111">
        <v>3</v>
      </c>
      <c r="AC123" s="111">
        <v>7</v>
      </c>
    </row>
    <row r="124" spans="1:29" x14ac:dyDescent="0.3">
      <c r="A124" s="361">
        <v>120</v>
      </c>
      <c r="B124" s="167" t="s">
        <v>827</v>
      </c>
      <c r="C124" s="111"/>
      <c r="D124" s="111"/>
      <c r="E124" s="111"/>
      <c r="F124" s="111"/>
      <c r="G124" s="111"/>
      <c r="H124" s="111"/>
      <c r="I124" s="111"/>
      <c r="J124" s="111"/>
      <c r="K124" s="111"/>
      <c r="L124" s="111">
        <v>4</v>
      </c>
      <c r="M124" s="111">
        <v>3</v>
      </c>
      <c r="N124" s="111">
        <v>7</v>
      </c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>
        <v>4</v>
      </c>
      <c r="AB124" s="111">
        <v>3</v>
      </c>
      <c r="AC124" s="111">
        <v>7</v>
      </c>
    </row>
    <row r="125" spans="1:29" x14ac:dyDescent="0.3">
      <c r="A125" s="361">
        <v>121</v>
      </c>
      <c r="B125" s="167" t="s">
        <v>828</v>
      </c>
      <c r="C125" s="111"/>
      <c r="D125" s="111"/>
      <c r="E125" s="111"/>
      <c r="F125" s="111"/>
      <c r="G125" s="111"/>
      <c r="H125" s="111"/>
      <c r="I125" s="111"/>
      <c r="J125" s="111">
        <v>1</v>
      </c>
      <c r="K125" s="111">
        <v>1</v>
      </c>
      <c r="L125" s="111">
        <v>1</v>
      </c>
      <c r="M125" s="111"/>
      <c r="N125" s="111">
        <v>1</v>
      </c>
      <c r="O125" s="111"/>
      <c r="P125" s="111">
        <v>1</v>
      </c>
      <c r="Q125" s="111">
        <v>1</v>
      </c>
      <c r="R125" s="111">
        <v>1</v>
      </c>
      <c r="S125" s="111"/>
      <c r="T125" s="111">
        <v>1</v>
      </c>
      <c r="U125" s="111"/>
      <c r="V125" s="111">
        <v>1</v>
      </c>
      <c r="W125" s="111">
        <v>1</v>
      </c>
      <c r="X125" s="111">
        <v>1</v>
      </c>
      <c r="Y125" s="111"/>
      <c r="Z125" s="111">
        <v>1</v>
      </c>
      <c r="AA125" s="111">
        <v>3</v>
      </c>
      <c r="AB125" s="111">
        <v>3</v>
      </c>
      <c r="AC125" s="111">
        <v>6</v>
      </c>
    </row>
    <row r="126" spans="1:29" x14ac:dyDescent="0.3">
      <c r="A126" s="361">
        <v>122</v>
      </c>
      <c r="B126" s="167" t="s">
        <v>829</v>
      </c>
      <c r="C126" s="111"/>
      <c r="D126" s="111">
        <v>1</v>
      </c>
      <c r="E126" s="111">
        <v>1</v>
      </c>
      <c r="F126" s="111"/>
      <c r="G126" s="111"/>
      <c r="H126" s="111"/>
      <c r="I126" s="111">
        <v>2</v>
      </c>
      <c r="J126" s="111"/>
      <c r="K126" s="111">
        <v>2</v>
      </c>
      <c r="L126" s="111"/>
      <c r="M126" s="111">
        <v>1</v>
      </c>
      <c r="N126" s="111">
        <v>1</v>
      </c>
      <c r="O126" s="111">
        <v>1</v>
      </c>
      <c r="P126" s="111"/>
      <c r="Q126" s="111">
        <v>1</v>
      </c>
      <c r="R126" s="111"/>
      <c r="S126" s="111"/>
      <c r="T126" s="111"/>
      <c r="U126" s="111">
        <v>1</v>
      </c>
      <c r="V126" s="111"/>
      <c r="W126" s="111">
        <v>1</v>
      </c>
      <c r="X126" s="111"/>
      <c r="Y126" s="111"/>
      <c r="Z126" s="111"/>
      <c r="AA126" s="111">
        <v>4</v>
      </c>
      <c r="AB126" s="111">
        <v>2</v>
      </c>
      <c r="AC126" s="111">
        <v>6</v>
      </c>
    </row>
    <row r="127" spans="1:29" x14ac:dyDescent="0.3">
      <c r="A127" s="361">
        <v>123</v>
      </c>
      <c r="B127" s="167" t="s">
        <v>830</v>
      </c>
      <c r="C127" s="111"/>
      <c r="D127" s="111"/>
      <c r="E127" s="111"/>
      <c r="F127" s="111"/>
      <c r="G127" s="111"/>
      <c r="H127" s="111"/>
      <c r="I127" s="111">
        <v>2</v>
      </c>
      <c r="J127" s="111"/>
      <c r="K127" s="111">
        <v>2</v>
      </c>
      <c r="L127" s="111">
        <v>2</v>
      </c>
      <c r="M127" s="111">
        <v>2</v>
      </c>
      <c r="N127" s="111">
        <v>4</v>
      </c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>
        <v>4</v>
      </c>
      <c r="AB127" s="111">
        <v>2</v>
      </c>
      <c r="AC127" s="111">
        <v>6</v>
      </c>
    </row>
    <row r="128" spans="1:29" x14ac:dyDescent="0.3">
      <c r="A128" s="361">
        <v>124</v>
      </c>
      <c r="B128" s="167" t="s">
        <v>831</v>
      </c>
      <c r="C128" s="111"/>
      <c r="D128" s="111">
        <v>1</v>
      </c>
      <c r="E128" s="111">
        <v>1</v>
      </c>
      <c r="F128" s="111"/>
      <c r="G128" s="111"/>
      <c r="H128" s="111"/>
      <c r="I128" s="111">
        <v>1</v>
      </c>
      <c r="J128" s="111">
        <v>3</v>
      </c>
      <c r="K128" s="111">
        <v>4</v>
      </c>
      <c r="L128" s="111"/>
      <c r="M128" s="111">
        <v>1</v>
      </c>
      <c r="N128" s="111">
        <v>1</v>
      </c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>
        <v>1</v>
      </c>
      <c r="AB128" s="111">
        <v>5</v>
      </c>
      <c r="AC128" s="111">
        <v>6</v>
      </c>
    </row>
    <row r="129" spans="1:29" x14ac:dyDescent="0.3">
      <c r="A129" s="361">
        <v>125</v>
      </c>
      <c r="B129" s="167" t="s">
        <v>832</v>
      </c>
      <c r="C129" s="111"/>
      <c r="D129" s="111"/>
      <c r="E129" s="111"/>
      <c r="F129" s="111"/>
      <c r="G129" s="111"/>
      <c r="H129" s="111"/>
      <c r="I129" s="111"/>
      <c r="J129" s="111">
        <v>2</v>
      </c>
      <c r="K129" s="111">
        <v>2</v>
      </c>
      <c r="L129" s="111">
        <v>1</v>
      </c>
      <c r="M129" s="111">
        <v>1</v>
      </c>
      <c r="N129" s="111">
        <v>2</v>
      </c>
      <c r="O129" s="111"/>
      <c r="P129" s="111">
        <v>1</v>
      </c>
      <c r="Q129" s="111">
        <v>1</v>
      </c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>
        <v>1</v>
      </c>
      <c r="AB129" s="111">
        <v>4</v>
      </c>
      <c r="AC129" s="111">
        <v>5</v>
      </c>
    </row>
    <row r="130" spans="1:29" x14ac:dyDescent="0.3">
      <c r="A130" s="361">
        <v>126</v>
      </c>
      <c r="B130" s="167" t="s">
        <v>833</v>
      </c>
      <c r="C130" s="111"/>
      <c r="D130" s="111"/>
      <c r="E130" s="111"/>
      <c r="F130" s="111"/>
      <c r="G130" s="111"/>
      <c r="H130" s="111"/>
      <c r="I130" s="111"/>
      <c r="J130" s="111"/>
      <c r="K130" s="111"/>
      <c r="L130" s="111">
        <v>2</v>
      </c>
      <c r="M130" s="111">
        <v>3</v>
      </c>
      <c r="N130" s="111">
        <v>5</v>
      </c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>
        <v>2</v>
      </c>
      <c r="AB130" s="111">
        <v>3</v>
      </c>
      <c r="AC130" s="111">
        <v>5</v>
      </c>
    </row>
    <row r="131" spans="1:29" x14ac:dyDescent="0.3">
      <c r="A131" s="361">
        <v>127</v>
      </c>
      <c r="B131" s="167" t="s">
        <v>834</v>
      </c>
      <c r="C131" s="111"/>
      <c r="D131" s="111"/>
      <c r="E131" s="111"/>
      <c r="F131" s="111"/>
      <c r="G131" s="111"/>
      <c r="H131" s="111"/>
      <c r="I131" s="111"/>
      <c r="J131" s="111"/>
      <c r="K131" s="111"/>
      <c r="L131" s="111">
        <v>1</v>
      </c>
      <c r="M131" s="111">
        <v>3</v>
      </c>
      <c r="N131" s="111">
        <v>4</v>
      </c>
      <c r="O131" s="111"/>
      <c r="P131" s="111"/>
      <c r="Q131" s="111"/>
      <c r="R131" s="111"/>
      <c r="S131" s="111">
        <v>1</v>
      </c>
      <c r="T131" s="111">
        <v>1</v>
      </c>
      <c r="U131" s="111"/>
      <c r="V131" s="111"/>
      <c r="W131" s="111"/>
      <c r="X131" s="111"/>
      <c r="Y131" s="111"/>
      <c r="Z131" s="111"/>
      <c r="AA131" s="111">
        <v>1</v>
      </c>
      <c r="AB131" s="111">
        <v>4</v>
      </c>
      <c r="AC131" s="111">
        <v>5</v>
      </c>
    </row>
    <row r="132" spans="1:29" x14ac:dyDescent="0.3">
      <c r="A132" s="361">
        <v>128</v>
      </c>
      <c r="B132" s="167" t="s">
        <v>835</v>
      </c>
      <c r="C132" s="111"/>
      <c r="D132" s="111"/>
      <c r="E132" s="111"/>
      <c r="F132" s="111"/>
      <c r="G132" s="111"/>
      <c r="H132" s="111"/>
      <c r="I132" s="111"/>
      <c r="J132" s="111">
        <v>1</v>
      </c>
      <c r="K132" s="111">
        <v>1</v>
      </c>
      <c r="L132" s="111">
        <v>1</v>
      </c>
      <c r="M132" s="111">
        <v>3</v>
      </c>
      <c r="N132" s="111">
        <v>4</v>
      </c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>
        <v>1</v>
      </c>
      <c r="AB132" s="111">
        <v>4</v>
      </c>
      <c r="AC132" s="111">
        <v>5</v>
      </c>
    </row>
    <row r="133" spans="1:29" x14ac:dyDescent="0.3">
      <c r="A133" s="361">
        <v>129</v>
      </c>
      <c r="B133" s="167" t="s">
        <v>836</v>
      </c>
      <c r="C133" s="111"/>
      <c r="D133" s="111"/>
      <c r="E133" s="111"/>
      <c r="F133" s="111"/>
      <c r="G133" s="111"/>
      <c r="H133" s="111"/>
      <c r="I133" s="111"/>
      <c r="J133" s="111"/>
      <c r="K133" s="111"/>
      <c r="L133" s="111">
        <v>5</v>
      </c>
      <c r="M133" s="111"/>
      <c r="N133" s="111">
        <v>5</v>
      </c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>
        <v>5</v>
      </c>
      <c r="AB133" s="111"/>
      <c r="AC133" s="111">
        <v>5</v>
      </c>
    </row>
    <row r="134" spans="1:29" x14ac:dyDescent="0.3">
      <c r="A134" s="361">
        <v>130</v>
      </c>
      <c r="B134" s="167" t="s">
        <v>837</v>
      </c>
      <c r="C134" s="111">
        <v>1</v>
      </c>
      <c r="D134" s="111"/>
      <c r="E134" s="111">
        <v>1</v>
      </c>
      <c r="F134" s="111"/>
      <c r="G134" s="111"/>
      <c r="H134" s="111"/>
      <c r="I134" s="111"/>
      <c r="J134" s="111"/>
      <c r="K134" s="111"/>
      <c r="L134" s="111">
        <v>1</v>
      </c>
      <c r="M134" s="111"/>
      <c r="N134" s="111">
        <v>1</v>
      </c>
      <c r="O134" s="111">
        <v>2</v>
      </c>
      <c r="P134" s="111"/>
      <c r="Q134" s="111">
        <v>2</v>
      </c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>
        <v>4</v>
      </c>
      <c r="AB134" s="111"/>
      <c r="AC134" s="111">
        <v>4</v>
      </c>
    </row>
    <row r="135" spans="1:29" x14ac:dyDescent="0.3">
      <c r="A135" s="361">
        <v>131</v>
      </c>
      <c r="B135" s="167" t="s">
        <v>838</v>
      </c>
      <c r="C135" s="111">
        <v>1</v>
      </c>
      <c r="D135" s="111"/>
      <c r="E135" s="111">
        <v>1</v>
      </c>
      <c r="F135" s="111"/>
      <c r="G135" s="111"/>
      <c r="H135" s="111"/>
      <c r="I135" s="111"/>
      <c r="J135" s="111"/>
      <c r="K135" s="111"/>
      <c r="L135" s="111">
        <v>2</v>
      </c>
      <c r="M135" s="111">
        <v>1</v>
      </c>
      <c r="N135" s="111">
        <v>3</v>
      </c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>
        <v>3</v>
      </c>
      <c r="AB135" s="111">
        <v>1</v>
      </c>
      <c r="AC135" s="111">
        <v>4</v>
      </c>
    </row>
    <row r="136" spans="1:29" x14ac:dyDescent="0.3">
      <c r="A136" s="361">
        <v>132</v>
      </c>
      <c r="B136" s="167" t="s">
        <v>839</v>
      </c>
      <c r="C136" s="111"/>
      <c r="D136" s="111"/>
      <c r="E136" s="111"/>
      <c r="F136" s="111"/>
      <c r="G136" s="111"/>
      <c r="H136" s="111"/>
      <c r="I136" s="111"/>
      <c r="J136" s="111"/>
      <c r="K136" s="111"/>
      <c r="L136" s="111">
        <v>3</v>
      </c>
      <c r="M136" s="111">
        <v>1</v>
      </c>
      <c r="N136" s="111">
        <v>4</v>
      </c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>
        <v>3</v>
      </c>
      <c r="AB136" s="111">
        <v>1</v>
      </c>
      <c r="AC136" s="111">
        <v>4</v>
      </c>
    </row>
    <row r="137" spans="1:29" x14ac:dyDescent="0.3">
      <c r="A137" s="361">
        <v>133</v>
      </c>
      <c r="B137" s="167" t="s">
        <v>840</v>
      </c>
      <c r="C137" s="111"/>
      <c r="D137" s="111"/>
      <c r="E137" s="111"/>
      <c r="F137" s="111"/>
      <c r="G137" s="111"/>
      <c r="H137" s="111"/>
      <c r="I137" s="111"/>
      <c r="J137" s="111"/>
      <c r="K137" s="111"/>
      <c r="L137" s="111">
        <v>4</v>
      </c>
      <c r="M137" s="111"/>
      <c r="N137" s="111">
        <v>4</v>
      </c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>
        <v>4</v>
      </c>
      <c r="AB137" s="111"/>
      <c r="AC137" s="111">
        <v>4</v>
      </c>
    </row>
    <row r="138" spans="1:29" x14ac:dyDescent="0.3">
      <c r="A138" s="361">
        <v>134</v>
      </c>
      <c r="B138" s="167" t="s">
        <v>841</v>
      </c>
      <c r="C138" s="111"/>
      <c r="D138" s="111"/>
      <c r="E138" s="111"/>
      <c r="F138" s="111"/>
      <c r="G138" s="111"/>
      <c r="H138" s="111"/>
      <c r="I138" s="111">
        <v>1</v>
      </c>
      <c r="J138" s="111">
        <v>2</v>
      </c>
      <c r="K138" s="111">
        <v>3</v>
      </c>
      <c r="L138" s="111"/>
      <c r="M138" s="111"/>
      <c r="N138" s="111"/>
      <c r="O138" s="111"/>
      <c r="P138" s="111"/>
      <c r="Q138" s="111"/>
      <c r="R138" s="111">
        <v>1</v>
      </c>
      <c r="S138" s="111"/>
      <c r="T138" s="111">
        <v>1</v>
      </c>
      <c r="U138" s="111"/>
      <c r="V138" s="111"/>
      <c r="W138" s="111"/>
      <c r="X138" s="111"/>
      <c r="Y138" s="111"/>
      <c r="Z138" s="111"/>
      <c r="AA138" s="111">
        <v>2</v>
      </c>
      <c r="AB138" s="111">
        <v>2</v>
      </c>
      <c r="AC138" s="111">
        <v>4</v>
      </c>
    </row>
    <row r="139" spans="1:29" x14ac:dyDescent="0.3">
      <c r="A139" s="361">
        <v>135</v>
      </c>
      <c r="B139" s="167" t="s">
        <v>842</v>
      </c>
      <c r="C139" s="111"/>
      <c r="D139" s="111"/>
      <c r="E139" s="111"/>
      <c r="F139" s="111"/>
      <c r="G139" s="111"/>
      <c r="H139" s="111"/>
      <c r="I139" s="111">
        <v>1</v>
      </c>
      <c r="J139" s="111">
        <v>1</v>
      </c>
      <c r="K139" s="111">
        <v>2</v>
      </c>
      <c r="L139" s="111"/>
      <c r="M139" s="111"/>
      <c r="N139" s="111"/>
      <c r="O139" s="111"/>
      <c r="P139" s="111"/>
      <c r="Q139" s="111"/>
      <c r="R139" s="111"/>
      <c r="S139" s="111"/>
      <c r="T139" s="111"/>
      <c r="U139" s="111">
        <v>1</v>
      </c>
      <c r="V139" s="111">
        <v>1</v>
      </c>
      <c r="W139" s="111">
        <v>2</v>
      </c>
      <c r="X139" s="111"/>
      <c r="Y139" s="111"/>
      <c r="Z139" s="111"/>
      <c r="AA139" s="111">
        <v>2</v>
      </c>
      <c r="AB139" s="111">
        <v>2</v>
      </c>
      <c r="AC139" s="111">
        <v>4</v>
      </c>
    </row>
    <row r="140" spans="1:29" x14ac:dyDescent="0.3">
      <c r="A140" s="361">
        <v>136</v>
      </c>
      <c r="B140" s="167" t="s">
        <v>843</v>
      </c>
      <c r="C140" s="111"/>
      <c r="D140" s="111"/>
      <c r="E140" s="111"/>
      <c r="F140" s="111"/>
      <c r="G140" s="111"/>
      <c r="H140" s="111"/>
      <c r="I140" s="111"/>
      <c r="J140" s="111">
        <v>1</v>
      </c>
      <c r="K140" s="111">
        <v>1</v>
      </c>
      <c r="L140" s="111"/>
      <c r="M140" s="111">
        <v>2</v>
      </c>
      <c r="N140" s="111">
        <v>2</v>
      </c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>
        <v>3</v>
      </c>
      <c r="AC140" s="111">
        <v>3</v>
      </c>
    </row>
    <row r="141" spans="1:29" x14ac:dyDescent="0.3">
      <c r="A141" s="361">
        <v>137</v>
      </c>
      <c r="B141" s="167" t="s">
        <v>844</v>
      </c>
      <c r="C141" s="111"/>
      <c r="D141" s="111"/>
      <c r="E141" s="111"/>
      <c r="F141" s="111"/>
      <c r="G141" s="111"/>
      <c r="H141" s="111"/>
      <c r="I141" s="111"/>
      <c r="J141" s="111"/>
      <c r="K141" s="111"/>
      <c r="L141" s="111">
        <v>3</v>
      </c>
      <c r="M141" s="111"/>
      <c r="N141" s="111">
        <v>3</v>
      </c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3</v>
      </c>
      <c r="AB141" s="111"/>
      <c r="AC141" s="111">
        <v>3</v>
      </c>
    </row>
    <row r="142" spans="1:29" x14ac:dyDescent="0.3">
      <c r="A142" s="361">
        <v>138</v>
      </c>
      <c r="B142" s="167" t="s">
        <v>845</v>
      </c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>
        <v>2</v>
      </c>
      <c r="N142" s="111">
        <v>2</v>
      </c>
      <c r="O142" s="111"/>
      <c r="P142" s="111"/>
      <c r="Q142" s="111"/>
      <c r="R142" s="111"/>
      <c r="S142" s="111"/>
      <c r="T142" s="111"/>
      <c r="U142" s="111"/>
      <c r="V142" s="111">
        <v>1</v>
      </c>
      <c r="W142" s="111">
        <v>1</v>
      </c>
      <c r="X142" s="111"/>
      <c r="Y142" s="111"/>
      <c r="Z142" s="111"/>
      <c r="AA142" s="111"/>
      <c r="AB142" s="111">
        <v>3</v>
      </c>
      <c r="AC142" s="111">
        <v>3</v>
      </c>
    </row>
    <row r="143" spans="1:29" x14ac:dyDescent="0.3">
      <c r="A143" s="361">
        <v>139</v>
      </c>
      <c r="B143" s="167" t="s">
        <v>846</v>
      </c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>
        <v>2</v>
      </c>
      <c r="N143" s="111">
        <v>2</v>
      </c>
      <c r="O143" s="111"/>
      <c r="P143" s="111"/>
      <c r="Q143" s="111"/>
      <c r="R143" s="111"/>
      <c r="S143" s="111"/>
      <c r="T143" s="111"/>
      <c r="U143" s="111"/>
      <c r="V143" s="111"/>
      <c r="W143" s="111"/>
      <c r="X143" s="111">
        <v>1</v>
      </c>
      <c r="Y143" s="111"/>
      <c r="Z143" s="111">
        <v>1</v>
      </c>
      <c r="AA143" s="111">
        <v>1</v>
      </c>
      <c r="AB143" s="111">
        <v>2</v>
      </c>
      <c r="AC143" s="111">
        <v>3</v>
      </c>
    </row>
    <row r="144" spans="1:29" x14ac:dyDescent="0.3">
      <c r="A144" s="361">
        <v>140</v>
      </c>
      <c r="B144" s="167" t="s">
        <v>847</v>
      </c>
      <c r="C144" s="111"/>
      <c r="D144" s="111"/>
      <c r="E144" s="111"/>
      <c r="F144" s="111"/>
      <c r="G144" s="111"/>
      <c r="H144" s="111"/>
      <c r="I144" s="111"/>
      <c r="J144" s="111"/>
      <c r="K144" s="111"/>
      <c r="L144" s="111">
        <v>3</v>
      </c>
      <c r="M144" s="111"/>
      <c r="N144" s="111">
        <v>3</v>
      </c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>
        <v>3</v>
      </c>
      <c r="AB144" s="111"/>
      <c r="AC144" s="111">
        <v>3</v>
      </c>
    </row>
    <row r="145" spans="1:29" x14ac:dyDescent="0.3">
      <c r="A145" s="361">
        <v>141</v>
      </c>
      <c r="B145" s="167" t="s">
        <v>848</v>
      </c>
      <c r="C145" s="111"/>
      <c r="D145" s="111"/>
      <c r="E145" s="111"/>
      <c r="F145" s="111"/>
      <c r="G145" s="111"/>
      <c r="H145" s="111"/>
      <c r="I145" s="111">
        <v>1</v>
      </c>
      <c r="J145" s="111"/>
      <c r="K145" s="111">
        <v>1</v>
      </c>
      <c r="L145" s="111"/>
      <c r="M145" s="111"/>
      <c r="N145" s="111"/>
      <c r="O145" s="111"/>
      <c r="P145" s="111"/>
      <c r="Q145" s="111"/>
      <c r="R145" s="111"/>
      <c r="S145" s="111"/>
      <c r="T145" s="111"/>
      <c r="U145" s="111">
        <v>2</v>
      </c>
      <c r="V145" s="111"/>
      <c r="W145" s="111">
        <v>2</v>
      </c>
      <c r="X145" s="111"/>
      <c r="Y145" s="111"/>
      <c r="Z145" s="111"/>
      <c r="AA145" s="111">
        <v>3</v>
      </c>
      <c r="AB145" s="111"/>
      <c r="AC145" s="111">
        <v>3</v>
      </c>
    </row>
    <row r="146" spans="1:29" x14ac:dyDescent="0.3">
      <c r="A146" s="361">
        <v>142</v>
      </c>
      <c r="B146" s="167" t="s">
        <v>849</v>
      </c>
      <c r="C146" s="111"/>
      <c r="D146" s="111"/>
      <c r="E146" s="111"/>
      <c r="F146" s="111"/>
      <c r="G146" s="111"/>
      <c r="H146" s="111"/>
      <c r="I146" s="111">
        <v>1</v>
      </c>
      <c r="J146" s="111"/>
      <c r="K146" s="111">
        <v>1</v>
      </c>
      <c r="L146" s="111">
        <v>1</v>
      </c>
      <c r="M146" s="111"/>
      <c r="N146" s="111">
        <v>1</v>
      </c>
      <c r="O146" s="111"/>
      <c r="P146" s="111">
        <v>1</v>
      </c>
      <c r="Q146" s="111">
        <v>1</v>
      </c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>
        <v>2</v>
      </c>
      <c r="AB146" s="111">
        <v>1</v>
      </c>
      <c r="AC146" s="111">
        <v>3</v>
      </c>
    </row>
    <row r="147" spans="1:29" x14ac:dyDescent="0.3">
      <c r="A147" s="361">
        <v>143</v>
      </c>
      <c r="B147" s="167" t="s">
        <v>850</v>
      </c>
      <c r="C147" s="111"/>
      <c r="D147" s="111"/>
      <c r="E147" s="111"/>
      <c r="F147" s="111"/>
      <c r="G147" s="111"/>
      <c r="H147" s="111"/>
      <c r="I147" s="111"/>
      <c r="J147" s="111"/>
      <c r="K147" s="111"/>
      <c r="L147" s="111">
        <v>1</v>
      </c>
      <c r="M147" s="111">
        <v>1</v>
      </c>
      <c r="N147" s="111">
        <v>2</v>
      </c>
      <c r="O147" s="111">
        <v>1</v>
      </c>
      <c r="P147" s="111"/>
      <c r="Q147" s="111">
        <v>1</v>
      </c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>
        <v>2</v>
      </c>
      <c r="AB147" s="111">
        <v>1</v>
      </c>
      <c r="AC147" s="111">
        <v>3</v>
      </c>
    </row>
    <row r="148" spans="1:29" x14ac:dyDescent="0.3">
      <c r="A148" s="361">
        <v>144</v>
      </c>
      <c r="B148" s="167" t="s">
        <v>851</v>
      </c>
      <c r="C148" s="111"/>
      <c r="D148" s="111"/>
      <c r="E148" s="111"/>
      <c r="F148" s="111"/>
      <c r="G148" s="111"/>
      <c r="H148" s="111"/>
      <c r="I148" s="111"/>
      <c r="J148" s="111"/>
      <c r="K148" s="111"/>
      <c r="L148" s="111">
        <v>1</v>
      </c>
      <c r="M148" s="111"/>
      <c r="N148" s="111">
        <v>1</v>
      </c>
      <c r="O148" s="111"/>
      <c r="P148" s="111"/>
      <c r="Q148" s="111"/>
      <c r="R148" s="111"/>
      <c r="S148" s="111">
        <v>2</v>
      </c>
      <c r="T148" s="111">
        <v>2</v>
      </c>
      <c r="U148" s="111"/>
      <c r="V148" s="111"/>
      <c r="W148" s="111"/>
      <c r="X148" s="111"/>
      <c r="Y148" s="111"/>
      <c r="Z148" s="111"/>
      <c r="AA148" s="111">
        <v>1</v>
      </c>
      <c r="AB148" s="111">
        <v>2</v>
      </c>
      <c r="AC148" s="111">
        <v>3</v>
      </c>
    </row>
    <row r="149" spans="1:29" x14ac:dyDescent="0.3">
      <c r="A149" s="361">
        <v>145</v>
      </c>
      <c r="B149" s="167" t="s">
        <v>852</v>
      </c>
      <c r="C149" s="111"/>
      <c r="D149" s="111"/>
      <c r="E149" s="111"/>
      <c r="F149" s="111"/>
      <c r="G149" s="111"/>
      <c r="H149" s="111"/>
      <c r="I149" s="111"/>
      <c r="J149" s="111"/>
      <c r="K149" s="111"/>
      <c r="L149" s="111">
        <v>1</v>
      </c>
      <c r="M149" s="111"/>
      <c r="N149" s="111">
        <v>1</v>
      </c>
      <c r="O149" s="111"/>
      <c r="P149" s="111"/>
      <c r="Q149" s="111"/>
      <c r="R149" s="111"/>
      <c r="S149" s="111"/>
      <c r="T149" s="111"/>
      <c r="U149" s="111"/>
      <c r="V149" s="111">
        <v>1</v>
      </c>
      <c r="W149" s="111">
        <v>1</v>
      </c>
      <c r="X149" s="111"/>
      <c r="Y149" s="111"/>
      <c r="Z149" s="111"/>
      <c r="AA149" s="111">
        <v>1</v>
      </c>
      <c r="AB149" s="111">
        <v>1</v>
      </c>
      <c r="AC149" s="111">
        <v>2</v>
      </c>
    </row>
    <row r="150" spans="1:29" x14ac:dyDescent="0.3">
      <c r="A150" s="361">
        <v>146</v>
      </c>
      <c r="B150" s="167" t="s">
        <v>853</v>
      </c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>
        <v>1</v>
      </c>
      <c r="N150" s="111">
        <v>1</v>
      </c>
      <c r="O150" s="111"/>
      <c r="P150" s="111">
        <v>1</v>
      </c>
      <c r="Q150" s="111">
        <v>1</v>
      </c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>
        <v>2</v>
      </c>
      <c r="AC150" s="111">
        <v>2</v>
      </c>
    </row>
    <row r="151" spans="1:29" x14ac:dyDescent="0.3">
      <c r="A151" s="361">
        <v>147</v>
      </c>
      <c r="B151" s="167" t="s">
        <v>919</v>
      </c>
      <c r="C151" s="111"/>
      <c r="D151" s="111">
        <v>1</v>
      </c>
      <c r="E151" s="111">
        <v>1</v>
      </c>
      <c r="F151" s="111"/>
      <c r="G151" s="111"/>
      <c r="H151" s="111"/>
      <c r="I151" s="111">
        <v>1</v>
      </c>
      <c r="J151" s="111"/>
      <c r="K151" s="111">
        <v>1</v>
      </c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>
        <v>1</v>
      </c>
      <c r="AB151" s="111">
        <v>1</v>
      </c>
      <c r="AC151" s="111">
        <v>2</v>
      </c>
    </row>
    <row r="152" spans="1:29" x14ac:dyDescent="0.3">
      <c r="A152" s="361">
        <v>148</v>
      </c>
      <c r="B152" s="167" t="s">
        <v>854</v>
      </c>
      <c r="C152" s="111"/>
      <c r="D152" s="111"/>
      <c r="E152" s="111"/>
      <c r="F152" s="111"/>
      <c r="G152" s="111"/>
      <c r="H152" s="111"/>
      <c r="I152" s="111"/>
      <c r="J152" s="111"/>
      <c r="K152" s="111"/>
      <c r="L152" s="111">
        <v>1</v>
      </c>
      <c r="M152" s="111">
        <v>1</v>
      </c>
      <c r="N152" s="111">
        <v>2</v>
      </c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>
        <v>1</v>
      </c>
      <c r="AB152" s="111">
        <v>1</v>
      </c>
      <c r="AC152" s="111">
        <v>2</v>
      </c>
    </row>
    <row r="153" spans="1:29" x14ac:dyDescent="0.3">
      <c r="A153" s="361">
        <v>149</v>
      </c>
      <c r="B153" s="167" t="s">
        <v>855</v>
      </c>
      <c r="C153" s="111"/>
      <c r="D153" s="111"/>
      <c r="E153" s="111"/>
      <c r="F153" s="111"/>
      <c r="G153" s="111"/>
      <c r="H153" s="111"/>
      <c r="I153" s="111">
        <v>1</v>
      </c>
      <c r="J153" s="111">
        <v>1</v>
      </c>
      <c r="K153" s="111">
        <v>2</v>
      </c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>
        <v>1</v>
      </c>
      <c r="AB153" s="111">
        <v>1</v>
      </c>
      <c r="AC153" s="111">
        <v>2</v>
      </c>
    </row>
    <row r="154" spans="1:29" x14ac:dyDescent="0.3">
      <c r="A154" s="361">
        <v>150</v>
      </c>
      <c r="B154" s="167" t="s">
        <v>856</v>
      </c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>
        <v>2</v>
      </c>
      <c r="W154" s="111">
        <v>2</v>
      </c>
      <c r="X154" s="111"/>
      <c r="Y154" s="111"/>
      <c r="Z154" s="111"/>
      <c r="AA154" s="111"/>
      <c r="AB154" s="111">
        <v>2</v>
      </c>
      <c r="AC154" s="111">
        <v>2</v>
      </c>
    </row>
    <row r="155" spans="1:29" x14ac:dyDescent="0.3">
      <c r="A155" s="361">
        <v>151</v>
      </c>
      <c r="B155" s="167" t="s">
        <v>857</v>
      </c>
      <c r="C155" s="111"/>
      <c r="D155" s="111"/>
      <c r="E155" s="111"/>
      <c r="F155" s="111"/>
      <c r="G155" s="111"/>
      <c r="H155" s="111"/>
      <c r="I155" s="111"/>
      <c r="J155" s="111">
        <v>1</v>
      </c>
      <c r="K155" s="111">
        <v>1</v>
      </c>
      <c r="L155" s="111"/>
      <c r="M155" s="111">
        <v>1</v>
      </c>
      <c r="N155" s="111">
        <v>1</v>
      </c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>
        <v>2</v>
      </c>
      <c r="AC155" s="111">
        <v>2</v>
      </c>
    </row>
    <row r="156" spans="1:29" x14ac:dyDescent="0.3">
      <c r="A156" s="361">
        <v>152</v>
      </c>
      <c r="B156" s="167" t="s">
        <v>858</v>
      </c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>
        <v>1</v>
      </c>
      <c r="N156" s="111">
        <v>1</v>
      </c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>
        <v>1</v>
      </c>
      <c r="AC156" s="111">
        <v>1</v>
      </c>
    </row>
    <row r="157" spans="1:29" x14ac:dyDescent="0.3">
      <c r="A157" s="361">
        <v>153</v>
      </c>
      <c r="B157" s="167" t="s">
        <v>859</v>
      </c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>
        <v>1</v>
      </c>
      <c r="Y157" s="111"/>
      <c r="Z157" s="111">
        <v>1</v>
      </c>
      <c r="AA157" s="111">
        <v>1</v>
      </c>
      <c r="AB157" s="111"/>
      <c r="AC157" s="111">
        <v>1</v>
      </c>
    </row>
    <row r="158" spans="1:29" x14ac:dyDescent="0.3">
      <c r="A158" s="361">
        <v>154</v>
      </c>
      <c r="B158" s="167" t="s">
        <v>860</v>
      </c>
      <c r="C158" s="111"/>
      <c r="D158" s="111"/>
      <c r="E158" s="111"/>
      <c r="F158" s="111"/>
      <c r="G158" s="111"/>
      <c r="H158" s="111"/>
      <c r="I158" s="111"/>
      <c r="J158" s="111"/>
      <c r="K158" s="111"/>
      <c r="L158" s="111">
        <v>1</v>
      </c>
      <c r="M158" s="111"/>
      <c r="N158" s="111">
        <v>1</v>
      </c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>
        <v>1</v>
      </c>
      <c r="AB158" s="111"/>
      <c r="AC158" s="111">
        <v>1</v>
      </c>
    </row>
    <row r="159" spans="1:29" x14ac:dyDescent="0.3">
      <c r="A159" s="361">
        <v>155</v>
      </c>
      <c r="B159" s="167" t="s">
        <v>861</v>
      </c>
      <c r="C159" s="111"/>
      <c r="D159" s="111"/>
      <c r="E159" s="111"/>
      <c r="F159" s="111"/>
      <c r="G159" s="111"/>
      <c r="H159" s="111"/>
      <c r="I159" s="111">
        <v>1</v>
      </c>
      <c r="J159" s="111"/>
      <c r="K159" s="111">
        <v>1</v>
      </c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>
        <v>1</v>
      </c>
      <c r="AB159" s="111"/>
      <c r="AC159" s="111">
        <v>1</v>
      </c>
    </row>
    <row r="160" spans="1:29" x14ac:dyDescent="0.3">
      <c r="A160" s="361">
        <v>156</v>
      </c>
      <c r="B160" s="167" t="s">
        <v>862</v>
      </c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>
        <v>1</v>
      </c>
      <c r="N160" s="111">
        <v>1</v>
      </c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>
        <v>1</v>
      </c>
      <c r="AC160" s="111">
        <v>1</v>
      </c>
    </row>
    <row r="161" spans="1:29" x14ac:dyDescent="0.3">
      <c r="A161" s="361">
        <v>157</v>
      </c>
      <c r="B161" s="167" t="s">
        <v>863</v>
      </c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>
        <v>1</v>
      </c>
      <c r="N161" s="111">
        <v>1</v>
      </c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>
        <v>1</v>
      </c>
      <c r="AC161" s="111">
        <v>1</v>
      </c>
    </row>
    <row r="162" spans="1:29" x14ac:dyDescent="0.3">
      <c r="A162" s="361">
        <v>158</v>
      </c>
      <c r="B162" s="167" t="s">
        <v>864</v>
      </c>
      <c r="C162" s="111"/>
      <c r="D162" s="111">
        <v>1</v>
      </c>
      <c r="E162" s="111">
        <v>1</v>
      </c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>
        <v>1</v>
      </c>
      <c r="AC162" s="111">
        <v>1</v>
      </c>
    </row>
    <row r="163" spans="1:29" ht="28" x14ac:dyDescent="0.3">
      <c r="A163" s="361">
        <v>159</v>
      </c>
      <c r="B163" s="167" t="s">
        <v>865</v>
      </c>
      <c r="C163" s="111"/>
      <c r="D163" s="111"/>
      <c r="E163" s="111"/>
      <c r="F163" s="111"/>
      <c r="G163" s="111"/>
      <c r="H163" s="111"/>
      <c r="I163" s="111"/>
      <c r="J163" s="111"/>
      <c r="K163" s="111"/>
      <c r="L163" s="111">
        <v>1</v>
      </c>
      <c r="M163" s="111"/>
      <c r="N163" s="111">
        <v>1</v>
      </c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>
        <v>1</v>
      </c>
      <c r="AB163" s="111"/>
      <c r="AC163" s="111">
        <v>1</v>
      </c>
    </row>
    <row r="164" spans="1:29" x14ac:dyDescent="0.3">
      <c r="A164" s="361">
        <v>160</v>
      </c>
      <c r="B164" s="167" t="s">
        <v>866</v>
      </c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>
        <v>1</v>
      </c>
      <c r="N164" s="111">
        <v>1</v>
      </c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>
        <v>1</v>
      </c>
      <c r="AC164" s="111">
        <v>1</v>
      </c>
    </row>
    <row r="165" spans="1:29" x14ac:dyDescent="0.3">
      <c r="A165" s="361">
        <v>161</v>
      </c>
      <c r="B165" s="167" t="s">
        <v>867</v>
      </c>
      <c r="C165" s="111"/>
      <c r="D165" s="111"/>
      <c r="E165" s="111"/>
      <c r="F165" s="111"/>
      <c r="G165" s="111"/>
      <c r="H165" s="111"/>
      <c r="I165" s="111"/>
      <c r="J165" s="111">
        <v>1</v>
      </c>
      <c r="K165" s="111">
        <v>1</v>
      </c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>
        <v>1</v>
      </c>
      <c r="AC165" s="111">
        <v>1</v>
      </c>
    </row>
    <row r="166" spans="1:29" x14ac:dyDescent="0.3">
      <c r="A166" s="361">
        <v>162</v>
      </c>
      <c r="B166" s="167" t="s">
        <v>868</v>
      </c>
      <c r="C166" s="111"/>
      <c r="D166" s="111"/>
      <c r="E166" s="111"/>
      <c r="F166" s="111"/>
      <c r="G166" s="111"/>
      <c r="H166" s="111"/>
      <c r="I166" s="111">
        <v>1</v>
      </c>
      <c r="J166" s="111"/>
      <c r="K166" s="111">
        <v>1</v>
      </c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>
        <v>1</v>
      </c>
      <c r="AB166" s="111"/>
      <c r="AC166" s="111">
        <v>1</v>
      </c>
    </row>
    <row r="167" spans="1:29" x14ac:dyDescent="0.3">
      <c r="A167" s="361">
        <v>163</v>
      </c>
      <c r="B167" s="167" t="s">
        <v>869</v>
      </c>
      <c r="C167" s="111"/>
      <c r="D167" s="111">
        <v>1</v>
      </c>
      <c r="E167" s="111">
        <v>1</v>
      </c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>
        <v>1</v>
      </c>
      <c r="AC167" s="111">
        <v>1</v>
      </c>
    </row>
    <row r="168" spans="1:29" x14ac:dyDescent="0.3">
      <c r="A168" s="361">
        <v>164</v>
      </c>
      <c r="B168" s="167" t="s">
        <v>870</v>
      </c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>
        <v>1</v>
      </c>
      <c r="Q168" s="111">
        <v>1</v>
      </c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>
        <v>1</v>
      </c>
      <c r="AC168" s="111">
        <v>1</v>
      </c>
    </row>
    <row r="169" spans="1:29" x14ac:dyDescent="0.3">
      <c r="A169" s="361">
        <v>165</v>
      </c>
      <c r="B169" s="167" t="s">
        <v>871</v>
      </c>
      <c r="C169" s="111"/>
      <c r="D169" s="111"/>
      <c r="E169" s="111"/>
      <c r="F169" s="111"/>
      <c r="G169" s="111"/>
      <c r="H169" s="111"/>
      <c r="I169" s="111"/>
      <c r="J169" s="111">
        <v>1</v>
      </c>
      <c r="K169" s="111">
        <v>1</v>
      </c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>
        <v>1</v>
      </c>
      <c r="AC169" s="111">
        <v>1</v>
      </c>
    </row>
    <row r="170" spans="1:29" x14ac:dyDescent="0.3">
      <c r="A170" s="361">
        <v>166</v>
      </c>
      <c r="B170" s="167" t="s">
        <v>872</v>
      </c>
      <c r="C170" s="111"/>
      <c r="D170" s="111"/>
      <c r="E170" s="111"/>
      <c r="F170" s="111"/>
      <c r="G170" s="111"/>
      <c r="H170" s="111"/>
      <c r="I170" s="111"/>
      <c r="J170" s="111">
        <v>1</v>
      </c>
      <c r="K170" s="111">
        <v>1</v>
      </c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>
        <v>1</v>
      </c>
      <c r="AC170" s="111">
        <v>1</v>
      </c>
    </row>
    <row r="171" spans="1:29" x14ac:dyDescent="0.3">
      <c r="A171" s="361">
        <v>167</v>
      </c>
      <c r="B171" s="167" t="s">
        <v>873</v>
      </c>
      <c r="C171" s="111"/>
      <c r="D171" s="111"/>
      <c r="E171" s="111"/>
      <c r="F171" s="111"/>
      <c r="G171" s="111"/>
      <c r="H171" s="111"/>
      <c r="I171" s="111">
        <v>1</v>
      </c>
      <c r="J171" s="111"/>
      <c r="K171" s="111">
        <v>1</v>
      </c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>
        <v>1</v>
      </c>
      <c r="AB171" s="111"/>
      <c r="AC171" s="111">
        <v>1</v>
      </c>
    </row>
    <row r="172" spans="1:29" x14ac:dyDescent="0.3">
      <c r="A172" s="361">
        <v>168</v>
      </c>
      <c r="B172" s="167" t="s">
        <v>874</v>
      </c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>
        <v>1</v>
      </c>
      <c r="N172" s="111">
        <v>1</v>
      </c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>
        <v>1</v>
      </c>
      <c r="AC172" s="111">
        <v>1</v>
      </c>
    </row>
    <row r="173" spans="1:29" x14ac:dyDescent="0.3">
      <c r="A173" s="361">
        <v>169</v>
      </c>
      <c r="B173" s="167" t="s">
        <v>875</v>
      </c>
      <c r="C173" s="111"/>
      <c r="D173" s="111"/>
      <c r="E173" s="111"/>
      <c r="F173" s="111"/>
      <c r="G173" s="111"/>
      <c r="H173" s="111"/>
      <c r="I173" s="111">
        <v>1</v>
      </c>
      <c r="J173" s="111"/>
      <c r="K173" s="111">
        <v>1</v>
      </c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>
        <v>1</v>
      </c>
      <c r="AB173" s="111"/>
      <c r="AC173" s="111">
        <v>1</v>
      </c>
    </row>
    <row r="174" spans="1:29" x14ac:dyDescent="0.3">
      <c r="A174" s="361">
        <v>170</v>
      </c>
      <c r="B174" s="167" t="s">
        <v>876</v>
      </c>
      <c r="C174" s="111"/>
      <c r="D174" s="111"/>
      <c r="E174" s="111"/>
      <c r="F174" s="111"/>
      <c r="G174" s="111"/>
      <c r="H174" s="111"/>
      <c r="I174" s="111">
        <v>1</v>
      </c>
      <c r="J174" s="111"/>
      <c r="K174" s="111">
        <v>1</v>
      </c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>
        <v>1</v>
      </c>
      <c r="AB174" s="111"/>
      <c r="AC174" s="111">
        <v>1</v>
      </c>
    </row>
    <row r="175" spans="1:29" s="168" customFormat="1" x14ac:dyDescent="0.3">
      <c r="A175" s="361">
        <v>171</v>
      </c>
      <c r="B175" s="167" t="s">
        <v>877</v>
      </c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>
        <v>1</v>
      </c>
      <c r="N175" s="111">
        <v>1</v>
      </c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>
        <v>1</v>
      </c>
      <c r="AC175" s="111">
        <v>1</v>
      </c>
    </row>
    <row r="176" spans="1:29" s="168" customFormat="1" x14ac:dyDescent="0.3">
      <c r="A176" s="361">
        <v>172</v>
      </c>
      <c r="B176" s="167" t="s">
        <v>878</v>
      </c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>
        <v>1</v>
      </c>
      <c r="N176" s="111">
        <v>1</v>
      </c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>
        <v>1</v>
      </c>
      <c r="AC176" s="111">
        <v>1</v>
      </c>
    </row>
    <row r="177" spans="1:29" s="168" customFormat="1" x14ac:dyDescent="0.3">
      <c r="A177" s="361">
        <v>173</v>
      </c>
      <c r="B177" s="167" t="s">
        <v>879</v>
      </c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>
        <v>1</v>
      </c>
      <c r="N177" s="111">
        <v>1</v>
      </c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>
        <v>1</v>
      </c>
      <c r="AC177" s="111">
        <v>1</v>
      </c>
    </row>
    <row r="178" spans="1:29" s="168" customFormat="1" ht="22.5" customHeight="1" x14ac:dyDescent="0.3">
      <c r="A178" s="747" t="s">
        <v>46</v>
      </c>
      <c r="B178" s="747"/>
      <c r="C178" s="109">
        <v>1572</v>
      </c>
      <c r="D178" s="109">
        <v>623</v>
      </c>
      <c r="E178" s="109">
        <v>2195</v>
      </c>
      <c r="F178" s="109">
        <v>9</v>
      </c>
      <c r="G178" s="109">
        <v>13</v>
      </c>
      <c r="H178" s="109">
        <v>22</v>
      </c>
      <c r="I178" s="109">
        <v>6297</v>
      </c>
      <c r="J178" s="109">
        <v>3496</v>
      </c>
      <c r="K178" s="109">
        <v>9793</v>
      </c>
      <c r="L178" s="109">
        <v>27849</v>
      </c>
      <c r="M178" s="109">
        <v>14930</v>
      </c>
      <c r="N178" s="109">
        <v>42779</v>
      </c>
      <c r="O178" s="109">
        <v>179</v>
      </c>
      <c r="P178" s="109">
        <v>110</v>
      </c>
      <c r="Q178" s="109">
        <v>289</v>
      </c>
      <c r="R178" s="109">
        <v>738</v>
      </c>
      <c r="S178" s="109">
        <v>922</v>
      </c>
      <c r="T178" s="109">
        <v>1660</v>
      </c>
      <c r="U178" s="109">
        <v>123</v>
      </c>
      <c r="V178" s="109">
        <v>82</v>
      </c>
      <c r="W178" s="109">
        <v>205</v>
      </c>
      <c r="X178" s="109">
        <v>528</v>
      </c>
      <c r="Y178" s="109">
        <v>663</v>
      </c>
      <c r="Z178" s="109">
        <v>1191</v>
      </c>
      <c r="AA178" s="109">
        <v>37295</v>
      </c>
      <c r="AB178" s="109">
        <v>20839</v>
      </c>
      <c r="AC178" s="109">
        <v>58134</v>
      </c>
    </row>
  </sheetData>
  <mergeCells count="15">
    <mergeCell ref="A178:B178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47244094488188981" right="0.15748031496062992" top="0.39370078740157483" bottom="0.39370078740157483" header="0.31496062992125984" footer="0.19685039370078741"/>
  <pageSetup paperSize="9" scale="70" firstPageNumber="51" orientation="portrait" r:id="rId1"/>
  <headerFooter>
    <oddFooter>&amp;L&amp;"Arial,Italic"&amp;9AISHE 2023-24&amp;RT-16</oddFooter>
  </headerFooter>
  <colBreaks count="2" manualBreakCount="2">
    <brk id="11" max="177" man="1"/>
    <brk id="20" max="17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55A0-F5A5-4176-9692-671CB421DAF0}">
  <dimension ref="A1:AC35"/>
  <sheetViews>
    <sheetView showZeros="0" view="pageBreakPreview" zoomScaleNormal="100" zoomScaleSheetLayoutView="100" workbookViewId="0">
      <pane xSplit="2" ySplit="4" topLeftCell="C5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9.453125" defaultRowHeight="14" x14ac:dyDescent="0.35"/>
  <cols>
    <col min="1" max="1" width="5.81640625" style="172" customWidth="1"/>
    <col min="2" max="2" width="20.81640625" style="177" bestFit="1" customWidth="1"/>
    <col min="3" max="3" width="8.81640625" style="172" customWidth="1"/>
    <col min="4" max="5" width="7.81640625" style="172" customWidth="1"/>
    <col min="6" max="6" width="6.7265625" style="172" customWidth="1"/>
    <col min="7" max="7" width="7.81640625" style="172" customWidth="1"/>
    <col min="8" max="8" width="7.7265625" style="172" customWidth="1"/>
    <col min="9" max="9" width="8.81640625" style="172" customWidth="1"/>
    <col min="10" max="10" width="8.54296875" style="172" customWidth="1"/>
    <col min="11" max="11" width="8.81640625" style="172" customWidth="1"/>
    <col min="12" max="14" width="8.54296875" style="172" customWidth="1"/>
    <col min="15" max="19" width="8" style="172" customWidth="1"/>
    <col min="20" max="20" width="7.26953125" style="172" bestFit="1" customWidth="1"/>
    <col min="21" max="26" width="7.81640625" style="172" customWidth="1"/>
    <col min="27" max="27" width="8.453125" style="172" bestFit="1" customWidth="1"/>
    <col min="28" max="29" width="8.54296875" style="172" customWidth="1"/>
    <col min="30" max="16384" width="9.453125" style="172"/>
  </cols>
  <sheetData>
    <row r="1" spans="1:29" s="162" customFormat="1" ht="36" customHeight="1" x14ac:dyDescent="0.35">
      <c r="B1" s="206"/>
      <c r="C1" s="786" t="s">
        <v>999</v>
      </c>
      <c r="D1" s="789"/>
      <c r="E1" s="789"/>
      <c r="F1" s="789"/>
      <c r="G1" s="789"/>
      <c r="H1" s="789"/>
      <c r="I1" s="789"/>
      <c r="J1" s="789"/>
      <c r="K1" s="789"/>
      <c r="L1" s="786" t="str">
        <f>C1</f>
        <v>Table 17. States/UTs-Wise and Level-Wise Enrolment of Foreign Students 
(Based on Actual Responses)</v>
      </c>
      <c r="M1" s="786"/>
      <c r="N1" s="786"/>
      <c r="O1" s="786"/>
      <c r="P1" s="786"/>
      <c r="Q1" s="786"/>
      <c r="R1" s="786"/>
      <c r="S1" s="786"/>
      <c r="T1" s="786"/>
      <c r="U1" s="786" t="str">
        <f>L1</f>
        <v>Table 17. States/UTs-Wise and Level-Wise Enrolment of Foreign Students 
(Based on Actual Responses)</v>
      </c>
      <c r="V1" s="789"/>
      <c r="W1" s="789"/>
      <c r="X1" s="789"/>
      <c r="Y1" s="789"/>
      <c r="Z1" s="789"/>
      <c r="AA1" s="789"/>
      <c r="AB1" s="789"/>
      <c r="AC1" s="789"/>
    </row>
    <row r="2" spans="1:29" s="171" customFormat="1" ht="18.649999999999999" customHeight="1" x14ac:dyDescent="0.35">
      <c r="A2" s="790" t="s">
        <v>48</v>
      </c>
      <c r="B2" s="790" t="s">
        <v>885</v>
      </c>
      <c r="C2" s="791" t="s">
        <v>95</v>
      </c>
      <c r="D2" s="791"/>
      <c r="E2" s="791"/>
      <c r="F2" s="791" t="s">
        <v>96</v>
      </c>
      <c r="G2" s="791"/>
      <c r="H2" s="791"/>
      <c r="I2" s="791" t="s">
        <v>97</v>
      </c>
      <c r="J2" s="791"/>
      <c r="K2" s="791"/>
      <c r="L2" s="791" t="s">
        <v>98</v>
      </c>
      <c r="M2" s="791"/>
      <c r="N2" s="791"/>
      <c r="O2" s="791" t="s">
        <v>99</v>
      </c>
      <c r="P2" s="791"/>
      <c r="Q2" s="791"/>
      <c r="R2" s="791" t="s">
        <v>100</v>
      </c>
      <c r="S2" s="791"/>
      <c r="T2" s="791"/>
      <c r="U2" s="791" t="s">
        <v>101</v>
      </c>
      <c r="V2" s="791"/>
      <c r="W2" s="791"/>
      <c r="X2" s="791" t="s">
        <v>102</v>
      </c>
      <c r="Y2" s="791"/>
      <c r="Z2" s="791"/>
      <c r="AA2" s="791" t="s">
        <v>89</v>
      </c>
      <c r="AB2" s="791"/>
      <c r="AC2" s="791"/>
    </row>
    <row r="3" spans="1:29" ht="18.649999999999999" customHeight="1" x14ac:dyDescent="0.35">
      <c r="A3" s="790"/>
      <c r="B3" s="790"/>
      <c r="C3" s="170" t="s">
        <v>103</v>
      </c>
      <c r="D3" s="170" t="s">
        <v>104</v>
      </c>
      <c r="E3" s="170" t="s">
        <v>89</v>
      </c>
      <c r="F3" s="170" t="s">
        <v>103</v>
      </c>
      <c r="G3" s="170" t="s">
        <v>104</v>
      </c>
      <c r="H3" s="170" t="s">
        <v>89</v>
      </c>
      <c r="I3" s="170" t="s">
        <v>103</v>
      </c>
      <c r="J3" s="170" t="s">
        <v>104</v>
      </c>
      <c r="K3" s="170" t="s">
        <v>89</v>
      </c>
      <c r="L3" s="170" t="s">
        <v>103</v>
      </c>
      <c r="M3" s="170" t="s">
        <v>104</v>
      </c>
      <c r="N3" s="170" t="s">
        <v>89</v>
      </c>
      <c r="O3" s="170" t="s">
        <v>103</v>
      </c>
      <c r="P3" s="170" t="s">
        <v>104</v>
      </c>
      <c r="Q3" s="170" t="s">
        <v>89</v>
      </c>
      <c r="R3" s="170" t="s">
        <v>103</v>
      </c>
      <c r="S3" s="170" t="s">
        <v>104</v>
      </c>
      <c r="T3" s="170" t="s">
        <v>89</v>
      </c>
      <c r="U3" s="170" t="s">
        <v>103</v>
      </c>
      <c r="V3" s="170" t="s">
        <v>104</v>
      </c>
      <c r="W3" s="170" t="s">
        <v>89</v>
      </c>
      <c r="X3" s="170" t="s">
        <v>103</v>
      </c>
      <c r="Y3" s="170" t="s">
        <v>104</v>
      </c>
      <c r="Z3" s="170" t="s">
        <v>89</v>
      </c>
      <c r="AA3" s="170" t="s">
        <v>103</v>
      </c>
      <c r="AB3" s="170" t="s">
        <v>104</v>
      </c>
      <c r="AC3" s="170" t="s">
        <v>89</v>
      </c>
    </row>
    <row r="4" spans="1:29" s="551" customFormat="1" ht="10.5" x14ac:dyDescent="0.35">
      <c r="A4" s="381">
        <v>1</v>
      </c>
      <c r="B4" s="381">
        <v>2</v>
      </c>
      <c r="C4" s="381">
        <v>3</v>
      </c>
      <c r="D4" s="381">
        <v>4</v>
      </c>
      <c r="E4" s="381">
        <v>5</v>
      </c>
      <c r="F4" s="381">
        <v>6</v>
      </c>
      <c r="G4" s="381">
        <v>7</v>
      </c>
      <c r="H4" s="381">
        <v>8</v>
      </c>
      <c r="I4" s="381">
        <v>9</v>
      </c>
      <c r="J4" s="381">
        <v>10</v>
      </c>
      <c r="K4" s="381">
        <v>11</v>
      </c>
      <c r="L4" s="381">
        <v>12</v>
      </c>
      <c r="M4" s="381">
        <v>13</v>
      </c>
      <c r="N4" s="381">
        <v>14</v>
      </c>
      <c r="O4" s="381">
        <v>15</v>
      </c>
      <c r="P4" s="381">
        <v>16</v>
      </c>
      <c r="Q4" s="381">
        <v>17</v>
      </c>
      <c r="R4" s="381">
        <v>18</v>
      </c>
      <c r="S4" s="381">
        <v>19</v>
      </c>
      <c r="T4" s="381">
        <v>20</v>
      </c>
      <c r="U4" s="381">
        <v>21</v>
      </c>
      <c r="V4" s="381">
        <v>22</v>
      </c>
      <c r="W4" s="381">
        <v>23</v>
      </c>
      <c r="X4" s="381">
        <v>24</v>
      </c>
      <c r="Y4" s="381">
        <v>25</v>
      </c>
      <c r="Z4" s="381">
        <v>26</v>
      </c>
      <c r="AA4" s="381">
        <v>27</v>
      </c>
      <c r="AB4" s="381">
        <v>28</v>
      </c>
      <c r="AC4" s="381">
        <v>29</v>
      </c>
    </row>
    <row r="5" spans="1:29" ht="24" customHeight="1" x14ac:dyDescent="0.35">
      <c r="A5" s="361">
        <v>1</v>
      </c>
      <c r="B5" s="341" t="s">
        <v>13</v>
      </c>
      <c r="C5" s="173">
        <v>152</v>
      </c>
      <c r="D5" s="173">
        <v>29</v>
      </c>
      <c r="E5" s="173">
        <v>181</v>
      </c>
      <c r="F5" s="173"/>
      <c r="G5" s="173"/>
      <c r="H5" s="173"/>
      <c r="I5" s="173">
        <v>293</v>
      </c>
      <c r="J5" s="173">
        <v>111</v>
      </c>
      <c r="K5" s="173">
        <v>404</v>
      </c>
      <c r="L5" s="173">
        <v>1697</v>
      </c>
      <c r="M5" s="173">
        <v>664</v>
      </c>
      <c r="N5" s="173">
        <v>2361</v>
      </c>
      <c r="O5" s="173"/>
      <c r="P5" s="173"/>
      <c r="Q5" s="173"/>
      <c r="R5" s="173"/>
      <c r="S5" s="173">
        <v>320</v>
      </c>
      <c r="T5" s="173">
        <v>320</v>
      </c>
      <c r="U5" s="173"/>
      <c r="V5" s="173"/>
      <c r="W5" s="173"/>
      <c r="X5" s="173">
        <v>15</v>
      </c>
      <c r="Y5" s="173">
        <v>11</v>
      </c>
      <c r="Z5" s="173">
        <v>26</v>
      </c>
      <c r="AA5" s="173">
        <v>2157</v>
      </c>
      <c r="AB5" s="173">
        <v>1135</v>
      </c>
      <c r="AC5" s="173">
        <v>3292</v>
      </c>
    </row>
    <row r="6" spans="1:29" ht="24" customHeight="1" x14ac:dyDescent="0.35">
      <c r="A6" s="361">
        <v>2</v>
      </c>
      <c r="B6" s="341" t="s">
        <v>15</v>
      </c>
      <c r="C6" s="173">
        <v>23</v>
      </c>
      <c r="D6" s="173">
        <v>8</v>
      </c>
      <c r="E6" s="173">
        <v>31</v>
      </c>
      <c r="F6" s="173"/>
      <c r="G6" s="173"/>
      <c r="H6" s="173"/>
      <c r="I6" s="173">
        <v>15</v>
      </c>
      <c r="J6" s="173">
        <v>13</v>
      </c>
      <c r="K6" s="173">
        <v>28</v>
      </c>
      <c r="L6" s="173">
        <v>232</v>
      </c>
      <c r="M6" s="173">
        <v>99</v>
      </c>
      <c r="N6" s="173">
        <v>331</v>
      </c>
      <c r="O6" s="173">
        <v>1</v>
      </c>
      <c r="P6" s="173">
        <v>1</v>
      </c>
      <c r="Q6" s="173">
        <v>2</v>
      </c>
      <c r="R6" s="173">
        <v>31</v>
      </c>
      <c r="S6" s="173">
        <v>34</v>
      </c>
      <c r="T6" s="173">
        <v>65</v>
      </c>
      <c r="U6" s="173"/>
      <c r="V6" s="173"/>
      <c r="W6" s="173"/>
      <c r="X6" s="173"/>
      <c r="Y6" s="173"/>
      <c r="Z6" s="173">
        <v>0</v>
      </c>
      <c r="AA6" s="173">
        <v>302</v>
      </c>
      <c r="AB6" s="173">
        <v>155</v>
      </c>
      <c r="AC6" s="173">
        <v>457</v>
      </c>
    </row>
    <row r="7" spans="1:29" ht="24" customHeight="1" x14ac:dyDescent="0.35">
      <c r="A7" s="361">
        <v>3</v>
      </c>
      <c r="B7" s="341" t="s">
        <v>16</v>
      </c>
      <c r="C7" s="173">
        <v>8</v>
      </c>
      <c r="D7" s="173">
        <v>4</v>
      </c>
      <c r="E7" s="173">
        <v>12</v>
      </c>
      <c r="F7" s="173"/>
      <c r="G7" s="173"/>
      <c r="H7" s="173"/>
      <c r="I7" s="173">
        <v>81</v>
      </c>
      <c r="J7" s="173">
        <v>62</v>
      </c>
      <c r="K7" s="173">
        <v>143</v>
      </c>
      <c r="L7" s="173">
        <v>12</v>
      </c>
      <c r="M7" s="173">
        <v>8</v>
      </c>
      <c r="N7" s="173">
        <v>20</v>
      </c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>
        <v>101</v>
      </c>
      <c r="AB7" s="173">
        <v>74</v>
      </c>
      <c r="AC7" s="173">
        <v>175</v>
      </c>
    </row>
    <row r="8" spans="1:29" ht="24" customHeight="1" x14ac:dyDescent="0.35">
      <c r="A8" s="361">
        <v>4</v>
      </c>
      <c r="B8" s="341" t="s">
        <v>17</v>
      </c>
      <c r="C8" s="173">
        <v>13</v>
      </c>
      <c r="D8" s="173"/>
      <c r="E8" s="173">
        <v>13</v>
      </c>
      <c r="F8" s="173"/>
      <c r="G8" s="173"/>
      <c r="H8" s="173"/>
      <c r="I8" s="173">
        <v>18</v>
      </c>
      <c r="J8" s="173">
        <v>16</v>
      </c>
      <c r="K8" s="173">
        <v>34</v>
      </c>
      <c r="L8" s="173">
        <v>42</v>
      </c>
      <c r="M8" s="173">
        <v>36</v>
      </c>
      <c r="N8" s="173">
        <v>78</v>
      </c>
      <c r="O8" s="173"/>
      <c r="P8" s="173"/>
      <c r="Q8" s="173"/>
      <c r="R8" s="173"/>
      <c r="S8" s="173"/>
      <c r="T8" s="173"/>
      <c r="U8" s="173"/>
      <c r="V8" s="173"/>
      <c r="W8" s="173"/>
      <c r="X8" s="173">
        <v>39</v>
      </c>
      <c r="Y8" s="173">
        <v>21</v>
      </c>
      <c r="Z8" s="173">
        <v>60</v>
      </c>
      <c r="AA8" s="173">
        <v>112</v>
      </c>
      <c r="AB8" s="173">
        <v>73</v>
      </c>
      <c r="AC8" s="173">
        <v>185</v>
      </c>
    </row>
    <row r="9" spans="1:29" ht="24" customHeight="1" x14ac:dyDescent="0.35">
      <c r="A9" s="361">
        <v>5</v>
      </c>
      <c r="B9" s="341" t="s">
        <v>18</v>
      </c>
      <c r="C9" s="173">
        <v>3</v>
      </c>
      <c r="D9" s="173">
        <v>2</v>
      </c>
      <c r="E9" s="173">
        <v>5</v>
      </c>
      <c r="F9" s="173"/>
      <c r="G9" s="173"/>
      <c r="H9" s="173"/>
      <c r="I9" s="173">
        <v>54</v>
      </c>
      <c r="J9" s="173">
        <v>10</v>
      </c>
      <c r="K9" s="173">
        <v>64</v>
      </c>
      <c r="L9" s="173">
        <v>345</v>
      </c>
      <c r="M9" s="173">
        <v>103</v>
      </c>
      <c r="N9" s="173">
        <v>448</v>
      </c>
      <c r="O9" s="173"/>
      <c r="P9" s="173"/>
      <c r="Q9" s="173"/>
      <c r="R9" s="173">
        <v>25</v>
      </c>
      <c r="S9" s="173">
        <v>1</v>
      </c>
      <c r="T9" s="173">
        <v>26</v>
      </c>
      <c r="U9" s="173"/>
      <c r="V9" s="173"/>
      <c r="W9" s="173"/>
      <c r="X9" s="173">
        <v>4</v>
      </c>
      <c r="Y9" s="173">
        <v>5</v>
      </c>
      <c r="Z9" s="173">
        <v>9</v>
      </c>
      <c r="AA9" s="173">
        <v>431</v>
      </c>
      <c r="AB9" s="173">
        <v>121</v>
      </c>
      <c r="AC9" s="173">
        <v>552</v>
      </c>
    </row>
    <row r="10" spans="1:29" ht="24" customHeight="1" x14ac:dyDescent="0.35">
      <c r="A10" s="361">
        <v>6</v>
      </c>
      <c r="B10" s="341" t="s">
        <v>19</v>
      </c>
      <c r="C10" s="173">
        <v>157</v>
      </c>
      <c r="D10" s="173">
        <v>88</v>
      </c>
      <c r="E10" s="173">
        <v>245</v>
      </c>
      <c r="F10" s="173"/>
      <c r="G10" s="173"/>
      <c r="H10" s="173"/>
      <c r="I10" s="173">
        <v>390</v>
      </c>
      <c r="J10" s="173">
        <v>215</v>
      </c>
      <c r="K10" s="173">
        <v>605</v>
      </c>
      <c r="L10" s="173">
        <v>1075</v>
      </c>
      <c r="M10" s="173">
        <v>721</v>
      </c>
      <c r="N10" s="173">
        <v>1796</v>
      </c>
      <c r="O10" s="173">
        <v>7</v>
      </c>
      <c r="P10" s="173">
        <v>3</v>
      </c>
      <c r="Q10" s="173">
        <v>10</v>
      </c>
      <c r="R10" s="173">
        <v>7</v>
      </c>
      <c r="S10" s="173">
        <v>7</v>
      </c>
      <c r="T10" s="173">
        <v>14</v>
      </c>
      <c r="U10" s="173">
        <v>13</v>
      </c>
      <c r="V10" s="173"/>
      <c r="W10" s="173">
        <v>13</v>
      </c>
      <c r="X10" s="173">
        <v>19</v>
      </c>
      <c r="Y10" s="173">
        <v>31</v>
      </c>
      <c r="Z10" s="173">
        <v>50</v>
      </c>
      <c r="AA10" s="173">
        <v>1668</v>
      </c>
      <c r="AB10" s="173">
        <v>1065</v>
      </c>
      <c r="AC10" s="173">
        <v>2733</v>
      </c>
    </row>
    <row r="11" spans="1:29" ht="24" customHeight="1" x14ac:dyDescent="0.35">
      <c r="A11" s="361">
        <v>7</v>
      </c>
      <c r="B11" s="341" t="s">
        <v>20</v>
      </c>
      <c r="C11" s="174">
        <v>2</v>
      </c>
      <c r="D11" s="173">
        <v>1</v>
      </c>
      <c r="E11" s="173">
        <v>3</v>
      </c>
      <c r="F11" s="173"/>
      <c r="G11" s="173"/>
      <c r="H11" s="173"/>
      <c r="I11" s="173">
        <v>12</v>
      </c>
      <c r="J11" s="173">
        <v>5</v>
      </c>
      <c r="K11" s="173">
        <v>17</v>
      </c>
      <c r="L11" s="173">
        <v>46</v>
      </c>
      <c r="M11" s="173">
        <v>28</v>
      </c>
      <c r="N11" s="173">
        <v>74</v>
      </c>
      <c r="O11" s="173"/>
      <c r="P11" s="173"/>
      <c r="Q11" s="173"/>
      <c r="R11" s="173"/>
      <c r="S11" s="173"/>
      <c r="T11" s="173"/>
      <c r="U11" s="173"/>
      <c r="V11" s="173"/>
      <c r="W11" s="173"/>
      <c r="X11" s="173">
        <v>12</v>
      </c>
      <c r="Y11" s="173">
        <v>6</v>
      </c>
      <c r="Z11" s="173">
        <v>18</v>
      </c>
      <c r="AA11" s="173">
        <v>72</v>
      </c>
      <c r="AB11" s="173">
        <v>40</v>
      </c>
      <c r="AC11" s="173">
        <v>112</v>
      </c>
    </row>
    <row r="12" spans="1:29" ht="24" customHeight="1" x14ac:dyDescent="0.35">
      <c r="A12" s="361">
        <v>8</v>
      </c>
      <c r="B12" s="341" t="s">
        <v>21</v>
      </c>
      <c r="C12" s="173">
        <v>31</v>
      </c>
      <c r="D12" s="173">
        <v>17</v>
      </c>
      <c r="E12" s="173">
        <v>48</v>
      </c>
      <c r="F12" s="173"/>
      <c r="G12" s="173"/>
      <c r="H12" s="173"/>
      <c r="I12" s="173">
        <v>311</v>
      </c>
      <c r="J12" s="173">
        <v>163</v>
      </c>
      <c r="K12" s="173">
        <v>474</v>
      </c>
      <c r="L12" s="173">
        <v>2157</v>
      </c>
      <c r="M12" s="173">
        <v>984</v>
      </c>
      <c r="N12" s="173">
        <v>3141</v>
      </c>
      <c r="O12" s="173">
        <v>2</v>
      </c>
      <c r="P12" s="173">
        <v>7</v>
      </c>
      <c r="Q12" s="173">
        <v>9</v>
      </c>
      <c r="R12" s="173">
        <v>280</v>
      </c>
      <c r="S12" s="173">
        <v>129</v>
      </c>
      <c r="T12" s="173">
        <v>409</v>
      </c>
      <c r="U12" s="173"/>
      <c r="V12" s="173"/>
      <c r="W12" s="173"/>
      <c r="X12" s="173">
        <v>39</v>
      </c>
      <c r="Y12" s="173">
        <v>67</v>
      </c>
      <c r="Z12" s="173">
        <v>106</v>
      </c>
      <c r="AA12" s="173">
        <v>2820</v>
      </c>
      <c r="AB12" s="173">
        <v>1367</v>
      </c>
      <c r="AC12" s="173">
        <v>4187</v>
      </c>
    </row>
    <row r="13" spans="1:29" ht="24" customHeight="1" x14ac:dyDescent="0.35">
      <c r="A13" s="361">
        <v>9</v>
      </c>
      <c r="B13" s="341" t="s">
        <v>22</v>
      </c>
      <c r="C13" s="173">
        <v>57</v>
      </c>
      <c r="D13" s="173">
        <v>13</v>
      </c>
      <c r="E13" s="173">
        <v>70</v>
      </c>
      <c r="F13" s="173"/>
      <c r="G13" s="173"/>
      <c r="H13" s="173"/>
      <c r="I13" s="173">
        <v>108</v>
      </c>
      <c r="J13" s="173">
        <v>57</v>
      </c>
      <c r="K13" s="173">
        <v>165</v>
      </c>
      <c r="L13" s="173">
        <v>1017</v>
      </c>
      <c r="M13" s="173">
        <v>514</v>
      </c>
      <c r="N13" s="173">
        <v>1531</v>
      </c>
      <c r="O13" s="173">
        <v>134</v>
      </c>
      <c r="P13" s="173">
        <v>76</v>
      </c>
      <c r="Q13" s="173">
        <v>210</v>
      </c>
      <c r="R13" s="173">
        <v>14</v>
      </c>
      <c r="S13" s="173">
        <v>35</v>
      </c>
      <c r="T13" s="173">
        <v>49</v>
      </c>
      <c r="U13" s="173">
        <v>1</v>
      </c>
      <c r="V13" s="173"/>
      <c r="W13" s="173">
        <v>1</v>
      </c>
      <c r="X13" s="173">
        <v>11</v>
      </c>
      <c r="Y13" s="173">
        <v>11</v>
      </c>
      <c r="Z13" s="173">
        <v>22</v>
      </c>
      <c r="AA13" s="173">
        <v>1342</v>
      </c>
      <c r="AB13" s="173">
        <v>706</v>
      </c>
      <c r="AC13" s="173">
        <v>2048</v>
      </c>
    </row>
    <row r="14" spans="1:29" ht="24" customHeight="1" x14ac:dyDescent="0.35">
      <c r="A14" s="361">
        <v>10</v>
      </c>
      <c r="B14" s="341" t="s">
        <v>23</v>
      </c>
      <c r="C14" s="173">
        <v>35</v>
      </c>
      <c r="D14" s="173">
        <v>6</v>
      </c>
      <c r="E14" s="173">
        <v>41</v>
      </c>
      <c r="F14" s="173"/>
      <c r="G14" s="173"/>
      <c r="H14" s="173"/>
      <c r="I14" s="173">
        <v>24</v>
      </c>
      <c r="J14" s="173">
        <v>9</v>
      </c>
      <c r="K14" s="173">
        <v>33</v>
      </c>
      <c r="L14" s="173">
        <v>112</v>
      </c>
      <c r="M14" s="173">
        <v>52</v>
      </c>
      <c r="N14" s="173">
        <v>164</v>
      </c>
      <c r="O14" s="173"/>
      <c r="P14" s="173"/>
      <c r="Q14" s="173"/>
      <c r="R14" s="173">
        <v>1</v>
      </c>
      <c r="S14" s="173"/>
      <c r="T14" s="173">
        <v>1</v>
      </c>
      <c r="U14" s="173"/>
      <c r="V14" s="173"/>
      <c r="W14" s="173"/>
      <c r="X14" s="173">
        <v>6</v>
      </c>
      <c r="Y14" s="173">
        <v>4</v>
      </c>
      <c r="Z14" s="173">
        <v>10</v>
      </c>
      <c r="AA14" s="173">
        <v>178</v>
      </c>
      <c r="AB14" s="173">
        <v>71</v>
      </c>
      <c r="AC14" s="173">
        <v>249</v>
      </c>
    </row>
    <row r="15" spans="1:29" ht="24" customHeight="1" x14ac:dyDescent="0.35">
      <c r="A15" s="361">
        <v>11</v>
      </c>
      <c r="B15" s="341" t="s">
        <v>24</v>
      </c>
      <c r="C15" s="173">
        <v>2</v>
      </c>
      <c r="D15" s="173"/>
      <c r="E15" s="173">
        <v>2</v>
      </c>
      <c r="F15" s="173"/>
      <c r="G15" s="173"/>
      <c r="H15" s="173"/>
      <c r="I15" s="173"/>
      <c r="J15" s="173"/>
      <c r="K15" s="173"/>
      <c r="L15" s="173">
        <v>3</v>
      </c>
      <c r="M15" s="173">
        <v>1</v>
      </c>
      <c r="N15" s="173">
        <v>4</v>
      </c>
      <c r="O15" s="173"/>
      <c r="P15" s="173"/>
      <c r="Q15" s="173"/>
      <c r="R15" s="173"/>
      <c r="S15" s="173"/>
      <c r="T15" s="173"/>
      <c r="U15" s="173"/>
      <c r="V15" s="173"/>
      <c r="W15" s="173"/>
      <c r="X15" s="173">
        <v>1</v>
      </c>
      <c r="Y15" s="173"/>
      <c r="Z15" s="173">
        <v>1</v>
      </c>
      <c r="AA15" s="173">
        <v>6</v>
      </c>
      <c r="AB15" s="173">
        <v>1</v>
      </c>
      <c r="AC15" s="173">
        <v>7</v>
      </c>
    </row>
    <row r="16" spans="1:29" ht="24" customHeight="1" x14ac:dyDescent="0.35">
      <c r="A16" s="361">
        <v>12</v>
      </c>
      <c r="B16" s="341" t="s">
        <v>25</v>
      </c>
      <c r="C16" s="173">
        <v>10</v>
      </c>
      <c r="D16" s="173">
        <v>2</v>
      </c>
      <c r="E16" s="173">
        <v>12</v>
      </c>
      <c r="F16" s="173"/>
      <c r="G16" s="173"/>
      <c r="H16" s="173"/>
      <c r="I16" s="173">
        <v>30</v>
      </c>
      <c r="J16" s="173">
        <v>15</v>
      </c>
      <c r="K16" s="173">
        <v>45</v>
      </c>
      <c r="L16" s="173">
        <v>14</v>
      </c>
      <c r="M16" s="173">
        <v>7</v>
      </c>
      <c r="N16" s="173">
        <v>21</v>
      </c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>
        <v>54</v>
      </c>
      <c r="AB16" s="173">
        <v>24</v>
      </c>
      <c r="AC16" s="173">
        <v>78</v>
      </c>
    </row>
    <row r="17" spans="1:29" ht="24" customHeight="1" x14ac:dyDescent="0.35">
      <c r="A17" s="361">
        <v>13</v>
      </c>
      <c r="B17" s="341" t="s">
        <v>26</v>
      </c>
      <c r="C17" s="173">
        <v>50</v>
      </c>
      <c r="D17" s="173">
        <v>25</v>
      </c>
      <c r="E17" s="173">
        <v>75</v>
      </c>
      <c r="F17" s="173"/>
      <c r="G17" s="173">
        <v>2</v>
      </c>
      <c r="H17" s="173">
        <v>2</v>
      </c>
      <c r="I17" s="173">
        <v>417</v>
      </c>
      <c r="J17" s="173">
        <v>395</v>
      </c>
      <c r="K17" s="173">
        <v>812</v>
      </c>
      <c r="L17" s="173">
        <v>4181</v>
      </c>
      <c r="M17" s="173">
        <v>2457</v>
      </c>
      <c r="N17" s="173">
        <v>6638</v>
      </c>
      <c r="O17" s="173">
        <v>2</v>
      </c>
      <c r="P17" s="173">
        <v>3</v>
      </c>
      <c r="Q17" s="173">
        <v>5</v>
      </c>
      <c r="R17" s="173">
        <v>71</v>
      </c>
      <c r="S17" s="173">
        <v>254</v>
      </c>
      <c r="T17" s="173">
        <v>325</v>
      </c>
      <c r="U17" s="173">
        <v>5</v>
      </c>
      <c r="V17" s="173">
        <v>5</v>
      </c>
      <c r="W17" s="173">
        <v>10</v>
      </c>
      <c r="X17" s="173">
        <v>9</v>
      </c>
      <c r="Y17" s="173">
        <v>38</v>
      </c>
      <c r="Z17" s="173">
        <v>47</v>
      </c>
      <c r="AA17" s="173">
        <v>4735</v>
      </c>
      <c r="AB17" s="173">
        <v>3179</v>
      </c>
      <c r="AC17" s="173">
        <v>7914</v>
      </c>
    </row>
    <row r="18" spans="1:29" ht="24" customHeight="1" x14ac:dyDescent="0.35">
      <c r="A18" s="361">
        <v>14</v>
      </c>
      <c r="B18" s="341" t="s">
        <v>27</v>
      </c>
      <c r="C18" s="173">
        <v>78</v>
      </c>
      <c r="D18" s="173">
        <v>36</v>
      </c>
      <c r="E18" s="173">
        <v>114</v>
      </c>
      <c r="F18" s="173"/>
      <c r="G18" s="173"/>
      <c r="H18" s="173"/>
      <c r="I18" s="173">
        <v>98</v>
      </c>
      <c r="J18" s="173">
        <v>82</v>
      </c>
      <c r="K18" s="173">
        <v>180</v>
      </c>
      <c r="L18" s="173">
        <v>399</v>
      </c>
      <c r="M18" s="173">
        <v>352</v>
      </c>
      <c r="N18" s="173">
        <v>751</v>
      </c>
      <c r="O18" s="173">
        <v>1</v>
      </c>
      <c r="P18" s="173">
        <v>1</v>
      </c>
      <c r="Q18" s="173">
        <v>2</v>
      </c>
      <c r="R18" s="173"/>
      <c r="S18" s="173"/>
      <c r="T18" s="173"/>
      <c r="U18" s="173"/>
      <c r="V18" s="173"/>
      <c r="W18" s="173"/>
      <c r="X18" s="173">
        <v>4</v>
      </c>
      <c r="Y18" s="173">
        <v>4</v>
      </c>
      <c r="Z18" s="173">
        <v>8</v>
      </c>
      <c r="AA18" s="173">
        <v>580</v>
      </c>
      <c r="AB18" s="173">
        <v>475</v>
      </c>
      <c r="AC18" s="173">
        <v>1055</v>
      </c>
    </row>
    <row r="19" spans="1:29" ht="24" customHeight="1" x14ac:dyDescent="0.35">
      <c r="A19" s="361">
        <v>15</v>
      </c>
      <c r="B19" s="341" t="s">
        <v>29</v>
      </c>
      <c r="C19" s="173">
        <v>9</v>
      </c>
      <c r="D19" s="173">
        <v>6</v>
      </c>
      <c r="E19" s="173">
        <v>15</v>
      </c>
      <c r="F19" s="173"/>
      <c r="G19" s="173"/>
      <c r="H19" s="173"/>
      <c r="I19" s="173">
        <v>71</v>
      </c>
      <c r="J19" s="173">
        <v>16</v>
      </c>
      <c r="K19" s="173">
        <v>87</v>
      </c>
      <c r="L19" s="173">
        <v>199</v>
      </c>
      <c r="M19" s="173">
        <v>131</v>
      </c>
      <c r="N19" s="173">
        <v>330</v>
      </c>
      <c r="O19" s="173"/>
      <c r="P19" s="173"/>
      <c r="Q19" s="173"/>
      <c r="R19" s="173">
        <v>34</v>
      </c>
      <c r="S19" s="173">
        <v>17</v>
      </c>
      <c r="T19" s="173">
        <v>51</v>
      </c>
      <c r="U19" s="173">
        <v>20</v>
      </c>
      <c r="V19" s="173"/>
      <c r="W19" s="173">
        <v>20</v>
      </c>
      <c r="X19" s="173">
        <v>5</v>
      </c>
      <c r="Y19" s="173">
        <v>6</v>
      </c>
      <c r="Z19" s="173">
        <v>11</v>
      </c>
      <c r="AA19" s="173">
        <v>338</v>
      </c>
      <c r="AB19" s="173">
        <v>176</v>
      </c>
      <c r="AC19" s="173">
        <v>514</v>
      </c>
    </row>
    <row r="20" spans="1:29" ht="24" customHeight="1" x14ac:dyDescent="0.35">
      <c r="A20" s="361">
        <v>16</v>
      </c>
      <c r="B20" s="341" t="s">
        <v>30</v>
      </c>
      <c r="C20" s="173">
        <v>120</v>
      </c>
      <c r="D20" s="173">
        <v>50</v>
      </c>
      <c r="E20" s="173">
        <v>170</v>
      </c>
      <c r="F20" s="173"/>
      <c r="G20" s="173"/>
      <c r="H20" s="173"/>
      <c r="I20" s="173">
        <v>1596</v>
      </c>
      <c r="J20" s="173">
        <v>935</v>
      </c>
      <c r="K20" s="173">
        <v>2531</v>
      </c>
      <c r="L20" s="173">
        <v>1798</v>
      </c>
      <c r="M20" s="173">
        <v>1600</v>
      </c>
      <c r="N20" s="173">
        <v>3398</v>
      </c>
      <c r="O20" s="173">
        <v>3</v>
      </c>
      <c r="P20" s="173"/>
      <c r="Q20" s="173">
        <v>3</v>
      </c>
      <c r="R20" s="173">
        <v>42</v>
      </c>
      <c r="S20" s="173">
        <v>7</v>
      </c>
      <c r="T20" s="173">
        <v>49</v>
      </c>
      <c r="U20" s="173">
        <v>6</v>
      </c>
      <c r="V20" s="173">
        <v>3</v>
      </c>
      <c r="W20" s="173">
        <v>9</v>
      </c>
      <c r="X20" s="173">
        <v>16</v>
      </c>
      <c r="Y20" s="173">
        <v>14</v>
      </c>
      <c r="Z20" s="173">
        <v>30</v>
      </c>
      <c r="AA20" s="173">
        <v>3581</v>
      </c>
      <c r="AB20" s="173">
        <v>2609</v>
      </c>
      <c r="AC20" s="173">
        <v>6190</v>
      </c>
    </row>
    <row r="21" spans="1:29" ht="24" customHeight="1" x14ac:dyDescent="0.35">
      <c r="A21" s="361">
        <v>17</v>
      </c>
      <c r="B21" s="341" t="s">
        <v>31</v>
      </c>
      <c r="C21" s="173">
        <v>4</v>
      </c>
      <c r="D21" s="173"/>
      <c r="E21" s="173">
        <v>4</v>
      </c>
      <c r="F21" s="173"/>
      <c r="G21" s="173"/>
      <c r="H21" s="173"/>
      <c r="I21" s="173">
        <v>5</v>
      </c>
      <c r="J21" s="173"/>
      <c r="K21" s="173">
        <v>5</v>
      </c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>
        <v>9</v>
      </c>
      <c r="AB21" s="173"/>
      <c r="AC21" s="173">
        <v>9</v>
      </c>
    </row>
    <row r="22" spans="1:29" ht="24" customHeight="1" x14ac:dyDescent="0.35">
      <c r="A22" s="361">
        <v>18</v>
      </c>
      <c r="B22" s="341" t="s">
        <v>32</v>
      </c>
      <c r="C22" s="173">
        <v>3</v>
      </c>
      <c r="D22" s="173">
        <v>2</v>
      </c>
      <c r="E22" s="173">
        <v>5</v>
      </c>
      <c r="F22" s="173"/>
      <c r="G22" s="173"/>
      <c r="H22" s="173"/>
      <c r="I22" s="173">
        <v>3</v>
      </c>
      <c r="J22" s="173">
        <v>2</v>
      </c>
      <c r="K22" s="173">
        <v>5</v>
      </c>
      <c r="L22" s="173">
        <v>33</v>
      </c>
      <c r="M22" s="173">
        <v>40</v>
      </c>
      <c r="N22" s="173">
        <v>73</v>
      </c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>
        <v>39</v>
      </c>
      <c r="AB22" s="173">
        <v>44</v>
      </c>
      <c r="AC22" s="173">
        <v>83</v>
      </c>
    </row>
    <row r="23" spans="1:29" ht="24" customHeight="1" x14ac:dyDescent="0.35">
      <c r="A23" s="361">
        <v>19</v>
      </c>
      <c r="B23" s="341" t="s">
        <v>33</v>
      </c>
      <c r="C23" s="173">
        <v>7</v>
      </c>
      <c r="D23" s="173"/>
      <c r="E23" s="173">
        <v>7</v>
      </c>
      <c r="F23" s="173"/>
      <c r="G23" s="173"/>
      <c r="H23" s="173"/>
      <c r="I23" s="173"/>
      <c r="J23" s="173">
        <v>2</v>
      </c>
      <c r="K23" s="173">
        <v>2</v>
      </c>
      <c r="L23" s="173">
        <v>8</v>
      </c>
      <c r="M23" s="173">
        <v>6</v>
      </c>
      <c r="N23" s="173">
        <v>14</v>
      </c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>
        <v>15</v>
      </c>
      <c r="AB23" s="173">
        <v>8</v>
      </c>
      <c r="AC23" s="173">
        <v>23</v>
      </c>
    </row>
    <row r="24" spans="1:29" ht="24" customHeight="1" x14ac:dyDescent="0.35">
      <c r="A24" s="361">
        <v>20</v>
      </c>
      <c r="B24" s="341" t="s">
        <v>35</v>
      </c>
      <c r="C24" s="173">
        <v>12</v>
      </c>
      <c r="D24" s="173">
        <v>2</v>
      </c>
      <c r="E24" s="173">
        <v>14</v>
      </c>
      <c r="F24" s="173"/>
      <c r="G24" s="173"/>
      <c r="H24" s="173"/>
      <c r="I24" s="173">
        <v>67</v>
      </c>
      <c r="J24" s="173">
        <v>26</v>
      </c>
      <c r="K24" s="173">
        <v>93</v>
      </c>
      <c r="L24" s="173">
        <v>1979</v>
      </c>
      <c r="M24" s="173">
        <v>669</v>
      </c>
      <c r="N24" s="173">
        <v>2648</v>
      </c>
      <c r="O24" s="173"/>
      <c r="P24" s="173">
        <v>1</v>
      </c>
      <c r="Q24" s="173">
        <v>1</v>
      </c>
      <c r="R24" s="173"/>
      <c r="S24" s="173"/>
      <c r="T24" s="173"/>
      <c r="U24" s="173">
        <v>1</v>
      </c>
      <c r="V24" s="173"/>
      <c r="W24" s="173">
        <v>1</v>
      </c>
      <c r="X24" s="173">
        <v>28</v>
      </c>
      <c r="Y24" s="173">
        <v>44</v>
      </c>
      <c r="Z24" s="173">
        <v>72</v>
      </c>
      <c r="AA24" s="173">
        <v>2087</v>
      </c>
      <c r="AB24" s="173">
        <v>742</v>
      </c>
      <c r="AC24" s="173">
        <v>2829</v>
      </c>
    </row>
    <row r="25" spans="1:29" ht="24" customHeight="1" x14ac:dyDescent="0.35">
      <c r="A25" s="361">
        <v>21</v>
      </c>
      <c r="B25" s="341" t="s">
        <v>36</v>
      </c>
      <c r="C25" s="173">
        <v>11</v>
      </c>
      <c r="D25" s="173">
        <v>7</v>
      </c>
      <c r="E25" s="173">
        <v>18</v>
      </c>
      <c r="F25" s="173"/>
      <c r="G25" s="173"/>
      <c r="H25" s="173"/>
      <c r="I25" s="173">
        <v>87</v>
      </c>
      <c r="J25" s="173">
        <v>74</v>
      </c>
      <c r="K25" s="173">
        <v>161</v>
      </c>
      <c r="L25" s="173">
        <v>35</v>
      </c>
      <c r="M25" s="173">
        <v>32</v>
      </c>
      <c r="N25" s="173">
        <v>67</v>
      </c>
      <c r="O25" s="173"/>
      <c r="P25" s="173">
        <v>1</v>
      </c>
      <c r="Q25" s="173">
        <v>1</v>
      </c>
      <c r="R25" s="173"/>
      <c r="S25" s="173"/>
      <c r="T25" s="173"/>
      <c r="U25" s="173"/>
      <c r="V25" s="173"/>
      <c r="W25" s="173"/>
      <c r="X25" s="173">
        <v>1</v>
      </c>
      <c r="Y25" s="173"/>
      <c r="Z25" s="173">
        <v>1</v>
      </c>
      <c r="AA25" s="173">
        <v>134</v>
      </c>
      <c r="AB25" s="173">
        <v>114</v>
      </c>
      <c r="AC25" s="173">
        <v>248</v>
      </c>
    </row>
    <row r="26" spans="1:29" ht="24" customHeight="1" x14ac:dyDescent="0.35">
      <c r="A26" s="361">
        <v>22</v>
      </c>
      <c r="B26" s="341" t="s">
        <v>37</v>
      </c>
      <c r="C26" s="173">
        <v>205</v>
      </c>
      <c r="D26" s="173">
        <v>31</v>
      </c>
      <c r="E26" s="173">
        <v>236</v>
      </c>
      <c r="F26" s="173"/>
      <c r="G26" s="173"/>
      <c r="H26" s="173"/>
      <c r="I26" s="173">
        <v>648</v>
      </c>
      <c r="J26" s="173">
        <v>235</v>
      </c>
      <c r="K26" s="173">
        <v>883</v>
      </c>
      <c r="L26" s="173">
        <v>4239</v>
      </c>
      <c r="M26" s="173">
        <v>2041</v>
      </c>
      <c r="N26" s="173">
        <v>6280</v>
      </c>
      <c r="O26" s="173">
        <v>1</v>
      </c>
      <c r="P26" s="173"/>
      <c r="Q26" s="173">
        <v>1</v>
      </c>
      <c r="R26" s="173">
        <v>93</v>
      </c>
      <c r="S26" s="173">
        <v>63</v>
      </c>
      <c r="T26" s="173">
        <v>156</v>
      </c>
      <c r="U26" s="173">
        <v>1</v>
      </c>
      <c r="V26" s="173"/>
      <c r="W26" s="173">
        <v>1</v>
      </c>
      <c r="X26" s="173">
        <v>141</v>
      </c>
      <c r="Y26" s="173">
        <v>204</v>
      </c>
      <c r="Z26" s="173">
        <v>345</v>
      </c>
      <c r="AA26" s="173">
        <v>5328</v>
      </c>
      <c r="AB26" s="173">
        <v>2574</v>
      </c>
      <c r="AC26" s="173">
        <v>7902</v>
      </c>
    </row>
    <row r="27" spans="1:29" ht="24" customHeight="1" x14ac:dyDescent="0.35">
      <c r="A27" s="361">
        <v>23</v>
      </c>
      <c r="B27" s="341" t="s">
        <v>38</v>
      </c>
      <c r="C27" s="173">
        <v>74</v>
      </c>
      <c r="D27" s="173">
        <v>100</v>
      </c>
      <c r="E27" s="173">
        <v>174</v>
      </c>
      <c r="F27" s="173"/>
      <c r="G27" s="173"/>
      <c r="H27" s="173"/>
      <c r="I27" s="173">
        <v>153</v>
      </c>
      <c r="J27" s="173">
        <v>39</v>
      </c>
      <c r="K27" s="173">
        <v>192</v>
      </c>
      <c r="L27" s="173">
        <v>641</v>
      </c>
      <c r="M27" s="173">
        <v>317</v>
      </c>
      <c r="N27" s="173">
        <v>958</v>
      </c>
      <c r="O27" s="173"/>
      <c r="P27" s="173">
        <v>1</v>
      </c>
      <c r="Q27" s="173">
        <v>1</v>
      </c>
      <c r="R27" s="173">
        <v>31</v>
      </c>
      <c r="S27" s="173">
        <v>8</v>
      </c>
      <c r="T27" s="173">
        <v>39</v>
      </c>
      <c r="U27" s="173"/>
      <c r="V27" s="173"/>
      <c r="W27" s="173"/>
      <c r="X27" s="173">
        <v>16</v>
      </c>
      <c r="Y27" s="173">
        <v>12</v>
      </c>
      <c r="Z27" s="173">
        <v>28</v>
      </c>
      <c r="AA27" s="173">
        <v>915</v>
      </c>
      <c r="AB27" s="173">
        <v>477</v>
      </c>
      <c r="AC27" s="173">
        <v>1392</v>
      </c>
    </row>
    <row r="28" spans="1:29" ht="24" customHeight="1" x14ac:dyDescent="0.35">
      <c r="A28" s="361">
        <v>24</v>
      </c>
      <c r="B28" s="341" t="s">
        <v>39</v>
      </c>
      <c r="C28" s="173"/>
      <c r="D28" s="173"/>
      <c r="E28" s="173"/>
      <c r="F28" s="173"/>
      <c r="G28" s="173"/>
      <c r="H28" s="173"/>
      <c r="I28" s="173">
        <v>28</v>
      </c>
      <c r="J28" s="173">
        <v>20</v>
      </c>
      <c r="K28" s="173">
        <v>48</v>
      </c>
      <c r="L28" s="173">
        <v>109</v>
      </c>
      <c r="M28" s="173">
        <v>102</v>
      </c>
      <c r="N28" s="173">
        <v>211</v>
      </c>
      <c r="O28" s="173">
        <v>1</v>
      </c>
      <c r="P28" s="173"/>
      <c r="Q28" s="173">
        <v>1</v>
      </c>
      <c r="R28" s="173">
        <v>1</v>
      </c>
      <c r="S28" s="173"/>
      <c r="T28" s="173">
        <v>1</v>
      </c>
      <c r="U28" s="173"/>
      <c r="V28" s="173"/>
      <c r="W28" s="173"/>
      <c r="X28" s="173"/>
      <c r="Y28" s="173">
        <v>2</v>
      </c>
      <c r="Z28" s="173">
        <v>2</v>
      </c>
      <c r="AA28" s="173">
        <v>139</v>
      </c>
      <c r="AB28" s="173">
        <v>124</v>
      </c>
      <c r="AC28" s="173">
        <v>263</v>
      </c>
    </row>
    <row r="29" spans="1:29" ht="24" customHeight="1" x14ac:dyDescent="0.35">
      <c r="A29" s="361">
        <v>25</v>
      </c>
      <c r="B29" s="341" t="s">
        <v>40</v>
      </c>
      <c r="C29" s="173">
        <v>66</v>
      </c>
      <c r="D29" s="173">
        <v>33</v>
      </c>
      <c r="E29" s="173">
        <v>99</v>
      </c>
      <c r="F29" s="173"/>
      <c r="G29" s="173">
        <v>2</v>
      </c>
      <c r="H29" s="173">
        <v>2</v>
      </c>
      <c r="I29" s="173">
        <v>354</v>
      </c>
      <c r="J29" s="173">
        <v>277</v>
      </c>
      <c r="K29" s="173">
        <v>631</v>
      </c>
      <c r="L29" s="173">
        <v>3190</v>
      </c>
      <c r="M29" s="173">
        <v>1691</v>
      </c>
      <c r="N29" s="173">
        <v>4881</v>
      </c>
      <c r="O29" s="173"/>
      <c r="P29" s="173">
        <v>6</v>
      </c>
      <c r="Q29" s="173">
        <v>6</v>
      </c>
      <c r="R29" s="173">
        <v>12</v>
      </c>
      <c r="S29" s="173">
        <v>6</v>
      </c>
      <c r="T29" s="173">
        <v>18</v>
      </c>
      <c r="U29" s="173">
        <v>3</v>
      </c>
      <c r="V29" s="173"/>
      <c r="W29" s="173">
        <v>3</v>
      </c>
      <c r="X29" s="173">
        <v>34</v>
      </c>
      <c r="Y29" s="173">
        <v>20</v>
      </c>
      <c r="Z29" s="173">
        <v>54</v>
      </c>
      <c r="AA29" s="173">
        <v>3659</v>
      </c>
      <c r="AB29" s="173">
        <v>2035</v>
      </c>
      <c r="AC29" s="173">
        <v>5694</v>
      </c>
    </row>
    <row r="30" spans="1:29" ht="24" customHeight="1" x14ac:dyDescent="0.35">
      <c r="A30" s="361">
        <v>26</v>
      </c>
      <c r="B30" s="341" t="s">
        <v>41</v>
      </c>
      <c r="C30" s="173">
        <v>59</v>
      </c>
      <c r="D30" s="173">
        <v>28</v>
      </c>
      <c r="E30" s="173">
        <v>87</v>
      </c>
      <c r="F30" s="173"/>
      <c r="G30" s="173"/>
      <c r="H30" s="173"/>
      <c r="I30" s="173">
        <v>171</v>
      </c>
      <c r="J30" s="173">
        <v>69</v>
      </c>
      <c r="K30" s="173">
        <v>240</v>
      </c>
      <c r="L30" s="173">
        <v>691</v>
      </c>
      <c r="M30" s="173">
        <v>298</v>
      </c>
      <c r="N30" s="173">
        <v>989</v>
      </c>
      <c r="O30" s="173"/>
      <c r="P30" s="173"/>
      <c r="Q30" s="173"/>
      <c r="R30" s="173">
        <v>23</v>
      </c>
      <c r="S30" s="173"/>
      <c r="T30" s="173">
        <v>23</v>
      </c>
      <c r="U30" s="173">
        <v>22</v>
      </c>
      <c r="V30" s="173"/>
      <c r="W30" s="173">
        <v>22</v>
      </c>
      <c r="X30" s="173">
        <v>69</v>
      </c>
      <c r="Y30" s="173">
        <v>86</v>
      </c>
      <c r="Z30" s="173">
        <v>155</v>
      </c>
      <c r="AA30" s="173">
        <v>1035</v>
      </c>
      <c r="AB30" s="173">
        <v>481</v>
      </c>
      <c r="AC30" s="173">
        <v>1516</v>
      </c>
    </row>
    <row r="31" spans="1:29" ht="24" customHeight="1" x14ac:dyDescent="0.35">
      <c r="A31" s="361">
        <v>27</v>
      </c>
      <c r="B31" s="341" t="s">
        <v>42</v>
      </c>
      <c r="C31" s="173"/>
      <c r="D31" s="173"/>
      <c r="E31" s="173"/>
      <c r="F31" s="173"/>
      <c r="G31" s="173"/>
      <c r="H31" s="173"/>
      <c r="I31" s="173">
        <v>3</v>
      </c>
      <c r="J31" s="173">
        <v>1</v>
      </c>
      <c r="K31" s="173">
        <v>4</v>
      </c>
      <c r="L31" s="173">
        <v>3</v>
      </c>
      <c r="M31" s="173">
        <v>8</v>
      </c>
      <c r="N31" s="173">
        <v>11</v>
      </c>
      <c r="O31" s="173"/>
      <c r="P31" s="173"/>
      <c r="Q31" s="173"/>
      <c r="R31" s="173"/>
      <c r="S31" s="173">
        <v>1</v>
      </c>
      <c r="T31" s="173">
        <v>1</v>
      </c>
      <c r="U31" s="173"/>
      <c r="V31" s="173"/>
      <c r="W31" s="173"/>
      <c r="X31" s="173">
        <v>1</v>
      </c>
      <c r="Y31" s="173"/>
      <c r="Z31" s="173">
        <v>1</v>
      </c>
      <c r="AA31" s="173">
        <v>7</v>
      </c>
      <c r="AB31" s="173">
        <v>10</v>
      </c>
      <c r="AC31" s="173">
        <v>17</v>
      </c>
    </row>
    <row r="32" spans="1:29" ht="24" customHeight="1" x14ac:dyDescent="0.35">
      <c r="A32" s="361">
        <v>28</v>
      </c>
      <c r="B32" s="341" t="s">
        <v>43</v>
      </c>
      <c r="C32" s="173">
        <v>362</v>
      </c>
      <c r="D32" s="173">
        <v>118</v>
      </c>
      <c r="E32" s="173">
        <v>480</v>
      </c>
      <c r="F32" s="173">
        <v>9</v>
      </c>
      <c r="G32" s="173">
        <v>9</v>
      </c>
      <c r="H32" s="173">
        <v>18</v>
      </c>
      <c r="I32" s="173">
        <v>913</v>
      </c>
      <c r="J32" s="173">
        <v>469</v>
      </c>
      <c r="K32" s="173">
        <v>1382</v>
      </c>
      <c r="L32" s="173">
        <v>2350</v>
      </c>
      <c r="M32" s="173">
        <v>1402</v>
      </c>
      <c r="N32" s="173">
        <v>3752</v>
      </c>
      <c r="O32" s="173">
        <v>27</v>
      </c>
      <c r="P32" s="173">
        <v>10</v>
      </c>
      <c r="Q32" s="173">
        <v>37</v>
      </c>
      <c r="R32" s="173">
        <v>25</v>
      </c>
      <c r="S32" s="173">
        <v>31</v>
      </c>
      <c r="T32" s="173">
        <v>56</v>
      </c>
      <c r="U32" s="173">
        <v>45</v>
      </c>
      <c r="V32" s="173">
        <v>74</v>
      </c>
      <c r="W32" s="173">
        <v>119</v>
      </c>
      <c r="X32" s="173">
        <v>49</v>
      </c>
      <c r="Y32" s="173">
        <v>60</v>
      </c>
      <c r="Z32" s="173">
        <v>109</v>
      </c>
      <c r="AA32" s="173">
        <v>3780</v>
      </c>
      <c r="AB32" s="173">
        <v>2173</v>
      </c>
      <c r="AC32" s="173">
        <v>5953</v>
      </c>
    </row>
    <row r="33" spans="1:29" ht="24" customHeight="1" x14ac:dyDescent="0.35">
      <c r="A33" s="361">
        <v>29</v>
      </c>
      <c r="B33" s="341" t="s">
        <v>44</v>
      </c>
      <c r="C33" s="173">
        <v>2</v>
      </c>
      <c r="D33" s="173">
        <v>2</v>
      </c>
      <c r="E33" s="173">
        <v>4</v>
      </c>
      <c r="F33" s="173"/>
      <c r="G33" s="173"/>
      <c r="H33" s="173"/>
      <c r="I33" s="173">
        <v>223</v>
      </c>
      <c r="J33" s="173">
        <v>85</v>
      </c>
      <c r="K33" s="173">
        <v>308</v>
      </c>
      <c r="L33" s="173">
        <v>871</v>
      </c>
      <c r="M33" s="173">
        <v>303</v>
      </c>
      <c r="N33" s="173">
        <v>1174</v>
      </c>
      <c r="O33" s="173"/>
      <c r="P33" s="173"/>
      <c r="Q33" s="173"/>
      <c r="R33" s="173">
        <v>40</v>
      </c>
      <c r="S33" s="173">
        <v>5</v>
      </c>
      <c r="T33" s="173">
        <v>45</v>
      </c>
      <c r="U33" s="173">
        <v>5</v>
      </c>
      <c r="V33" s="173"/>
      <c r="W33" s="173">
        <v>5</v>
      </c>
      <c r="X33" s="173">
        <v>4</v>
      </c>
      <c r="Y33" s="173">
        <v>12</v>
      </c>
      <c r="Z33" s="173">
        <v>16</v>
      </c>
      <c r="AA33" s="173">
        <v>1145</v>
      </c>
      <c r="AB33" s="173">
        <v>407</v>
      </c>
      <c r="AC33" s="173">
        <v>1552</v>
      </c>
    </row>
    <row r="34" spans="1:29" ht="24" customHeight="1" x14ac:dyDescent="0.35">
      <c r="A34" s="361">
        <v>30</v>
      </c>
      <c r="B34" s="341" t="s">
        <v>45</v>
      </c>
      <c r="C34" s="173">
        <v>17</v>
      </c>
      <c r="D34" s="173">
        <v>13</v>
      </c>
      <c r="E34" s="173">
        <v>30</v>
      </c>
      <c r="F34" s="173"/>
      <c r="G34" s="173"/>
      <c r="H34" s="173"/>
      <c r="I34" s="173">
        <v>124</v>
      </c>
      <c r="J34" s="173">
        <v>93</v>
      </c>
      <c r="K34" s="173">
        <v>217</v>
      </c>
      <c r="L34" s="173">
        <v>371</v>
      </c>
      <c r="M34" s="173">
        <v>264</v>
      </c>
      <c r="N34" s="173">
        <v>635</v>
      </c>
      <c r="O34" s="173"/>
      <c r="P34" s="173"/>
      <c r="Q34" s="173"/>
      <c r="R34" s="173">
        <v>8</v>
      </c>
      <c r="S34" s="173">
        <v>4</v>
      </c>
      <c r="T34" s="173">
        <v>12</v>
      </c>
      <c r="U34" s="173">
        <v>1</v>
      </c>
      <c r="V34" s="173"/>
      <c r="W34" s="173">
        <v>1</v>
      </c>
      <c r="X34" s="173">
        <v>5</v>
      </c>
      <c r="Y34" s="173">
        <v>5</v>
      </c>
      <c r="Z34" s="173">
        <v>10</v>
      </c>
      <c r="AA34" s="173">
        <v>526</v>
      </c>
      <c r="AB34" s="173">
        <v>379</v>
      </c>
      <c r="AC34" s="173">
        <v>905</v>
      </c>
    </row>
    <row r="35" spans="1:29" s="176" customFormat="1" ht="24" customHeight="1" x14ac:dyDescent="0.3">
      <c r="A35" s="788" t="s">
        <v>46</v>
      </c>
      <c r="B35" s="788"/>
      <c r="C35" s="175">
        <v>1572</v>
      </c>
      <c r="D35" s="175">
        <v>623</v>
      </c>
      <c r="E35" s="175">
        <v>2195</v>
      </c>
      <c r="F35" s="175">
        <v>9</v>
      </c>
      <c r="G35" s="175">
        <v>13</v>
      </c>
      <c r="H35" s="175">
        <v>22</v>
      </c>
      <c r="I35" s="175">
        <v>6297</v>
      </c>
      <c r="J35" s="175">
        <v>3496</v>
      </c>
      <c r="K35" s="175">
        <v>9793</v>
      </c>
      <c r="L35" s="175">
        <v>27849</v>
      </c>
      <c r="M35" s="175">
        <v>14930</v>
      </c>
      <c r="N35" s="175">
        <v>42779</v>
      </c>
      <c r="O35" s="175">
        <v>179</v>
      </c>
      <c r="P35" s="175">
        <v>110</v>
      </c>
      <c r="Q35" s="175">
        <v>289</v>
      </c>
      <c r="R35" s="175">
        <v>738</v>
      </c>
      <c r="S35" s="175">
        <v>922</v>
      </c>
      <c r="T35" s="175">
        <v>1660</v>
      </c>
      <c r="U35" s="175">
        <v>123</v>
      </c>
      <c r="V35" s="175">
        <v>82</v>
      </c>
      <c r="W35" s="175">
        <v>205</v>
      </c>
      <c r="X35" s="175">
        <v>528</v>
      </c>
      <c r="Y35" s="175">
        <v>663</v>
      </c>
      <c r="Z35" s="175">
        <v>1191</v>
      </c>
      <c r="AA35" s="175">
        <v>37295</v>
      </c>
      <c r="AB35" s="175">
        <v>20839</v>
      </c>
      <c r="AC35" s="175">
        <v>58134</v>
      </c>
    </row>
  </sheetData>
  <mergeCells count="15">
    <mergeCell ref="A35:B35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59055118110236227" right="0.23622047244094491" top="0.39370078740157483" bottom="0.39370078740157483" header="0.31496062992125984" footer="0.19685039370078741"/>
  <pageSetup paperSize="9" scale="95" firstPageNumber="60" orientation="portrait" r:id="rId1"/>
  <headerFooter>
    <oddFooter>&amp;L&amp;"Arial,Italic"&amp;9AISHE 2023-24&amp;RT-17</oddFooter>
  </headerFooter>
  <colBreaks count="2" manualBreakCount="2">
    <brk id="11" max="1048575" man="1"/>
    <brk id="2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0DA0-EFFA-4D2B-B712-D2572AEF29FF}">
  <dimension ref="A1:F167"/>
  <sheetViews>
    <sheetView view="pageBreakPreview" zoomScaleNormal="100" zoomScaleSheetLayoutView="100" workbookViewId="0">
      <selection activeCell="B16" sqref="B16:M16"/>
    </sheetView>
  </sheetViews>
  <sheetFormatPr defaultColWidth="9.453125" defaultRowHeight="15.5" x14ac:dyDescent="0.35"/>
  <cols>
    <col min="1" max="1" width="7.453125" style="131" bestFit="1" customWidth="1"/>
    <col min="2" max="2" width="97.453125" style="183" bestFit="1" customWidth="1"/>
    <col min="3" max="5" width="10.26953125" style="131" customWidth="1"/>
    <col min="6" max="16384" width="9.453125" style="131"/>
  </cols>
  <sheetData>
    <row r="1" spans="1:5" s="178" customFormat="1" ht="36.75" customHeight="1" x14ac:dyDescent="0.35">
      <c r="A1" s="793" t="s">
        <v>1000</v>
      </c>
      <c r="B1" s="793"/>
      <c r="C1" s="793"/>
      <c r="D1" s="793"/>
      <c r="E1" s="793"/>
    </row>
    <row r="2" spans="1:5" ht="27.75" customHeight="1" x14ac:dyDescent="0.35">
      <c r="A2" s="179" t="s">
        <v>48</v>
      </c>
      <c r="B2" s="179" t="s">
        <v>124</v>
      </c>
      <c r="C2" s="180" t="s">
        <v>880</v>
      </c>
      <c r="D2" s="180" t="s">
        <v>881</v>
      </c>
      <c r="E2" s="180" t="s">
        <v>89</v>
      </c>
    </row>
    <row r="3" spans="1:5" s="550" customFormat="1" ht="10.5" x14ac:dyDescent="0.35">
      <c r="A3" s="381">
        <v>1</v>
      </c>
      <c r="B3" s="381">
        <v>2</v>
      </c>
      <c r="C3" s="381">
        <v>3</v>
      </c>
      <c r="D3" s="381">
        <v>4</v>
      </c>
      <c r="E3" s="381">
        <v>5</v>
      </c>
    </row>
    <row r="4" spans="1:5" ht="26.25" customHeight="1" x14ac:dyDescent="0.35">
      <c r="A4" s="358">
        <v>1</v>
      </c>
      <c r="B4" s="181" t="s">
        <v>231</v>
      </c>
      <c r="C4" s="25">
        <v>11775</v>
      </c>
      <c r="D4" s="25">
        <v>3125</v>
      </c>
      <c r="E4" s="25">
        <v>14900</v>
      </c>
    </row>
    <row r="5" spans="1:5" ht="26.25" customHeight="1" x14ac:dyDescent="0.35">
      <c r="A5" s="358">
        <v>2</v>
      </c>
      <c r="B5" s="181" t="s">
        <v>229</v>
      </c>
      <c r="C5" s="25">
        <v>2636</v>
      </c>
      <c r="D5" s="25">
        <v>1953</v>
      </c>
      <c r="E5" s="25">
        <v>4589</v>
      </c>
    </row>
    <row r="6" spans="1:5" ht="26.25" customHeight="1" x14ac:dyDescent="0.35">
      <c r="A6" s="358">
        <v>3</v>
      </c>
      <c r="B6" s="181" t="s">
        <v>146</v>
      </c>
      <c r="C6" s="25">
        <v>2074</v>
      </c>
      <c r="D6" s="25">
        <v>1567</v>
      </c>
      <c r="E6" s="25">
        <v>3641</v>
      </c>
    </row>
    <row r="7" spans="1:5" ht="26.25" customHeight="1" x14ac:dyDescent="0.35">
      <c r="A7" s="358">
        <v>4</v>
      </c>
      <c r="B7" s="181" t="s">
        <v>285</v>
      </c>
      <c r="C7" s="25">
        <v>2111</v>
      </c>
      <c r="D7" s="25">
        <v>1195</v>
      </c>
      <c r="E7" s="25">
        <v>3306</v>
      </c>
    </row>
    <row r="8" spans="1:5" ht="26.25" customHeight="1" x14ac:dyDescent="0.35">
      <c r="A8" s="358">
        <v>5</v>
      </c>
      <c r="B8" s="181" t="s">
        <v>167</v>
      </c>
      <c r="C8" s="25">
        <v>2415</v>
      </c>
      <c r="D8" s="25">
        <v>582</v>
      </c>
      <c r="E8" s="25">
        <v>2997</v>
      </c>
    </row>
    <row r="9" spans="1:5" ht="26.25" customHeight="1" x14ac:dyDescent="0.35">
      <c r="A9" s="358">
        <v>6</v>
      </c>
      <c r="B9" s="181" t="s">
        <v>207</v>
      </c>
      <c r="C9" s="25">
        <v>1406</v>
      </c>
      <c r="D9" s="25">
        <v>811</v>
      </c>
      <c r="E9" s="25">
        <v>2217</v>
      </c>
    </row>
    <row r="10" spans="1:5" ht="26.25" customHeight="1" x14ac:dyDescent="0.35">
      <c r="A10" s="358">
        <v>7</v>
      </c>
      <c r="B10" s="181" t="s">
        <v>160</v>
      </c>
      <c r="C10" s="25">
        <v>1320</v>
      </c>
      <c r="D10" s="25">
        <v>865</v>
      </c>
      <c r="E10" s="25">
        <v>2185</v>
      </c>
    </row>
    <row r="11" spans="1:5" ht="26.25" customHeight="1" x14ac:dyDescent="0.35">
      <c r="A11" s="358">
        <v>8</v>
      </c>
      <c r="B11" s="181" t="s">
        <v>377</v>
      </c>
      <c r="C11" s="27">
        <v>1555</v>
      </c>
      <c r="D11" s="25">
        <v>615</v>
      </c>
      <c r="E11" s="25">
        <v>2170</v>
      </c>
    </row>
    <row r="12" spans="1:5" ht="26.25" customHeight="1" x14ac:dyDescent="0.35">
      <c r="A12" s="358">
        <v>9</v>
      </c>
      <c r="B12" s="181" t="s">
        <v>153</v>
      </c>
      <c r="C12" s="25">
        <v>1693</v>
      </c>
      <c r="D12" s="25">
        <v>454</v>
      </c>
      <c r="E12" s="25">
        <v>2147</v>
      </c>
    </row>
    <row r="13" spans="1:5" ht="26.25" customHeight="1" x14ac:dyDescent="0.35">
      <c r="A13" s="358">
        <v>10</v>
      </c>
      <c r="B13" s="181" t="s">
        <v>358</v>
      </c>
      <c r="C13" s="25">
        <v>1155</v>
      </c>
      <c r="D13" s="25">
        <v>648</v>
      </c>
      <c r="E13" s="25">
        <v>1803</v>
      </c>
    </row>
    <row r="14" spans="1:5" ht="26.25" customHeight="1" x14ac:dyDescent="0.35">
      <c r="A14" s="358">
        <v>11</v>
      </c>
      <c r="B14" s="181" t="s">
        <v>139</v>
      </c>
      <c r="C14" s="25">
        <v>712</v>
      </c>
      <c r="D14" s="25">
        <v>1017</v>
      </c>
      <c r="E14" s="25">
        <v>1729</v>
      </c>
    </row>
    <row r="15" spans="1:5" ht="26.25" customHeight="1" x14ac:dyDescent="0.35">
      <c r="A15" s="358">
        <v>12</v>
      </c>
      <c r="B15" s="181" t="s">
        <v>283</v>
      </c>
      <c r="C15" s="25">
        <v>674</v>
      </c>
      <c r="D15" s="25">
        <v>557</v>
      </c>
      <c r="E15" s="25">
        <v>1231</v>
      </c>
    </row>
    <row r="16" spans="1:5" ht="26.25" customHeight="1" x14ac:dyDescent="0.35">
      <c r="A16" s="358">
        <v>13</v>
      </c>
      <c r="B16" s="181" t="s">
        <v>261</v>
      </c>
      <c r="C16" s="25">
        <v>596</v>
      </c>
      <c r="D16" s="25">
        <v>576</v>
      </c>
      <c r="E16" s="25">
        <v>1172</v>
      </c>
    </row>
    <row r="17" spans="1:5" ht="26.25" customHeight="1" x14ac:dyDescent="0.35">
      <c r="A17" s="358">
        <v>14</v>
      </c>
      <c r="B17" s="181" t="s">
        <v>288</v>
      </c>
      <c r="C17" s="25">
        <v>448</v>
      </c>
      <c r="D17" s="25">
        <v>669</v>
      </c>
      <c r="E17" s="25">
        <v>1117</v>
      </c>
    </row>
    <row r="18" spans="1:5" ht="26.25" customHeight="1" x14ac:dyDescent="0.35">
      <c r="A18" s="358">
        <v>15</v>
      </c>
      <c r="B18" s="181" t="s">
        <v>224</v>
      </c>
      <c r="C18" s="25">
        <v>575</v>
      </c>
      <c r="D18" s="25">
        <v>493</v>
      </c>
      <c r="E18" s="25">
        <v>1068</v>
      </c>
    </row>
    <row r="19" spans="1:5" ht="26.25" customHeight="1" x14ac:dyDescent="0.35">
      <c r="A19" s="358">
        <v>16</v>
      </c>
      <c r="B19" s="181" t="s">
        <v>361</v>
      </c>
      <c r="C19" s="25">
        <v>740</v>
      </c>
      <c r="D19" s="25">
        <v>195</v>
      </c>
      <c r="E19" s="25">
        <v>935</v>
      </c>
    </row>
    <row r="20" spans="1:5" ht="26.25" customHeight="1" x14ac:dyDescent="0.35">
      <c r="A20" s="358">
        <v>17</v>
      </c>
      <c r="B20" s="181" t="s">
        <v>225</v>
      </c>
      <c r="C20" s="25">
        <v>227</v>
      </c>
      <c r="D20" s="25">
        <v>642</v>
      </c>
      <c r="E20" s="25">
        <v>869</v>
      </c>
    </row>
    <row r="21" spans="1:5" ht="26.25" customHeight="1" x14ac:dyDescent="0.35">
      <c r="A21" s="358">
        <v>18</v>
      </c>
      <c r="B21" s="181" t="s">
        <v>138</v>
      </c>
      <c r="C21" s="25">
        <v>203</v>
      </c>
      <c r="D21" s="25">
        <v>446</v>
      </c>
      <c r="E21" s="25">
        <v>649</v>
      </c>
    </row>
    <row r="22" spans="1:5" ht="26.25" customHeight="1" x14ac:dyDescent="0.35">
      <c r="A22" s="358">
        <v>19</v>
      </c>
      <c r="B22" s="181" t="s">
        <v>136</v>
      </c>
      <c r="C22" s="25">
        <v>248</v>
      </c>
      <c r="D22" s="25">
        <v>336</v>
      </c>
      <c r="E22" s="25">
        <v>584</v>
      </c>
    </row>
    <row r="23" spans="1:5" ht="26.25" customHeight="1" x14ac:dyDescent="0.35">
      <c r="A23" s="358">
        <v>20</v>
      </c>
      <c r="B23" s="181" t="s">
        <v>205</v>
      </c>
      <c r="C23" s="25">
        <v>238</v>
      </c>
      <c r="D23" s="25">
        <v>318</v>
      </c>
      <c r="E23" s="25">
        <v>556</v>
      </c>
    </row>
    <row r="24" spans="1:5" ht="26.25" customHeight="1" x14ac:dyDescent="0.35">
      <c r="A24" s="358">
        <v>21</v>
      </c>
      <c r="B24" s="181" t="s">
        <v>266</v>
      </c>
      <c r="C24" s="25">
        <v>113</v>
      </c>
      <c r="D24" s="25">
        <v>322</v>
      </c>
      <c r="E24" s="25">
        <v>435</v>
      </c>
    </row>
    <row r="25" spans="1:5" ht="26.25" customHeight="1" x14ac:dyDescent="0.35">
      <c r="A25" s="358">
        <v>22</v>
      </c>
      <c r="B25" s="181" t="s">
        <v>293</v>
      </c>
      <c r="C25" s="25">
        <v>208</v>
      </c>
      <c r="D25" s="25">
        <v>186</v>
      </c>
      <c r="E25" s="25">
        <v>394</v>
      </c>
    </row>
    <row r="26" spans="1:5" ht="26.25" customHeight="1" x14ac:dyDescent="0.35">
      <c r="A26" s="358">
        <v>23</v>
      </c>
      <c r="B26" s="181" t="s">
        <v>165</v>
      </c>
      <c r="C26" s="25">
        <v>106</v>
      </c>
      <c r="D26" s="25">
        <v>287</v>
      </c>
      <c r="E26" s="25">
        <v>393</v>
      </c>
    </row>
    <row r="27" spans="1:5" ht="26.25" customHeight="1" x14ac:dyDescent="0.35">
      <c r="A27" s="358">
        <v>24</v>
      </c>
      <c r="B27" s="181" t="s">
        <v>143</v>
      </c>
      <c r="C27" s="25">
        <v>243</v>
      </c>
      <c r="D27" s="25">
        <v>128</v>
      </c>
      <c r="E27" s="25">
        <v>371</v>
      </c>
    </row>
    <row r="28" spans="1:5" ht="26.25" customHeight="1" x14ac:dyDescent="0.35">
      <c r="A28" s="358">
        <v>25</v>
      </c>
      <c r="B28" s="181" t="s">
        <v>145</v>
      </c>
      <c r="C28" s="25">
        <v>201</v>
      </c>
      <c r="D28" s="25">
        <v>132</v>
      </c>
      <c r="E28" s="25">
        <v>333</v>
      </c>
    </row>
    <row r="29" spans="1:5" ht="26.25" customHeight="1" x14ac:dyDescent="0.35">
      <c r="A29" s="358">
        <v>26</v>
      </c>
      <c r="B29" s="181" t="s">
        <v>289</v>
      </c>
      <c r="C29" s="25">
        <v>259</v>
      </c>
      <c r="D29" s="25">
        <v>37</v>
      </c>
      <c r="E29" s="25">
        <v>296</v>
      </c>
    </row>
    <row r="30" spans="1:5" ht="26.25" customHeight="1" x14ac:dyDescent="0.35">
      <c r="A30" s="358">
        <v>27</v>
      </c>
      <c r="B30" s="181" t="s">
        <v>144</v>
      </c>
      <c r="C30" s="25">
        <v>128</v>
      </c>
      <c r="D30" s="25">
        <v>165</v>
      </c>
      <c r="E30" s="25">
        <v>293</v>
      </c>
    </row>
    <row r="31" spans="1:5" ht="26.25" customHeight="1" x14ac:dyDescent="0.35">
      <c r="A31" s="358">
        <v>28</v>
      </c>
      <c r="B31" s="181" t="s">
        <v>381</v>
      </c>
      <c r="C31" s="25">
        <v>179</v>
      </c>
      <c r="D31" s="25">
        <v>110</v>
      </c>
      <c r="E31" s="25">
        <v>289</v>
      </c>
    </row>
    <row r="32" spans="1:5" ht="26.25" customHeight="1" x14ac:dyDescent="0.35">
      <c r="A32" s="358">
        <v>29</v>
      </c>
      <c r="B32" s="181" t="s">
        <v>152</v>
      </c>
      <c r="C32" s="25">
        <v>189</v>
      </c>
      <c r="D32" s="25">
        <v>81</v>
      </c>
      <c r="E32" s="25">
        <v>270</v>
      </c>
    </row>
    <row r="33" spans="1:5" ht="26.25" customHeight="1" x14ac:dyDescent="0.35">
      <c r="A33" s="358">
        <v>30</v>
      </c>
      <c r="B33" s="181" t="s">
        <v>278</v>
      </c>
      <c r="C33" s="25">
        <v>113</v>
      </c>
      <c r="D33" s="25">
        <v>155</v>
      </c>
      <c r="E33" s="25">
        <v>268</v>
      </c>
    </row>
    <row r="34" spans="1:5" ht="26.25" customHeight="1" x14ac:dyDescent="0.35">
      <c r="A34" s="358">
        <v>31</v>
      </c>
      <c r="B34" s="181" t="s">
        <v>198</v>
      </c>
      <c r="C34" s="25">
        <v>85</v>
      </c>
      <c r="D34" s="25">
        <v>158</v>
      </c>
      <c r="E34" s="25">
        <v>243</v>
      </c>
    </row>
    <row r="35" spans="1:5" ht="26.25" customHeight="1" x14ac:dyDescent="0.35">
      <c r="A35" s="358">
        <v>32</v>
      </c>
      <c r="B35" s="181" t="s">
        <v>149</v>
      </c>
      <c r="C35" s="25">
        <v>91</v>
      </c>
      <c r="D35" s="25">
        <v>149</v>
      </c>
      <c r="E35" s="25">
        <v>240</v>
      </c>
    </row>
    <row r="36" spans="1:5" ht="26.25" customHeight="1" x14ac:dyDescent="0.35">
      <c r="A36" s="358">
        <v>33</v>
      </c>
      <c r="B36" s="181" t="s">
        <v>159</v>
      </c>
      <c r="C36" s="25">
        <v>134</v>
      </c>
      <c r="D36" s="25">
        <v>106</v>
      </c>
      <c r="E36" s="25">
        <v>240</v>
      </c>
    </row>
    <row r="37" spans="1:5" ht="26.25" customHeight="1" x14ac:dyDescent="0.35">
      <c r="A37" s="358">
        <v>34</v>
      </c>
      <c r="B37" s="181" t="s">
        <v>292</v>
      </c>
      <c r="C37" s="25">
        <v>151</v>
      </c>
      <c r="D37" s="25">
        <v>59</v>
      </c>
      <c r="E37" s="25">
        <v>210</v>
      </c>
    </row>
    <row r="38" spans="1:5" ht="26.25" customHeight="1" x14ac:dyDescent="0.35">
      <c r="A38" s="358">
        <v>35</v>
      </c>
      <c r="B38" s="181" t="s">
        <v>245</v>
      </c>
      <c r="C38" s="25">
        <v>123</v>
      </c>
      <c r="D38" s="25">
        <v>82</v>
      </c>
      <c r="E38" s="25">
        <v>205</v>
      </c>
    </row>
    <row r="39" spans="1:5" ht="26.25" customHeight="1" x14ac:dyDescent="0.35">
      <c r="A39" s="358">
        <v>36</v>
      </c>
      <c r="B39" s="181" t="s">
        <v>378</v>
      </c>
      <c r="C39" s="25">
        <v>108</v>
      </c>
      <c r="D39" s="25">
        <v>96</v>
      </c>
      <c r="E39" s="25">
        <v>204</v>
      </c>
    </row>
    <row r="40" spans="1:5" ht="26.25" customHeight="1" x14ac:dyDescent="0.35">
      <c r="A40" s="358">
        <v>37</v>
      </c>
      <c r="B40" s="181" t="s">
        <v>383</v>
      </c>
      <c r="C40" s="25">
        <v>196</v>
      </c>
      <c r="D40" s="25">
        <v>5</v>
      </c>
      <c r="E40" s="25">
        <v>201</v>
      </c>
    </row>
    <row r="41" spans="1:5" ht="26.25" customHeight="1" x14ac:dyDescent="0.35">
      <c r="A41" s="358">
        <v>38</v>
      </c>
      <c r="B41" s="181" t="s">
        <v>336</v>
      </c>
      <c r="C41" s="25">
        <v>114</v>
      </c>
      <c r="D41" s="25">
        <v>85</v>
      </c>
      <c r="E41" s="25">
        <v>199</v>
      </c>
    </row>
    <row r="42" spans="1:5" ht="26.25" customHeight="1" x14ac:dyDescent="0.35">
      <c r="A42" s="358">
        <v>39</v>
      </c>
      <c r="B42" s="181" t="s">
        <v>192</v>
      </c>
      <c r="C42" s="25">
        <v>120</v>
      </c>
      <c r="D42" s="25">
        <v>72</v>
      </c>
      <c r="E42" s="25">
        <v>192</v>
      </c>
    </row>
    <row r="43" spans="1:5" ht="26.25" customHeight="1" x14ac:dyDescent="0.35">
      <c r="A43" s="358">
        <v>40</v>
      </c>
      <c r="B43" s="181" t="s">
        <v>298</v>
      </c>
      <c r="C43" s="25">
        <v>164</v>
      </c>
      <c r="D43" s="25">
        <v>14</v>
      </c>
      <c r="E43" s="25">
        <v>178</v>
      </c>
    </row>
    <row r="44" spans="1:5" ht="26.25" customHeight="1" x14ac:dyDescent="0.35">
      <c r="A44" s="358">
        <v>41</v>
      </c>
      <c r="B44" s="181" t="s">
        <v>331</v>
      </c>
      <c r="C44" s="25">
        <v>117</v>
      </c>
      <c r="D44" s="25">
        <v>59</v>
      </c>
      <c r="E44" s="25">
        <v>176</v>
      </c>
    </row>
    <row r="45" spans="1:5" ht="26.25" customHeight="1" x14ac:dyDescent="0.35">
      <c r="A45" s="358">
        <v>42</v>
      </c>
      <c r="B45" s="181" t="s">
        <v>176</v>
      </c>
      <c r="C45" s="25">
        <v>83</v>
      </c>
      <c r="D45" s="25">
        <v>61</v>
      </c>
      <c r="E45" s="25">
        <v>144</v>
      </c>
    </row>
    <row r="46" spans="1:5" ht="26.25" customHeight="1" x14ac:dyDescent="0.35">
      <c r="A46" s="358">
        <v>43</v>
      </c>
      <c r="B46" s="181" t="s">
        <v>275</v>
      </c>
      <c r="C46" s="25">
        <v>55</v>
      </c>
      <c r="D46" s="25">
        <v>45</v>
      </c>
      <c r="E46" s="25">
        <v>100</v>
      </c>
    </row>
    <row r="47" spans="1:5" ht="26.25" customHeight="1" x14ac:dyDescent="0.35">
      <c r="A47" s="358">
        <v>44</v>
      </c>
      <c r="B47" s="181" t="s">
        <v>214</v>
      </c>
      <c r="C47" s="25">
        <v>32</v>
      </c>
      <c r="D47" s="25">
        <v>66</v>
      </c>
      <c r="E47" s="25">
        <v>98</v>
      </c>
    </row>
    <row r="48" spans="1:5" ht="26.25" customHeight="1" x14ac:dyDescent="0.35">
      <c r="A48" s="358">
        <v>45</v>
      </c>
      <c r="B48" s="181" t="s">
        <v>232</v>
      </c>
      <c r="C48" s="25">
        <v>43</v>
      </c>
      <c r="D48" s="25">
        <v>51</v>
      </c>
      <c r="E48" s="25">
        <v>94</v>
      </c>
    </row>
    <row r="49" spans="1:5" ht="26.25" customHeight="1" x14ac:dyDescent="0.35">
      <c r="A49" s="358">
        <v>46</v>
      </c>
      <c r="B49" s="181" t="s">
        <v>185</v>
      </c>
      <c r="C49" s="25">
        <v>43</v>
      </c>
      <c r="D49" s="25">
        <v>51</v>
      </c>
      <c r="E49" s="25">
        <v>94</v>
      </c>
    </row>
    <row r="50" spans="1:5" ht="26.25" customHeight="1" x14ac:dyDescent="0.35">
      <c r="A50" s="358">
        <v>47</v>
      </c>
      <c r="B50" s="181" t="s">
        <v>327</v>
      </c>
      <c r="C50" s="25">
        <v>52</v>
      </c>
      <c r="D50" s="25">
        <v>41</v>
      </c>
      <c r="E50" s="25">
        <v>93</v>
      </c>
    </row>
    <row r="51" spans="1:5" ht="26.25" customHeight="1" x14ac:dyDescent="0.35">
      <c r="A51" s="358">
        <v>48</v>
      </c>
      <c r="B51" s="181" t="s">
        <v>177</v>
      </c>
      <c r="C51" s="25">
        <v>71</v>
      </c>
      <c r="D51" s="25">
        <v>22</v>
      </c>
      <c r="E51" s="25">
        <v>93</v>
      </c>
    </row>
    <row r="52" spans="1:5" ht="26.25" customHeight="1" x14ac:dyDescent="0.35">
      <c r="A52" s="358">
        <v>49</v>
      </c>
      <c r="B52" s="181" t="s">
        <v>171</v>
      </c>
      <c r="C52" s="25">
        <v>41</v>
      </c>
      <c r="D52" s="25">
        <v>38</v>
      </c>
      <c r="E52" s="25">
        <v>79</v>
      </c>
    </row>
    <row r="53" spans="1:5" ht="26.25" customHeight="1" x14ac:dyDescent="0.35">
      <c r="A53" s="358">
        <v>50</v>
      </c>
      <c r="B53" s="181" t="s">
        <v>130</v>
      </c>
      <c r="C53" s="25">
        <v>76</v>
      </c>
      <c r="D53" s="25">
        <v>2</v>
      </c>
      <c r="E53" s="25">
        <v>78</v>
      </c>
    </row>
    <row r="54" spans="1:5" ht="26.25" customHeight="1" x14ac:dyDescent="0.35">
      <c r="A54" s="358">
        <v>51</v>
      </c>
      <c r="B54" s="181" t="s">
        <v>199</v>
      </c>
      <c r="C54" s="25">
        <v>23</v>
      </c>
      <c r="D54" s="25">
        <v>51</v>
      </c>
      <c r="E54" s="25">
        <v>74</v>
      </c>
    </row>
    <row r="55" spans="1:5" ht="26.25" customHeight="1" x14ac:dyDescent="0.35">
      <c r="A55" s="358">
        <v>52</v>
      </c>
      <c r="B55" s="181" t="s">
        <v>280</v>
      </c>
      <c r="C55" s="25">
        <v>45</v>
      </c>
      <c r="D55" s="25">
        <v>28</v>
      </c>
      <c r="E55" s="25">
        <v>73</v>
      </c>
    </row>
    <row r="56" spans="1:5" ht="26.25" customHeight="1" x14ac:dyDescent="0.35">
      <c r="A56" s="358">
        <v>53</v>
      </c>
      <c r="B56" s="181" t="s">
        <v>162</v>
      </c>
      <c r="C56" s="25">
        <v>22</v>
      </c>
      <c r="D56" s="25">
        <v>49</v>
      </c>
      <c r="E56" s="25">
        <v>71</v>
      </c>
    </row>
    <row r="57" spans="1:5" ht="26.25" customHeight="1" x14ac:dyDescent="0.35">
      <c r="A57" s="358">
        <v>54</v>
      </c>
      <c r="B57" s="181" t="s">
        <v>330</v>
      </c>
      <c r="C57" s="25">
        <v>31</v>
      </c>
      <c r="D57" s="25">
        <v>35</v>
      </c>
      <c r="E57" s="25">
        <v>66</v>
      </c>
    </row>
    <row r="58" spans="1:5" ht="26.25" customHeight="1" x14ac:dyDescent="0.35">
      <c r="A58" s="358">
        <v>55</v>
      </c>
      <c r="B58" s="181" t="s">
        <v>141</v>
      </c>
      <c r="C58" s="25">
        <v>26</v>
      </c>
      <c r="D58" s="25">
        <v>36</v>
      </c>
      <c r="E58" s="25">
        <v>62</v>
      </c>
    </row>
    <row r="59" spans="1:5" ht="26.25" customHeight="1" x14ac:dyDescent="0.35">
      <c r="A59" s="358">
        <v>56</v>
      </c>
      <c r="B59" s="181" t="s">
        <v>236</v>
      </c>
      <c r="C59" s="25">
        <v>40</v>
      </c>
      <c r="D59" s="25">
        <v>22</v>
      </c>
      <c r="E59" s="25">
        <v>62</v>
      </c>
    </row>
    <row r="60" spans="1:5" ht="26.25" customHeight="1" x14ac:dyDescent="0.35">
      <c r="A60" s="358">
        <v>57</v>
      </c>
      <c r="B60" s="181" t="s">
        <v>161</v>
      </c>
      <c r="C60" s="25">
        <v>33</v>
      </c>
      <c r="D60" s="25">
        <v>28</v>
      </c>
      <c r="E60" s="25">
        <v>61</v>
      </c>
    </row>
    <row r="61" spans="1:5" ht="26.25" customHeight="1" x14ac:dyDescent="0.35">
      <c r="A61" s="358">
        <v>58</v>
      </c>
      <c r="B61" s="181" t="s">
        <v>178</v>
      </c>
      <c r="C61" s="25">
        <v>20</v>
      </c>
      <c r="D61" s="25">
        <v>40</v>
      </c>
      <c r="E61" s="25">
        <v>60</v>
      </c>
    </row>
    <row r="62" spans="1:5" ht="26.25" customHeight="1" x14ac:dyDescent="0.35">
      <c r="A62" s="358">
        <v>59</v>
      </c>
      <c r="B62" s="181" t="s">
        <v>375</v>
      </c>
      <c r="C62" s="25">
        <v>32</v>
      </c>
      <c r="D62" s="25">
        <v>26</v>
      </c>
      <c r="E62" s="25">
        <v>58</v>
      </c>
    </row>
    <row r="63" spans="1:5" ht="26.25" customHeight="1" x14ac:dyDescent="0.35">
      <c r="A63" s="358">
        <v>60</v>
      </c>
      <c r="B63" s="181" t="s">
        <v>226</v>
      </c>
      <c r="C63" s="25">
        <v>10</v>
      </c>
      <c r="D63" s="25">
        <v>45</v>
      </c>
      <c r="E63" s="25">
        <v>55</v>
      </c>
    </row>
    <row r="64" spans="1:5" ht="26.25" customHeight="1" x14ac:dyDescent="0.35">
      <c r="A64" s="358">
        <v>61</v>
      </c>
      <c r="B64" s="181" t="s">
        <v>337</v>
      </c>
      <c r="C64" s="25">
        <v>22</v>
      </c>
      <c r="D64" s="25">
        <v>30</v>
      </c>
      <c r="E64" s="25">
        <v>52</v>
      </c>
    </row>
    <row r="65" spans="1:5" ht="26.25" customHeight="1" x14ac:dyDescent="0.35">
      <c r="A65" s="358">
        <v>62</v>
      </c>
      <c r="B65" s="181" t="s">
        <v>186</v>
      </c>
      <c r="C65" s="25">
        <v>23</v>
      </c>
      <c r="D65" s="25">
        <v>24</v>
      </c>
      <c r="E65" s="25">
        <v>47</v>
      </c>
    </row>
    <row r="66" spans="1:5" ht="26.25" customHeight="1" x14ac:dyDescent="0.35">
      <c r="A66" s="358">
        <v>63</v>
      </c>
      <c r="B66" s="181" t="s">
        <v>237</v>
      </c>
      <c r="C66" s="25">
        <v>30</v>
      </c>
      <c r="D66" s="25">
        <v>12</v>
      </c>
      <c r="E66" s="25">
        <v>42</v>
      </c>
    </row>
    <row r="67" spans="1:5" ht="26.25" customHeight="1" x14ac:dyDescent="0.35">
      <c r="A67" s="358">
        <v>64</v>
      </c>
      <c r="B67" s="181" t="s">
        <v>169</v>
      </c>
      <c r="C67" s="25">
        <v>3</v>
      </c>
      <c r="D67" s="25">
        <v>37</v>
      </c>
      <c r="E67" s="25">
        <v>40</v>
      </c>
    </row>
    <row r="68" spans="1:5" ht="26.25" customHeight="1" x14ac:dyDescent="0.35">
      <c r="A68" s="358">
        <v>65</v>
      </c>
      <c r="B68" s="181" t="s">
        <v>235</v>
      </c>
      <c r="C68" s="25">
        <v>15</v>
      </c>
      <c r="D68" s="25">
        <v>25</v>
      </c>
      <c r="E68" s="25">
        <v>40</v>
      </c>
    </row>
    <row r="69" spans="1:5" ht="26.25" customHeight="1" x14ac:dyDescent="0.35">
      <c r="A69" s="358">
        <v>66</v>
      </c>
      <c r="B69" s="181" t="s">
        <v>348</v>
      </c>
      <c r="C69" s="25">
        <v>21</v>
      </c>
      <c r="D69" s="25">
        <v>14</v>
      </c>
      <c r="E69" s="25">
        <v>35</v>
      </c>
    </row>
    <row r="70" spans="1:5" ht="26.25" customHeight="1" x14ac:dyDescent="0.35">
      <c r="A70" s="358">
        <v>67</v>
      </c>
      <c r="B70" s="181" t="s">
        <v>150</v>
      </c>
      <c r="C70" s="25">
        <v>26</v>
      </c>
      <c r="D70" s="25">
        <v>7</v>
      </c>
      <c r="E70" s="25">
        <v>33</v>
      </c>
    </row>
    <row r="71" spans="1:5" ht="26.25" customHeight="1" x14ac:dyDescent="0.35">
      <c r="A71" s="358">
        <v>68</v>
      </c>
      <c r="B71" s="181" t="s">
        <v>184</v>
      </c>
      <c r="C71" s="25">
        <v>13</v>
      </c>
      <c r="D71" s="25">
        <v>17</v>
      </c>
      <c r="E71" s="25">
        <v>30</v>
      </c>
    </row>
    <row r="72" spans="1:5" ht="26.25" customHeight="1" x14ac:dyDescent="0.35">
      <c r="A72" s="358">
        <v>69</v>
      </c>
      <c r="B72" s="181" t="s">
        <v>346</v>
      </c>
      <c r="C72" s="25">
        <v>8</v>
      </c>
      <c r="D72" s="25">
        <v>21</v>
      </c>
      <c r="E72" s="25">
        <v>29</v>
      </c>
    </row>
    <row r="73" spans="1:5" ht="26.25" customHeight="1" x14ac:dyDescent="0.35">
      <c r="A73" s="358">
        <v>70</v>
      </c>
      <c r="B73" s="181" t="s">
        <v>300</v>
      </c>
      <c r="C73" s="25">
        <v>15</v>
      </c>
      <c r="D73" s="25">
        <v>13</v>
      </c>
      <c r="E73" s="25">
        <v>28</v>
      </c>
    </row>
    <row r="74" spans="1:5" ht="26.25" customHeight="1" x14ac:dyDescent="0.35">
      <c r="A74" s="358">
        <v>71</v>
      </c>
      <c r="B74" s="181" t="s">
        <v>190</v>
      </c>
      <c r="C74" s="25">
        <v>14</v>
      </c>
      <c r="D74" s="25">
        <v>14</v>
      </c>
      <c r="E74" s="25">
        <v>28</v>
      </c>
    </row>
    <row r="75" spans="1:5" ht="26.25" customHeight="1" x14ac:dyDescent="0.35">
      <c r="A75" s="358">
        <v>72</v>
      </c>
      <c r="B75" s="181" t="s">
        <v>255</v>
      </c>
      <c r="C75" s="25">
        <v>20</v>
      </c>
      <c r="D75" s="25">
        <v>7</v>
      </c>
      <c r="E75" s="25">
        <v>27</v>
      </c>
    </row>
    <row r="76" spans="1:5" ht="26.25" customHeight="1" x14ac:dyDescent="0.35">
      <c r="A76" s="358">
        <v>73</v>
      </c>
      <c r="B76" s="181" t="s">
        <v>251</v>
      </c>
      <c r="C76" s="25">
        <v>9</v>
      </c>
      <c r="D76" s="25">
        <v>17</v>
      </c>
      <c r="E76" s="25">
        <v>26</v>
      </c>
    </row>
    <row r="77" spans="1:5" ht="26.25" customHeight="1" x14ac:dyDescent="0.35">
      <c r="A77" s="358">
        <v>74</v>
      </c>
      <c r="B77" s="181" t="s">
        <v>271</v>
      </c>
      <c r="C77" s="25">
        <v>14</v>
      </c>
      <c r="D77" s="25">
        <v>12</v>
      </c>
      <c r="E77" s="25">
        <v>26</v>
      </c>
    </row>
    <row r="78" spans="1:5" ht="26.25" customHeight="1" x14ac:dyDescent="0.35">
      <c r="A78" s="358">
        <v>75</v>
      </c>
      <c r="B78" s="181" t="s">
        <v>270</v>
      </c>
      <c r="C78" s="25">
        <v>9</v>
      </c>
      <c r="D78" s="25">
        <v>16</v>
      </c>
      <c r="E78" s="25">
        <v>25</v>
      </c>
    </row>
    <row r="79" spans="1:5" ht="26.25" customHeight="1" x14ac:dyDescent="0.35">
      <c r="A79" s="358">
        <v>76</v>
      </c>
      <c r="B79" s="181" t="s">
        <v>294</v>
      </c>
      <c r="C79" s="25">
        <v>7</v>
      </c>
      <c r="D79" s="25">
        <v>17</v>
      </c>
      <c r="E79" s="25">
        <v>24</v>
      </c>
    </row>
    <row r="80" spans="1:5" ht="26.25" customHeight="1" x14ac:dyDescent="0.35">
      <c r="A80" s="358">
        <v>77</v>
      </c>
      <c r="B80" s="181" t="s">
        <v>323</v>
      </c>
      <c r="C80" s="25">
        <v>8</v>
      </c>
      <c r="D80" s="25">
        <v>16</v>
      </c>
      <c r="E80" s="25">
        <v>24</v>
      </c>
    </row>
    <row r="81" spans="1:5" ht="26.25" customHeight="1" x14ac:dyDescent="0.35">
      <c r="A81" s="358">
        <v>78</v>
      </c>
      <c r="B81" s="181" t="s">
        <v>374</v>
      </c>
      <c r="C81" s="25">
        <v>18</v>
      </c>
      <c r="D81" s="25">
        <v>5</v>
      </c>
      <c r="E81" s="25">
        <v>23</v>
      </c>
    </row>
    <row r="82" spans="1:5" ht="26.25" customHeight="1" x14ac:dyDescent="0.35">
      <c r="A82" s="358">
        <v>79</v>
      </c>
      <c r="B82" s="181" t="s">
        <v>335</v>
      </c>
      <c r="C82" s="25">
        <v>11</v>
      </c>
      <c r="D82" s="25">
        <v>12</v>
      </c>
      <c r="E82" s="25">
        <v>23</v>
      </c>
    </row>
    <row r="83" spans="1:5" ht="26.25" customHeight="1" x14ac:dyDescent="0.35">
      <c r="A83" s="358">
        <v>80</v>
      </c>
      <c r="B83" s="181" t="s">
        <v>309</v>
      </c>
      <c r="C83" s="25">
        <v>12</v>
      </c>
      <c r="D83" s="25">
        <v>10</v>
      </c>
      <c r="E83" s="25">
        <v>22</v>
      </c>
    </row>
    <row r="84" spans="1:5" ht="26.25" customHeight="1" x14ac:dyDescent="0.35">
      <c r="A84" s="358">
        <v>81</v>
      </c>
      <c r="B84" s="181" t="s">
        <v>197</v>
      </c>
      <c r="C84" s="25">
        <v>5</v>
      </c>
      <c r="D84" s="25">
        <v>17</v>
      </c>
      <c r="E84" s="25">
        <v>22</v>
      </c>
    </row>
    <row r="85" spans="1:5" ht="26.25" customHeight="1" x14ac:dyDescent="0.35">
      <c r="A85" s="358">
        <v>82</v>
      </c>
      <c r="B85" s="181" t="s">
        <v>179</v>
      </c>
      <c r="C85" s="25">
        <v>12</v>
      </c>
      <c r="D85" s="25">
        <v>10</v>
      </c>
      <c r="E85" s="25">
        <v>22</v>
      </c>
    </row>
    <row r="86" spans="1:5" ht="26.25" customHeight="1" x14ac:dyDescent="0.35">
      <c r="A86" s="358">
        <v>83</v>
      </c>
      <c r="B86" s="181" t="s">
        <v>332</v>
      </c>
      <c r="C86" s="25">
        <v>9</v>
      </c>
      <c r="D86" s="25">
        <v>13</v>
      </c>
      <c r="E86" s="25">
        <v>22</v>
      </c>
    </row>
    <row r="87" spans="1:5" ht="26.25" customHeight="1" x14ac:dyDescent="0.35">
      <c r="A87" s="358">
        <v>84</v>
      </c>
      <c r="B87" s="181" t="s">
        <v>210</v>
      </c>
      <c r="C87" s="25">
        <v>13</v>
      </c>
      <c r="D87" s="25">
        <v>9</v>
      </c>
      <c r="E87" s="25">
        <v>22</v>
      </c>
    </row>
    <row r="88" spans="1:5" ht="26.25" customHeight="1" x14ac:dyDescent="0.35">
      <c r="A88" s="358">
        <v>85</v>
      </c>
      <c r="B88" s="181" t="s">
        <v>142</v>
      </c>
      <c r="C88" s="25">
        <v>5</v>
      </c>
      <c r="D88" s="25">
        <v>17</v>
      </c>
      <c r="E88" s="25">
        <v>22</v>
      </c>
    </row>
    <row r="89" spans="1:5" ht="26.25" customHeight="1" x14ac:dyDescent="0.35">
      <c r="A89" s="358">
        <v>86</v>
      </c>
      <c r="B89" s="181" t="s">
        <v>284</v>
      </c>
      <c r="C89" s="25">
        <v>16</v>
      </c>
      <c r="D89" s="25">
        <v>4</v>
      </c>
      <c r="E89" s="25">
        <v>20</v>
      </c>
    </row>
    <row r="90" spans="1:5" ht="26.25" customHeight="1" x14ac:dyDescent="0.35">
      <c r="A90" s="358">
        <v>87</v>
      </c>
      <c r="B90" s="181" t="s">
        <v>296</v>
      </c>
      <c r="C90" s="25">
        <v>9</v>
      </c>
      <c r="D90" s="25">
        <v>8</v>
      </c>
      <c r="E90" s="25">
        <v>17</v>
      </c>
    </row>
    <row r="91" spans="1:5" ht="26.25" customHeight="1" x14ac:dyDescent="0.35">
      <c r="A91" s="358">
        <v>88</v>
      </c>
      <c r="B91" s="181" t="s">
        <v>308</v>
      </c>
      <c r="C91" s="25">
        <v>12</v>
      </c>
      <c r="D91" s="25">
        <v>3</v>
      </c>
      <c r="E91" s="25">
        <v>15</v>
      </c>
    </row>
    <row r="92" spans="1:5" ht="26.25" customHeight="1" x14ac:dyDescent="0.35">
      <c r="A92" s="358">
        <v>89</v>
      </c>
      <c r="B92" s="181" t="s">
        <v>317</v>
      </c>
      <c r="C92" s="25">
        <v>8</v>
      </c>
      <c r="D92" s="25">
        <v>6</v>
      </c>
      <c r="E92" s="25">
        <v>14</v>
      </c>
    </row>
    <row r="93" spans="1:5" ht="26.25" customHeight="1" x14ac:dyDescent="0.35">
      <c r="A93" s="358">
        <v>90</v>
      </c>
      <c r="B93" s="181" t="s">
        <v>305</v>
      </c>
      <c r="C93" s="25">
        <v>8</v>
      </c>
      <c r="D93" s="25">
        <v>6</v>
      </c>
      <c r="E93" s="25">
        <v>14</v>
      </c>
    </row>
    <row r="94" spans="1:5" ht="26.25" customHeight="1" x14ac:dyDescent="0.35">
      <c r="A94" s="358">
        <v>91</v>
      </c>
      <c r="B94" s="181" t="s">
        <v>319</v>
      </c>
      <c r="C94" s="25">
        <v>3</v>
      </c>
      <c r="D94" s="25">
        <v>10</v>
      </c>
      <c r="E94" s="25">
        <v>13</v>
      </c>
    </row>
    <row r="95" spans="1:5" ht="26.25" customHeight="1" x14ac:dyDescent="0.35">
      <c r="A95" s="358">
        <v>92</v>
      </c>
      <c r="B95" s="181" t="s">
        <v>322</v>
      </c>
      <c r="C95" s="25">
        <v>8</v>
      </c>
      <c r="D95" s="25">
        <v>5</v>
      </c>
      <c r="E95" s="25">
        <v>13</v>
      </c>
    </row>
    <row r="96" spans="1:5" ht="26.25" customHeight="1" x14ac:dyDescent="0.35">
      <c r="A96" s="358">
        <v>93</v>
      </c>
      <c r="B96" s="181" t="s">
        <v>194</v>
      </c>
      <c r="C96" s="25">
        <v>6</v>
      </c>
      <c r="D96" s="25">
        <v>7</v>
      </c>
      <c r="E96" s="25">
        <v>13</v>
      </c>
    </row>
    <row r="97" spans="1:5" ht="26.25" customHeight="1" x14ac:dyDescent="0.35">
      <c r="A97" s="358">
        <v>94</v>
      </c>
      <c r="B97" s="181" t="s">
        <v>351</v>
      </c>
      <c r="C97" s="25">
        <v>11</v>
      </c>
      <c r="D97" s="25">
        <v>1</v>
      </c>
      <c r="E97" s="25">
        <v>12</v>
      </c>
    </row>
    <row r="98" spans="1:5" ht="26.25" customHeight="1" x14ac:dyDescent="0.35">
      <c r="A98" s="358">
        <v>95</v>
      </c>
      <c r="B98" s="181" t="s">
        <v>301</v>
      </c>
      <c r="C98" s="25">
        <v>6</v>
      </c>
      <c r="D98" s="25">
        <v>5</v>
      </c>
      <c r="E98" s="25">
        <v>11</v>
      </c>
    </row>
    <row r="99" spans="1:5" ht="26.25" customHeight="1" x14ac:dyDescent="0.35">
      <c r="A99" s="358">
        <v>96</v>
      </c>
      <c r="B99" s="181" t="s">
        <v>257</v>
      </c>
      <c r="C99" s="25">
        <v>7</v>
      </c>
      <c r="D99" s="25">
        <v>4</v>
      </c>
      <c r="E99" s="25">
        <v>11</v>
      </c>
    </row>
    <row r="100" spans="1:5" ht="26.25" customHeight="1" x14ac:dyDescent="0.35">
      <c r="A100" s="358">
        <v>97</v>
      </c>
      <c r="B100" s="181" t="s">
        <v>287</v>
      </c>
      <c r="C100" s="25">
        <v>6</v>
      </c>
      <c r="D100" s="25">
        <v>5</v>
      </c>
      <c r="E100" s="25">
        <v>11</v>
      </c>
    </row>
    <row r="101" spans="1:5" ht="26.25" customHeight="1" x14ac:dyDescent="0.35">
      <c r="A101" s="358">
        <v>98</v>
      </c>
      <c r="B101" s="181" t="s">
        <v>156</v>
      </c>
      <c r="C101" s="25">
        <v>7</v>
      </c>
      <c r="D101" s="25">
        <v>3</v>
      </c>
      <c r="E101" s="25">
        <v>10</v>
      </c>
    </row>
    <row r="102" spans="1:5" ht="26.25" customHeight="1" x14ac:dyDescent="0.35">
      <c r="A102" s="358">
        <v>99</v>
      </c>
      <c r="B102" s="181" t="s">
        <v>299</v>
      </c>
      <c r="C102" s="25">
        <v>4</v>
      </c>
      <c r="D102" s="25">
        <v>5</v>
      </c>
      <c r="E102" s="25">
        <v>9</v>
      </c>
    </row>
    <row r="103" spans="1:5" ht="26.25" customHeight="1" x14ac:dyDescent="0.35">
      <c r="A103" s="358">
        <v>100</v>
      </c>
      <c r="B103" s="181" t="s">
        <v>135</v>
      </c>
      <c r="C103" s="25">
        <v>2</v>
      </c>
      <c r="D103" s="25">
        <v>7</v>
      </c>
      <c r="E103" s="25">
        <v>9</v>
      </c>
    </row>
    <row r="104" spans="1:5" ht="26.25" customHeight="1" x14ac:dyDescent="0.35">
      <c r="A104" s="358">
        <v>101</v>
      </c>
      <c r="B104" s="181" t="s">
        <v>175</v>
      </c>
      <c r="C104" s="25">
        <v>6</v>
      </c>
      <c r="D104" s="25">
        <v>2</v>
      </c>
      <c r="E104" s="25">
        <v>8</v>
      </c>
    </row>
    <row r="105" spans="1:5" ht="26.25" customHeight="1" x14ac:dyDescent="0.35">
      <c r="A105" s="358">
        <v>102</v>
      </c>
      <c r="B105" s="181" t="s">
        <v>203</v>
      </c>
      <c r="C105" s="25">
        <v>6</v>
      </c>
      <c r="D105" s="25">
        <v>2</v>
      </c>
      <c r="E105" s="25">
        <v>8</v>
      </c>
    </row>
    <row r="106" spans="1:5" ht="26.25" customHeight="1" x14ac:dyDescent="0.35">
      <c r="A106" s="358">
        <v>103</v>
      </c>
      <c r="B106" s="181" t="s">
        <v>354</v>
      </c>
      <c r="C106" s="25">
        <v>4</v>
      </c>
      <c r="D106" s="25">
        <v>3</v>
      </c>
      <c r="E106" s="25">
        <v>7</v>
      </c>
    </row>
    <row r="107" spans="1:5" ht="26.25" customHeight="1" x14ac:dyDescent="0.35">
      <c r="A107" s="358">
        <v>104</v>
      </c>
      <c r="B107" s="181" t="s">
        <v>208</v>
      </c>
      <c r="C107" s="25">
        <v>6</v>
      </c>
      <c r="D107" s="25">
        <v>1</v>
      </c>
      <c r="E107" s="25">
        <v>7</v>
      </c>
    </row>
    <row r="108" spans="1:5" ht="26.25" customHeight="1" x14ac:dyDescent="0.35">
      <c r="A108" s="358">
        <v>105</v>
      </c>
      <c r="B108" s="181" t="s">
        <v>362</v>
      </c>
      <c r="C108" s="25">
        <v>6</v>
      </c>
      <c r="D108" s="25"/>
      <c r="E108" s="25">
        <v>6</v>
      </c>
    </row>
    <row r="109" spans="1:5" ht="26.25" customHeight="1" x14ac:dyDescent="0.35">
      <c r="A109" s="358">
        <v>106</v>
      </c>
      <c r="B109" s="181" t="s">
        <v>311</v>
      </c>
      <c r="C109" s="25">
        <v>4</v>
      </c>
      <c r="D109" s="25">
        <v>2</v>
      </c>
      <c r="E109" s="25">
        <v>6</v>
      </c>
    </row>
    <row r="110" spans="1:5" ht="26.25" customHeight="1" x14ac:dyDescent="0.35">
      <c r="A110" s="358">
        <v>107</v>
      </c>
      <c r="B110" s="181" t="s">
        <v>326</v>
      </c>
      <c r="C110" s="25">
        <v>6</v>
      </c>
      <c r="D110" s="25"/>
      <c r="E110" s="25">
        <v>6</v>
      </c>
    </row>
    <row r="111" spans="1:5" ht="26.25" customHeight="1" x14ac:dyDescent="0.35">
      <c r="A111" s="358">
        <v>108</v>
      </c>
      <c r="B111" s="181" t="s">
        <v>134</v>
      </c>
      <c r="C111" s="25">
        <v>2</v>
      </c>
      <c r="D111" s="25">
        <v>3</v>
      </c>
      <c r="E111" s="25">
        <v>5</v>
      </c>
    </row>
    <row r="112" spans="1:5" ht="26.25" customHeight="1" x14ac:dyDescent="0.35">
      <c r="A112" s="358">
        <v>109</v>
      </c>
      <c r="B112" s="181" t="s">
        <v>386</v>
      </c>
      <c r="C112" s="25">
        <v>2</v>
      </c>
      <c r="D112" s="25">
        <v>3</v>
      </c>
      <c r="E112" s="25">
        <v>5</v>
      </c>
    </row>
    <row r="113" spans="1:5" ht="26.25" customHeight="1" x14ac:dyDescent="0.35">
      <c r="A113" s="358">
        <v>110</v>
      </c>
      <c r="B113" s="181" t="s">
        <v>370</v>
      </c>
      <c r="C113" s="25">
        <v>4</v>
      </c>
      <c r="D113" s="25">
        <v>1</v>
      </c>
      <c r="E113" s="25">
        <v>5</v>
      </c>
    </row>
    <row r="114" spans="1:5" ht="26.25" customHeight="1" x14ac:dyDescent="0.35">
      <c r="A114" s="358">
        <v>111</v>
      </c>
      <c r="B114" s="181" t="s">
        <v>333</v>
      </c>
      <c r="C114" s="25">
        <v>2</v>
      </c>
      <c r="D114" s="25">
        <v>3</v>
      </c>
      <c r="E114" s="25">
        <v>5</v>
      </c>
    </row>
    <row r="115" spans="1:5" ht="26.25" customHeight="1" x14ac:dyDescent="0.35">
      <c r="A115" s="358">
        <v>112</v>
      </c>
      <c r="B115" s="181" t="s">
        <v>344</v>
      </c>
      <c r="C115" s="25">
        <v>3</v>
      </c>
      <c r="D115" s="25">
        <v>2</v>
      </c>
      <c r="E115" s="25">
        <v>5</v>
      </c>
    </row>
    <row r="116" spans="1:5" ht="26.25" customHeight="1" x14ac:dyDescent="0.35">
      <c r="A116" s="358">
        <v>113</v>
      </c>
      <c r="B116" s="181" t="s">
        <v>313</v>
      </c>
      <c r="C116" s="25">
        <v>4</v>
      </c>
      <c r="D116" s="25">
        <v>1</v>
      </c>
      <c r="E116" s="25">
        <v>5</v>
      </c>
    </row>
    <row r="117" spans="1:5" ht="26.25" customHeight="1" x14ac:dyDescent="0.35">
      <c r="A117" s="358">
        <v>114</v>
      </c>
      <c r="B117" s="181" t="s">
        <v>155</v>
      </c>
      <c r="C117" s="25">
        <v>3</v>
      </c>
      <c r="D117" s="25">
        <v>2</v>
      </c>
      <c r="E117" s="25">
        <v>5</v>
      </c>
    </row>
    <row r="118" spans="1:5" ht="26.25" customHeight="1" x14ac:dyDescent="0.35">
      <c r="A118" s="358">
        <v>115</v>
      </c>
      <c r="B118" s="181" t="s">
        <v>233</v>
      </c>
      <c r="C118" s="25">
        <v>3</v>
      </c>
      <c r="D118" s="25">
        <v>2</v>
      </c>
      <c r="E118" s="25">
        <v>5</v>
      </c>
    </row>
    <row r="119" spans="1:5" ht="26.25" customHeight="1" x14ac:dyDescent="0.35">
      <c r="A119" s="358">
        <v>116</v>
      </c>
      <c r="B119" s="181" t="s">
        <v>307</v>
      </c>
      <c r="C119" s="25">
        <v>4</v>
      </c>
      <c r="D119" s="25">
        <v>1</v>
      </c>
      <c r="E119" s="25">
        <v>5</v>
      </c>
    </row>
    <row r="120" spans="1:5" ht="26.25" customHeight="1" x14ac:dyDescent="0.35">
      <c r="A120" s="358">
        <v>117</v>
      </c>
      <c r="B120" s="181" t="s">
        <v>202</v>
      </c>
      <c r="C120" s="25">
        <v>3</v>
      </c>
      <c r="D120" s="25">
        <v>2</v>
      </c>
      <c r="E120" s="25">
        <v>5</v>
      </c>
    </row>
    <row r="121" spans="1:5" ht="26.25" customHeight="1" x14ac:dyDescent="0.35">
      <c r="A121" s="358">
        <v>118</v>
      </c>
      <c r="B121" s="181" t="s">
        <v>242</v>
      </c>
      <c r="C121" s="25">
        <v>1</v>
      </c>
      <c r="D121" s="25">
        <v>4</v>
      </c>
      <c r="E121" s="25">
        <v>5</v>
      </c>
    </row>
    <row r="122" spans="1:5" ht="26.25" customHeight="1" x14ac:dyDescent="0.35">
      <c r="A122" s="358">
        <v>119</v>
      </c>
      <c r="B122" s="181" t="s">
        <v>269</v>
      </c>
      <c r="C122" s="25">
        <v>3</v>
      </c>
      <c r="D122" s="25">
        <v>2</v>
      </c>
      <c r="E122" s="25">
        <v>5</v>
      </c>
    </row>
    <row r="123" spans="1:5" ht="26.25" customHeight="1" x14ac:dyDescent="0.35">
      <c r="A123" s="358">
        <v>120</v>
      </c>
      <c r="B123" s="181" t="s">
        <v>276</v>
      </c>
      <c r="C123" s="25">
        <v>3</v>
      </c>
      <c r="D123" s="25">
        <v>1</v>
      </c>
      <c r="E123" s="25">
        <v>4</v>
      </c>
    </row>
    <row r="124" spans="1:5" ht="26.25" customHeight="1" x14ac:dyDescent="0.35">
      <c r="A124" s="358">
        <v>121</v>
      </c>
      <c r="B124" s="181" t="s">
        <v>295</v>
      </c>
      <c r="C124" s="25"/>
      <c r="D124" s="25">
        <v>4</v>
      </c>
      <c r="E124" s="25">
        <v>4</v>
      </c>
    </row>
    <row r="125" spans="1:5" ht="26.25" customHeight="1" x14ac:dyDescent="0.35">
      <c r="A125" s="358">
        <v>122</v>
      </c>
      <c r="B125" s="181" t="s">
        <v>321</v>
      </c>
      <c r="C125" s="25"/>
      <c r="D125" s="25">
        <v>4</v>
      </c>
      <c r="E125" s="25">
        <v>4</v>
      </c>
    </row>
    <row r="126" spans="1:5" ht="26.25" customHeight="1" x14ac:dyDescent="0.35">
      <c r="A126" s="358">
        <v>123</v>
      </c>
      <c r="B126" s="181" t="s">
        <v>290</v>
      </c>
      <c r="C126" s="25">
        <v>4</v>
      </c>
      <c r="D126" s="25"/>
      <c r="E126" s="25">
        <v>4</v>
      </c>
    </row>
    <row r="127" spans="1:5" ht="26.25" customHeight="1" x14ac:dyDescent="0.35">
      <c r="A127" s="358">
        <v>124</v>
      </c>
      <c r="B127" s="181" t="s">
        <v>256</v>
      </c>
      <c r="C127" s="25">
        <v>4</v>
      </c>
      <c r="D127" s="25"/>
      <c r="E127" s="25">
        <v>4</v>
      </c>
    </row>
    <row r="128" spans="1:5" ht="26.25" customHeight="1" x14ac:dyDescent="0.35">
      <c r="A128" s="358">
        <v>125</v>
      </c>
      <c r="B128" s="181" t="s">
        <v>353</v>
      </c>
      <c r="C128" s="25">
        <v>2</v>
      </c>
      <c r="D128" s="25">
        <v>2</v>
      </c>
      <c r="E128" s="25">
        <v>4</v>
      </c>
    </row>
    <row r="129" spans="1:5" ht="26.25" customHeight="1" x14ac:dyDescent="0.35">
      <c r="A129" s="358">
        <v>126</v>
      </c>
      <c r="B129" s="181" t="s">
        <v>282</v>
      </c>
      <c r="C129" s="25">
        <v>2</v>
      </c>
      <c r="D129" s="25">
        <v>2</v>
      </c>
      <c r="E129" s="25">
        <v>4</v>
      </c>
    </row>
    <row r="130" spans="1:5" ht="26.25" customHeight="1" x14ac:dyDescent="0.35">
      <c r="A130" s="358">
        <v>127</v>
      </c>
      <c r="B130" s="181" t="s">
        <v>312</v>
      </c>
      <c r="C130" s="25">
        <v>1</v>
      </c>
      <c r="D130" s="25">
        <v>2</v>
      </c>
      <c r="E130" s="25">
        <v>3</v>
      </c>
    </row>
    <row r="131" spans="1:5" ht="26.25" customHeight="1" x14ac:dyDescent="0.35">
      <c r="A131" s="358">
        <v>128</v>
      </c>
      <c r="B131" s="181" t="s">
        <v>220</v>
      </c>
      <c r="C131" s="25">
        <v>1</v>
      </c>
      <c r="D131" s="25">
        <v>2</v>
      </c>
      <c r="E131" s="25">
        <v>3</v>
      </c>
    </row>
    <row r="132" spans="1:5" ht="26.25" customHeight="1" x14ac:dyDescent="0.35">
      <c r="A132" s="358">
        <v>129</v>
      </c>
      <c r="B132" s="181" t="s">
        <v>221</v>
      </c>
      <c r="C132" s="25">
        <v>3</v>
      </c>
      <c r="D132" s="25"/>
      <c r="E132" s="25">
        <v>3</v>
      </c>
    </row>
    <row r="133" spans="1:5" ht="26.25" customHeight="1" x14ac:dyDescent="0.35">
      <c r="A133" s="358">
        <v>130</v>
      </c>
      <c r="B133" s="181" t="s">
        <v>356</v>
      </c>
      <c r="C133" s="25">
        <v>3</v>
      </c>
      <c r="D133" s="25"/>
      <c r="E133" s="25">
        <v>3</v>
      </c>
    </row>
    <row r="134" spans="1:5" ht="26.25" customHeight="1" x14ac:dyDescent="0.35">
      <c r="A134" s="358">
        <v>131</v>
      </c>
      <c r="B134" s="181" t="s">
        <v>310</v>
      </c>
      <c r="C134" s="25">
        <v>2</v>
      </c>
      <c r="D134" s="25">
        <v>1</v>
      </c>
      <c r="E134" s="25">
        <v>3</v>
      </c>
    </row>
    <row r="135" spans="1:5" ht="26.25" customHeight="1" x14ac:dyDescent="0.35">
      <c r="A135" s="358">
        <v>132</v>
      </c>
      <c r="B135" s="181" t="s">
        <v>389</v>
      </c>
      <c r="C135" s="25"/>
      <c r="D135" s="25">
        <v>3</v>
      </c>
      <c r="E135" s="25">
        <v>3</v>
      </c>
    </row>
    <row r="136" spans="1:5" ht="26.25" customHeight="1" x14ac:dyDescent="0.35">
      <c r="A136" s="358">
        <v>133</v>
      </c>
      <c r="B136" s="181" t="s">
        <v>302</v>
      </c>
      <c r="C136" s="25">
        <v>1</v>
      </c>
      <c r="D136" s="25">
        <v>2</v>
      </c>
      <c r="E136" s="25">
        <v>3</v>
      </c>
    </row>
    <row r="137" spans="1:5" ht="26.25" customHeight="1" x14ac:dyDescent="0.35">
      <c r="A137" s="358">
        <v>134</v>
      </c>
      <c r="B137" s="181" t="s">
        <v>140</v>
      </c>
      <c r="C137" s="25">
        <v>1</v>
      </c>
      <c r="D137" s="25">
        <v>1</v>
      </c>
      <c r="E137" s="25">
        <v>2</v>
      </c>
    </row>
    <row r="138" spans="1:5" ht="26.25" customHeight="1" x14ac:dyDescent="0.35">
      <c r="A138" s="358">
        <v>135</v>
      </c>
      <c r="B138" s="181" t="s">
        <v>216</v>
      </c>
      <c r="C138" s="25">
        <v>2</v>
      </c>
      <c r="D138" s="25"/>
      <c r="E138" s="25">
        <v>2</v>
      </c>
    </row>
    <row r="139" spans="1:5" ht="26.25" customHeight="1" x14ac:dyDescent="0.35">
      <c r="A139" s="358">
        <v>136</v>
      </c>
      <c r="B139" s="181" t="s">
        <v>368</v>
      </c>
      <c r="C139" s="25"/>
      <c r="D139" s="25">
        <v>2</v>
      </c>
      <c r="E139" s="25">
        <v>2</v>
      </c>
    </row>
    <row r="140" spans="1:5" ht="26.25" customHeight="1" x14ac:dyDescent="0.35">
      <c r="A140" s="358">
        <v>137</v>
      </c>
      <c r="B140" s="181" t="s">
        <v>364</v>
      </c>
      <c r="C140" s="25"/>
      <c r="D140" s="25">
        <v>2</v>
      </c>
      <c r="E140" s="25">
        <v>2</v>
      </c>
    </row>
    <row r="141" spans="1:5" ht="26.25" customHeight="1" x14ac:dyDescent="0.35">
      <c r="A141" s="358">
        <v>138</v>
      </c>
      <c r="B141" s="181" t="s">
        <v>133</v>
      </c>
      <c r="C141" s="25">
        <v>2</v>
      </c>
      <c r="D141" s="25"/>
      <c r="E141" s="25">
        <v>2</v>
      </c>
    </row>
    <row r="142" spans="1:5" ht="26.25" customHeight="1" x14ac:dyDescent="0.35">
      <c r="A142" s="358">
        <v>139</v>
      </c>
      <c r="B142" s="181" t="s">
        <v>217</v>
      </c>
      <c r="C142" s="25">
        <v>1</v>
      </c>
      <c r="D142" s="25">
        <v>1</v>
      </c>
      <c r="E142" s="25">
        <v>2</v>
      </c>
    </row>
    <row r="143" spans="1:5" ht="26.25" customHeight="1" x14ac:dyDescent="0.35">
      <c r="A143" s="358">
        <v>140</v>
      </c>
      <c r="B143" s="181" t="s">
        <v>188</v>
      </c>
      <c r="C143" s="25">
        <v>2</v>
      </c>
      <c r="D143" s="25"/>
      <c r="E143" s="25">
        <v>2</v>
      </c>
    </row>
    <row r="144" spans="1:5" ht="26.25" customHeight="1" x14ac:dyDescent="0.35">
      <c r="A144" s="358">
        <v>141</v>
      </c>
      <c r="B144" s="181" t="s">
        <v>367</v>
      </c>
      <c r="C144" s="25">
        <v>2</v>
      </c>
      <c r="D144" s="25"/>
      <c r="E144" s="25">
        <v>2</v>
      </c>
    </row>
    <row r="145" spans="1:6" ht="26.25" customHeight="1" x14ac:dyDescent="0.35">
      <c r="A145" s="358">
        <v>142</v>
      </c>
      <c r="B145" s="181" t="s">
        <v>137</v>
      </c>
      <c r="C145" s="25">
        <v>2</v>
      </c>
      <c r="D145" s="25"/>
      <c r="E145" s="25">
        <v>2</v>
      </c>
    </row>
    <row r="146" spans="1:6" ht="26.25" customHeight="1" x14ac:dyDescent="0.35">
      <c r="A146" s="358">
        <v>143</v>
      </c>
      <c r="B146" s="181" t="s">
        <v>164</v>
      </c>
      <c r="C146" s="25"/>
      <c r="D146" s="25">
        <v>2</v>
      </c>
      <c r="E146" s="25">
        <v>2</v>
      </c>
    </row>
    <row r="147" spans="1:6" s="135" customFormat="1" ht="26.25" customHeight="1" x14ac:dyDescent="0.35">
      <c r="A147" s="358">
        <v>144</v>
      </c>
      <c r="B147" s="182" t="s">
        <v>272</v>
      </c>
      <c r="C147" s="25">
        <v>1</v>
      </c>
      <c r="D147" s="25">
        <v>1</v>
      </c>
      <c r="E147" s="25">
        <v>2</v>
      </c>
      <c r="F147" s="131"/>
    </row>
    <row r="148" spans="1:6" s="135" customFormat="1" ht="26.25" customHeight="1" x14ac:dyDescent="0.35">
      <c r="A148" s="358">
        <v>145</v>
      </c>
      <c r="B148" s="182" t="s">
        <v>372</v>
      </c>
      <c r="C148" s="25">
        <v>1</v>
      </c>
      <c r="D148" s="25"/>
      <c r="E148" s="25">
        <v>1</v>
      </c>
      <c r="F148" s="131"/>
    </row>
    <row r="149" spans="1:6" s="135" customFormat="1" ht="26.25" customHeight="1" x14ac:dyDescent="0.35">
      <c r="A149" s="358">
        <v>146</v>
      </c>
      <c r="B149" s="182" t="s">
        <v>234</v>
      </c>
      <c r="C149" s="25"/>
      <c r="D149" s="25">
        <v>1</v>
      </c>
      <c r="E149" s="25">
        <v>1</v>
      </c>
      <c r="F149" s="131"/>
    </row>
    <row r="150" spans="1:6" s="135" customFormat="1" ht="26.25" customHeight="1" x14ac:dyDescent="0.35">
      <c r="A150" s="358">
        <v>147</v>
      </c>
      <c r="B150" s="182" t="s">
        <v>222</v>
      </c>
      <c r="C150" s="25"/>
      <c r="D150" s="25">
        <v>1</v>
      </c>
      <c r="E150" s="25">
        <v>1</v>
      </c>
      <c r="F150" s="131"/>
    </row>
    <row r="151" spans="1:6" s="135" customFormat="1" ht="26.25" customHeight="1" x14ac:dyDescent="0.35">
      <c r="A151" s="358">
        <v>148</v>
      </c>
      <c r="B151" s="182" t="s">
        <v>253</v>
      </c>
      <c r="C151" s="25"/>
      <c r="D151" s="25">
        <v>1</v>
      </c>
      <c r="E151" s="25">
        <v>1</v>
      </c>
      <c r="F151" s="131"/>
    </row>
    <row r="152" spans="1:6" s="135" customFormat="1" ht="26.25" customHeight="1" x14ac:dyDescent="0.35">
      <c r="A152" s="358">
        <v>149</v>
      </c>
      <c r="B152" s="182" t="s">
        <v>191</v>
      </c>
      <c r="C152" s="25">
        <v>1</v>
      </c>
      <c r="D152" s="25"/>
      <c r="E152" s="25">
        <v>1</v>
      </c>
      <c r="F152" s="131"/>
    </row>
    <row r="153" spans="1:6" s="135" customFormat="1" ht="26.25" customHeight="1" x14ac:dyDescent="0.35">
      <c r="A153" s="358">
        <v>150</v>
      </c>
      <c r="B153" s="182" t="s">
        <v>315</v>
      </c>
      <c r="C153" s="25"/>
      <c r="D153" s="25">
        <v>1</v>
      </c>
      <c r="E153" s="25">
        <v>1</v>
      </c>
      <c r="F153" s="131"/>
    </row>
    <row r="154" spans="1:6" s="135" customFormat="1" ht="26.25" customHeight="1" x14ac:dyDescent="0.35">
      <c r="A154" s="358">
        <v>151</v>
      </c>
      <c r="B154" s="182" t="s">
        <v>230</v>
      </c>
      <c r="C154" s="25">
        <v>1</v>
      </c>
      <c r="D154" s="25"/>
      <c r="E154" s="25">
        <v>1</v>
      </c>
      <c r="F154" s="131"/>
    </row>
    <row r="155" spans="1:6" s="135" customFormat="1" ht="26.25" customHeight="1" x14ac:dyDescent="0.35">
      <c r="A155" s="358">
        <v>152</v>
      </c>
      <c r="B155" s="182" t="s">
        <v>211</v>
      </c>
      <c r="C155" s="25"/>
      <c r="D155" s="25">
        <v>1</v>
      </c>
      <c r="E155" s="25">
        <v>1</v>
      </c>
      <c r="F155" s="131"/>
    </row>
    <row r="156" spans="1:6" s="135" customFormat="1" ht="26.25" customHeight="1" x14ac:dyDescent="0.35">
      <c r="A156" s="358">
        <v>153</v>
      </c>
      <c r="B156" s="182" t="s">
        <v>148</v>
      </c>
      <c r="C156" s="25"/>
      <c r="D156" s="25">
        <v>1</v>
      </c>
      <c r="E156" s="25">
        <v>1</v>
      </c>
      <c r="F156" s="131"/>
    </row>
    <row r="157" spans="1:6" s="135" customFormat="1" ht="26.25" customHeight="1" x14ac:dyDescent="0.35">
      <c r="A157" s="358">
        <v>154</v>
      </c>
      <c r="B157" s="182" t="s">
        <v>366</v>
      </c>
      <c r="C157" s="25"/>
      <c r="D157" s="25">
        <v>1</v>
      </c>
      <c r="E157" s="25">
        <v>1</v>
      </c>
      <c r="F157" s="131"/>
    </row>
    <row r="158" spans="1:6" s="135" customFormat="1" ht="26.25" customHeight="1" x14ac:dyDescent="0.35">
      <c r="A158" s="358">
        <v>155</v>
      </c>
      <c r="B158" s="182" t="s">
        <v>212</v>
      </c>
      <c r="C158" s="25"/>
      <c r="D158" s="25">
        <v>1</v>
      </c>
      <c r="E158" s="25">
        <v>1</v>
      </c>
      <c r="F158" s="131"/>
    </row>
    <row r="159" spans="1:6" s="135" customFormat="1" ht="26.25" customHeight="1" x14ac:dyDescent="0.35">
      <c r="A159" s="358">
        <v>156</v>
      </c>
      <c r="B159" s="182" t="s">
        <v>357</v>
      </c>
      <c r="C159" s="25">
        <v>1</v>
      </c>
      <c r="D159" s="25"/>
      <c r="E159" s="25">
        <v>1</v>
      </c>
      <c r="F159" s="131"/>
    </row>
    <row r="160" spans="1:6" s="135" customFormat="1" ht="26.25" customHeight="1" x14ac:dyDescent="0.35">
      <c r="A160" s="358">
        <v>157</v>
      </c>
      <c r="B160" s="182" t="s">
        <v>206</v>
      </c>
      <c r="C160" s="25"/>
      <c r="D160" s="25">
        <v>1</v>
      </c>
      <c r="E160" s="25">
        <v>1</v>
      </c>
      <c r="F160" s="131"/>
    </row>
    <row r="161" spans="1:6" s="135" customFormat="1" ht="26.25" customHeight="1" x14ac:dyDescent="0.35">
      <c r="A161" s="358">
        <v>158</v>
      </c>
      <c r="B161" s="182" t="s">
        <v>286</v>
      </c>
      <c r="C161" s="25">
        <v>1</v>
      </c>
      <c r="D161" s="25"/>
      <c r="E161" s="25">
        <v>1</v>
      </c>
      <c r="F161" s="131"/>
    </row>
    <row r="162" spans="1:6" s="135" customFormat="1" ht="26.25" customHeight="1" x14ac:dyDescent="0.35">
      <c r="A162" s="358">
        <v>159</v>
      </c>
      <c r="B162" s="182" t="s">
        <v>173</v>
      </c>
      <c r="C162" s="25"/>
      <c r="D162" s="25">
        <v>1</v>
      </c>
      <c r="E162" s="25">
        <v>1</v>
      </c>
      <c r="F162" s="131"/>
    </row>
    <row r="163" spans="1:6" s="135" customFormat="1" ht="26.25" customHeight="1" x14ac:dyDescent="0.35">
      <c r="A163" s="358">
        <v>160</v>
      </c>
      <c r="B163" s="182" t="s">
        <v>340</v>
      </c>
      <c r="C163" s="25">
        <v>1</v>
      </c>
      <c r="D163" s="25"/>
      <c r="E163" s="25">
        <v>1</v>
      </c>
      <c r="F163" s="131"/>
    </row>
    <row r="164" spans="1:6" s="135" customFormat="1" ht="26.25" customHeight="1" x14ac:dyDescent="0.35">
      <c r="A164" s="358">
        <v>161</v>
      </c>
      <c r="B164" s="182" t="s">
        <v>166</v>
      </c>
      <c r="C164" s="25"/>
      <c r="D164" s="25">
        <v>1</v>
      </c>
      <c r="E164" s="25">
        <v>1</v>
      </c>
      <c r="F164" s="131"/>
    </row>
    <row r="165" spans="1:6" s="135" customFormat="1" ht="26.25" customHeight="1" x14ac:dyDescent="0.35">
      <c r="A165" s="358">
        <v>162</v>
      </c>
      <c r="B165" s="182" t="s">
        <v>172</v>
      </c>
      <c r="C165" s="25">
        <v>1</v>
      </c>
      <c r="D165" s="25"/>
      <c r="E165" s="25">
        <v>1</v>
      </c>
      <c r="F165" s="131"/>
    </row>
    <row r="166" spans="1:6" s="135" customFormat="1" ht="26.25" customHeight="1" x14ac:dyDescent="0.35">
      <c r="A166" s="358">
        <v>163</v>
      </c>
      <c r="B166" s="182" t="s">
        <v>352</v>
      </c>
      <c r="C166" s="25">
        <v>1</v>
      </c>
      <c r="D166" s="25"/>
      <c r="E166" s="25">
        <v>1</v>
      </c>
      <c r="F166" s="131"/>
    </row>
    <row r="167" spans="1:6" ht="26.25" customHeight="1" x14ac:dyDescent="0.35">
      <c r="A167" s="792" t="s">
        <v>46</v>
      </c>
      <c r="B167" s="792"/>
      <c r="C167" s="136">
        <v>37295</v>
      </c>
      <c r="D167" s="136">
        <v>20839</v>
      </c>
      <c r="E167" s="136">
        <v>58134</v>
      </c>
    </row>
  </sheetData>
  <mergeCells count="2">
    <mergeCell ref="A167:B167"/>
    <mergeCell ref="A1:E1"/>
  </mergeCells>
  <pageMargins left="0.59055118110236227" right="0.15748031496062992" top="0.39370078740157483" bottom="0.39370078740157483" header="0.31496062992125984" footer="0.19685039370078741"/>
  <pageSetup paperSize="9" scale="70" firstPageNumber="63" orientation="portrait" r:id="rId1"/>
  <headerFooter>
    <oddFooter>&amp;L&amp;"Arial,Italic"&amp;9AISHE 2023-24&amp;RT-18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8367-4887-4EE1-9075-1FD0EB354E67}">
  <sheetPr>
    <pageSetUpPr fitToPage="1"/>
  </sheetPr>
  <dimension ref="A1:K41"/>
  <sheetViews>
    <sheetView view="pageBreakPreview" zoomScaleSheetLayoutView="100" workbookViewId="0">
      <pane ySplit="3" topLeftCell="A4" activePane="bottomLeft" state="frozen"/>
      <selection activeCell="B16" sqref="B16:M16"/>
      <selection pane="bottomLeft" activeCell="B16" sqref="B16:M16"/>
    </sheetView>
  </sheetViews>
  <sheetFormatPr defaultColWidth="8.54296875" defaultRowHeight="15.5" x14ac:dyDescent="0.35"/>
  <cols>
    <col min="1" max="1" width="5.453125" style="81" customWidth="1"/>
    <col min="2" max="2" width="20.453125" style="81" bestFit="1" customWidth="1"/>
    <col min="3" max="3" width="7.54296875" style="81" customWidth="1"/>
    <col min="4" max="4" width="10.54296875" style="81" customWidth="1"/>
    <col min="5" max="5" width="12" style="81" bestFit="1" customWidth="1"/>
    <col min="6" max="6" width="8" style="81" customWidth="1"/>
    <col min="7" max="7" width="9.54296875" style="81" customWidth="1"/>
    <col min="8" max="9" width="8" style="81" customWidth="1"/>
    <col min="10" max="10" width="9.54296875" style="81" customWidth="1"/>
    <col min="11" max="11" width="8" style="81" customWidth="1"/>
    <col min="12" max="16384" width="8.54296875" style="81"/>
  </cols>
  <sheetData>
    <row r="1" spans="1:11" ht="35.5" customHeight="1" x14ac:dyDescent="0.35">
      <c r="A1" s="795" t="s">
        <v>923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</row>
    <row r="2" spans="1:11" s="185" customFormat="1" ht="25.5" customHeight="1" x14ac:dyDescent="0.3">
      <c r="A2" s="796" t="s">
        <v>882</v>
      </c>
      <c r="B2" s="796" t="s">
        <v>885</v>
      </c>
      <c r="C2" s="796" t="s">
        <v>703</v>
      </c>
      <c r="D2" s="796"/>
      <c r="E2" s="796"/>
      <c r="F2" s="796" t="s">
        <v>883</v>
      </c>
      <c r="G2" s="796"/>
      <c r="H2" s="796"/>
      <c r="I2" s="796" t="s">
        <v>884</v>
      </c>
      <c r="J2" s="796"/>
      <c r="K2" s="796"/>
    </row>
    <row r="3" spans="1:11" s="185" customFormat="1" ht="25.5" customHeight="1" x14ac:dyDescent="0.3">
      <c r="A3" s="796"/>
      <c r="B3" s="796"/>
      <c r="C3" s="184" t="s">
        <v>103</v>
      </c>
      <c r="D3" s="184" t="s">
        <v>104</v>
      </c>
      <c r="E3" s="184" t="s">
        <v>89</v>
      </c>
      <c r="F3" s="184" t="s">
        <v>103</v>
      </c>
      <c r="G3" s="184" t="s">
        <v>104</v>
      </c>
      <c r="H3" s="184" t="s">
        <v>89</v>
      </c>
      <c r="I3" s="184" t="s">
        <v>103</v>
      </c>
      <c r="J3" s="184" t="s">
        <v>104</v>
      </c>
      <c r="K3" s="184" t="s">
        <v>89</v>
      </c>
    </row>
    <row r="4" spans="1:11" s="185" customFormat="1" ht="14" x14ac:dyDescent="0.3">
      <c r="A4" s="381">
        <v>1</v>
      </c>
      <c r="B4" s="381">
        <v>2</v>
      </c>
      <c r="C4" s="381">
        <v>3</v>
      </c>
      <c r="D4" s="381">
        <v>4</v>
      </c>
      <c r="E4" s="381">
        <v>5</v>
      </c>
      <c r="F4" s="381">
        <v>6</v>
      </c>
      <c r="G4" s="381">
        <v>7</v>
      </c>
      <c r="H4" s="381">
        <v>8</v>
      </c>
      <c r="I4" s="381">
        <v>9</v>
      </c>
      <c r="J4" s="381">
        <v>10</v>
      </c>
      <c r="K4" s="381">
        <v>11</v>
      </c>
    </row>
    <row r="5" spans="1:11" s="76" customFormat="1" ht="22.5" customHeight="1" x14ac:dyDescent="0.35">
      <c r="A5" s="186">
        <v>1</v>
      </c>
      <c r="B5" s="342" t="s">
        <v>56</v>
      </c>
      <c r="C5" s="187">
        <v>12.622207792064829</v>
      </c>
      <c r="D5" s="187">
        <v>14.513190649307733</v>
      </c>
      <c r="E5" s="187">
        <v>13.516875669087483</v>
      </c>
      <c r="F5" s="187"/>
      <c r="G5" s="187"/>
      <c r="H5" s="187"/>
      <c r="I5" s="187">
        <v>3.3846953374375142</v>
      </c>
      <c r="J5" s="187">
        <v>6.438816090573547</v>
      </c>
      <c r="K5" s="187">
        <v>4.8579021487213305</v>
      </c>
    </row>
    <row r="6" spans="1:11" s="76" customFormat="1" ht="22.5" customHeight="1" x14ac:dyDescent="0.35">
      <c r="A6" s="186">
        <v>2</v>
      </c>
      <c r="B6" s="343" t="s">
        <v>13</v>
      </c>
      <c r="C6" s="187">
        <v>35.502674818494462</v>
      </c>
      <c r="D6" s="187">
        <v>35.568229843953183</v>
      </c>
      <c r="E6" s="187">
        <v>35.537243471067868</v>
      </c>
      <c r="F6" s="187">
        <v>32.443181275628319</v>
      </c>
      <c r="G6" s="187">
        <v>33.910877228776407</v>
      </c>
      <c r="H6" s="187">
        <v>33.161291672015125</v>
      </c>
      <c r="I6" s="187">
        <v>33.296621287102838</v>
      </c>
      <c r="J6" s="187">
        <v>32.013756854170559</v>
      </c>
      <c r="K6" s="187">
        <v>32.636805596311625</v>
      </c>
    </row>
    <row r="7" spans="1:11" s="76" customFormat="1" ht="22.5" customHeight="1" x14ac:dyDescent="0.35">
      <c r="A7" s="186">
        <v>3</v>
      </c>
      <c r="B7" s="343" t="s">
        <v>14</v>
      </c>
      <c r="C7" s="187">
        <v>34.665848478864291</v>
      </c>
      <c r="D7" s="187">
        <v>33.824867242546453</v>
      </c>
      <c r="E7" s="187">
        <v>34.256380171467782</v>
      </c>
      <c r="F7" s="187"/>
      <c r="G7" s="187"/>
      <c r="H7" s="187"/>
      <c r="I7" s="187">
        <v>37.889839935395933</v>
      </c>
      <c r="J7" s="187">
        <v>37.143911631128596</v>
      </c>
      <c r="K7" s="187">
        <v>37.506180126885951</v>
      </c>
    </row>
    <row r="8" spans="1:11" s="76" customFormat="1" ht="22.5" customHeight="1" x14ac:dyDescent="0.35">
      <c r="A8" s="186">
        <v>4</v>
      </c>
      <c r="B8" s="342" t="s">
        <v>15</v>
      </c>
      <c r="C8" s="187">
        <v>17.925532950452645</v>
      </c>
      <c r="D8" s="187">
        <v>21.698581198326021</v>
      </c>
      <c r="E8" s="187">
        <v>19.768299367183218</v>
      </c>
      <c r="F8" s="187">
        <v>21.927152579943453</v>
      </c>
      <c r="G8" s="187">
        <v>27.1972514324057</v>
      </c>
      <c r="H8" s="187">
        <v>24.409153606735131</v>
      </c>
      <c r="I8" s="187">
        <v>26.557422948236013</v>
      </c>
      <c r="J8" s="187">
        <v>30.514085678460617</v>
      </c>
      <c r="K8" s="187">
        <v>28.541039809603959</v>
      </c>
    </row>
    <row r="9" spans="1:11" s="76" customFormat="1" ht="22.5" customHeight="1" x14ac:dyDescent="0.35">
      <c r="A9" s="186">
        <v>5</v>
      </c>
      <c r="B9" s="342" t="s">
        <v>16</v>
      </c>
      <c r="C9" s="187">
        <v>16.643545279383432</v>
      </c>
      <c r="D9" s="187">
        <v>18.777134704425542</v>
      </c>
      <c r="E9" s="187">
        <v>17.657969493781032</v>
      </c>
      <c r="F9" s="187">
        <v>17.60361651207192</v>
      </c>
      <c r="G9" s="187">
        <v>16.031612184760359</v>
      </c>
      <c r="H9" s="187">
        <v>16.825311993919449</v>
      </c>
      <c r="I9" s="187">
        <v>25.310111579899868</v>
      </c>
      <c r="J9" s="187">
        <v>26.222677678002515</v>
      </c>
      <c r="K9" s="187">
        <v>25.76073223000289</v>
      </c>
    </row>
    <row r="10" spans="1:11" s="76" customFormat="1" ht="22.5" customHeight="1" x14ac:dyDescent="0.35">
      <c r="A10" s="186">
        <v>6</v>
      </c>
      <c r="B10" s="343" t="s">
        <v>17</v>
      </c>
      <c r="C10" s="187">
        <v>49.109383048214973</v>
      </c>
      <c r="D10" s="187">
        <v>71.166375360900147</v>
      </c>
      <c r="E10" s="187">
        <v>58.491752645023546</v>
      </c>
      <c r="F10" s="187">
        <v>41.114972200172225</v>
      </c>
      <c r="G10" s="187">
        <v>46.096073213216236</v>
      </c>
      <c r="H10" s="187">
        <v>43.376492299331098</v>
      </c>
      <c r="I10" s="187"/>
      <c r="J10" s="187"/>
      <c r="K10" s="187"/>
    </row>
    <row r="11" spans="1:11" s="76" customFormat="1" ht="22.5" customHeight="1" x14ac:dyDescent="0.3">
      <c r="A11" s="186">
        <v>7</v>
      </c>
      <c r="B11" s="190" t="s">
        <v>18</v>
      </c>
      <c r="C11" s="187">
        <v>21.50047738393603</v>
      </c>
      <c r="D11" s="187">
        <v>28.175899938987182</v>
      </c>
      <c r="E11" s="187">
        <v>24.798141891891888</v>
      </c>
      <c r="F11" s="187">
        <v>22.779072449582436</v>
      </c>
      <c r="G11" s="187">
        <v>28.35462382730357</v>
      </c>
      <c r="H11" s="187">
        <v>25.514306011676862</v>
      </c>
      <c r="I11" s="187">
        <v>13.145973174731939</v>
      </c>
      <c r="J11" s="187">
        <v>20.388908995419612</v>
      </c>
      <c r="K11" s="187">
        <v>16.838789096363115</v>
      </c>
    </row>
    <row r="12" spans="1:11" s="76" customFormat="1" ht="22.5" customHeight="1" x14ac:dyDescent="0.35">
      <c r="A12" s="186">
        <v>8</v>
      </c>
      <c r="B12" s="343" t="s">
        <v>19</v>
      </c>
      <c r="C12" s="187">
        <v>51.465068038499837</v>
      </c>
      <c r="D12" s="187">
        <v>54.485109023222833</v>
      </c>
      <c r="E12" s="187">
        <v>52.952491210016284</v>
      </c>
      <c r="F12" s="187">
        <v>38.107886260188785</v>
      </c>
      <c r="G12" s="187">
        <v>38.574354005877524</v>
      </c>
      <c r="H12" s="187">
        <v>38.33888627547195</v>
      </c>
      <c r="I12" s="187"/>
      <c r="J12" s="187"/>
      <c r="K12" s="187"/>
    </row>
    <row r="13" spans="1:11" s="76" customFormat="1" ht="22.5" customHeight="1" x14ac:dyDescent="0.35">
      <c r="A13" s="186">
        <v>9</v>
      </c>
      <c r="B13" s="343" t="s">
        <v>20</v>
      </c>
      <c r="C13" s="187">
        <v>31.449936358782782</v>
      </c>
      <c r="D13" s="187">
        <v>36.726056407889502</v>
      </c>
      <c r="E13" s="187">
        <v>33.858336612411257</v>
      </c>
      <c r="F13" s="187">
        <v>41.127704498014957</v>
      </c>
      <c r="G13" s="187">
        <v>36.787315319879077</v>
      </c>
      <c r="H13" s="187">
        <v>39.009747472526485</v>
      </c>
      <c r="I13" s="187">
        <v>20.533493199759707</v>
      </c>
      <c r="J13" s="187">
        <v>32.44307960241899</v>
      </c>
      <c r="K13" s="187">
        <v>26.396860215413863</v>
      </c>
    </row>
    <row r="14" spans="1:11" s="76" customFormat="1" ht="22.5" customHeight="1" x14ac:dyDescent="0.35">
      <c r="A14" s="186">
        <v>10</v>
      </c>
      <c r="B14" s="343" t="s">
        <v>21</v>
      </c>
      <c r="C14" s="187">
        <v>26.661385837930862</v>
      </c>
      <c r="D14" s="187">
        <v>25.794056187601576</v>
      </c>
      <c r="E14" s="187">
        <v>26.253115622719044</v>
      </c>
      <c r="F14" s="187">
        <v>34.534842246003514</v>
      </c>
      <c r="G14" s="187">
        <v>36.074997839120563</v>
      </c>
      <c r="H14" s="187">
        <v>35.254454682730177</v>
      </c>
      <c r="I14" s="187">
        <v>21.706925377365597</v>
      </c>
      <c r="J14" s="187">
        <v>25.421112248038767</v>
      </c>
      <c r="K14" s="187">
        <v>23.530461108599052</v>
      </c>
    </row>
    <row r="15" spans="1:11" s="76" customFormat="1" ht="22.5" customHeight="1" x14ac:dyDescent="0.35">
      <c r="A15" s="186">
        <v>11</v>
      </c>
      <c r="B15" s="343" t="s">
        <v>22</v>
      </c>
      <c r="C15" s="187">
        <v>31.104602272727274</v>
      </c>
      <c r="D15" s="187">
        <v>39.853062309020856</v>
      </c>
      <c r="E15" s="187">
        <v>35.127020573108005</v>
      </c>
      <c r="F15" s="187">
        <v>23.290790384615384</v>
      </c>
      <c r="G15" s="187">
        <v>32.980638794696823</v>
      </c>
      <c r="H15" s="187">
        <v>27.733767023249957</v>
      </c>
      <c r="I15" s="187"/>
      <c r="J15" s="187"/>
      <c r="K15" s="187"/>
    </row>
    <row r="16" spans="1:11" s="76" customFormat="1" ht="22.5" customHeight="1" x14ac:dyDescent="0.35">
      <c r="A16" s="186">
        <v>12</v>
      </c>
      <c r="B16" s="343" t="s">
        <v>23</v>
      </c>
      <c r="C16" s="187">
        <v>39.925025853154082</v>
      </c>
      <c r="D16" s="187">
        <v>53.611209439528018</v>
      </c>
      <c r="E16" s="187">
        <v>46.38134657836644</v>
      </c>
      <c r="F16" s="187">
        <v>32.327709004367563</v>
      </c>
      <c r="G16" s="187">
        <v>43.92942470420634</v>
      </c>
      <c r="H16" s="187">
        <v>37.816932499404807</v>
      </c>
      <c r="I16" s="187">
        <v>40.190291876973525</v>
      </c>
      <c r="J16" s="187">
        <v>52.755381400449409</v>
      </c>
      <c r="K16" s="187">
        <v>46.257958504374841</v>
      </c>
    </row>
    <row r="17" spans="1:11" s="76" customFormat="1" ht="22.5" customHeight="1" x14ac:dyDescent="0.35">
      <c r="A17" s="186">
        <v>13</v>
      </c>
      <c r="B17" s="343" t="s">
        <v>24</v>
      </c>
      <c r="C17" s="187">
        <v>18.504017447199267</v>
      </c>
      <c r="D17" s="187">
        <v>24.828660436137071</v>
      </c>
      <c r="E17" s="187">
        <v>21.464316161247108</v>
      </c>
      <c r="F17" s="187">
        <v>14.351451236246259</v>
      </c>
      <c r="G17" s="187">
        <v>19.926031739836347</v>
      </c>
      <c r="H17" s="187">
        <v>16.955933802961447</v>
      </c>
      <c r="I17" s="187">
        <v>16.993024872728114</v>
      </c>
      <c r="J17" s="187">
        <v>17.090776477918883</v>
      </c>
      <c r="K17" s="187">
        <v>17.038734244143157</v>
      </c>
    </row>
    <row r="18" spans="1:11" s="76" customFormat="1" ht="22.5" customHeight="1" x14ac:dyDescent="0.35">
      <c r="A18" s="186">
        <v>14</v>
      </c>
      <c r="B18" s="343" t="s">
        <v>25</v>
      </c>
      <c r="C18" s="187">
        <v>18.650949628406277</v>
      </c>
      <c r="D18" s="187">
        <v>20.236268939393938</v>
      </c>
      <c r="E18" s="187">
        <v>19.427105285340975</v>
      </c>
      <c r="F18" s="187">
        <v>15.543101741402745</v>
      </c>
      <c r="G18" s="187">
        <v>15.171574150575715</v>
      </c>
      <c r="H18" s="187">
        <v>15.362267294914414</v>
      </c>
      <c r="I18" s="187">
        <v>13.80912426547553</v>
      </c>
      <c r="J18" s="187">
        <v>17.212334661595005</v>
      </c>
      <c r="K18" s="187">
        <v>15.572122379764719</v>
      </c>
    </row>
    <row r="19" spans="1:11" s="76" customFormat="1" ht="22.5" customHeight="1" x14ac:dyDescent="0.35">
      <c r="A19" s="186">
        <v>15</v>
      </c>
      <c r="B19" s="343" t="s">
        <v>26</v>
      </c>
      <c r="C19" s="187">
        <v>41.039350626433738</v>
      </c>
      <c r="D19" s="187">
        <v>42.849924632583843</v>
      </c>
      <c r="E19" s="187">
        <v>41.923882002673466</v>
      </c>
      <c r="F19" s="187">
        <v>33.086562265196633</v>
      </c>
      <c r="G19" s="187">
        <v>31.915201176705366</v>
      </c>
      <c r="H19" s="187">
        <v>32.512389823250132</v>
      </c>
      <c r="I19" s="187">
        <v>33.195971730987509</v>
      </c>
      <c r="J19" s="187">
        <v>33.43024538704092</v>
      </c>
      <c r="K19" s="187">
        <v>33.310062668811021</v>
      </c>
    </row>
    <row r="20" spans="1:11" s="76" customFormat="1" ht="22.5" customHeight="1" x14ac:dyDescent="0.35">
      <c r="A20" s="186">
        <v>16</v>
      </c>
      <c r="B20" s="343" t="s">
        <v>27</v>
      </c>
      <c r="C20" s="187">
        <v>33.692837465564743</v>
      </c>
      <c r="D20" s="187">
        <v>49.057378137866912</v>
      </c>
      <c r="E20" s="187">
        <v>41.154128795204024</v>
      </c>
      <c r="F20" s="187">
        <v>23.214173245577886</v>
      </c>
      <c r="G20" s="187">
        <v>39.60701313007381</v>
      </c>
      <c r="H20" s="187">
        <v>31.160642429710379</v>
      </c>
      <c r="I20" s="187">
        <v>22.855844216776593</v>
      </c>
      <c r="J20" s="187">
        <v>33.618547162593387</v>
      </c>
      <c r="K20" s="187">
        <v>28.238826075975293</v>
      </c>
    </row>
    <row r="21" spans="1:11" s="76" customFormat="1" ht="22.5" customHeight="1" x14ac:dyDescent="0.35">
      <c r="A21" s="186">
        <v>17</v>
      </c>
      <c r="B21" s="344" t="s">
        <v>28</v>
      </c>
      <c r="C21" s="187">
        <v>7.7936529289555505</v>
      </c>
      <c r="D21" s="187">
        <v>16.87413244191757</v>
      </c>
      <c r="E21" s="187">
        <v>11.862130326317086</v>
      </c>
      <c r="F21" s="187">
        <v>0</v>
      </c>
      <c r="G21" s="187">
        <v>0</v>
      </c>
      <c r="H21" s="187">
        <v>0</v>
      </c>
      <c r="I21" s="187">
        <v>10.516397037111426</v>
      </c>
      <c r="J21" s="187">
        <v>17.755501253627369</v>
      </c>
      <c r="K21" s="187">
        <v>14.199599507904704</v>
      </c>
    </row>
    <row r="22" spans="1:11" s="76" customFormat="1" ht="22.5" customHeight="1" x14ac:dyDescent="0.35">
      <c r="A22" s="186">
        <v>18</v>
      </c>
      <c r="B22" s="343" t="s">
        <v>82</v>
      </c>
      <c r="C22" s="187">
        <v>4.514086888788011</v>
      </c>
      <c r="D22" s="187">
        <v>9.9740516491164186</v>
      </c>
      <c r="E22" s="187">
        <v>7.0909699939832374</v>
      </c>
      <c r="F22" s="187"/>
      <c r="G22" s="187"/>
      <c r="H22" s="187"/>
      <c r="I22" s="187">
        <v>4.8184929690259128</v>
      </c>
      <c r="J22" s="187">
        <v>9.2110443944180798</v>
      </c>
      <c r="K22" s="187">
        <v>6.9755676958262587</v>
      </c>
    </row>
    <row r="23" spans="1:11" s="76" customFormat="1" ht="22.5" customHeight="1" x14ac:dyDescent="0.35">
      <c r="A23" s="186">
        <v>19</v>
      </c>
      <c r="B23" s="343" t="s">
        <v>29</v>
      </c>
      <c r="C23" s="187">
        <v>28.97859492858289</v>
      </c>
      <c r="D23" s="187">
        <v>29.053654913269543</v>
      </c>
      <c r="E23" s="187">
        <v>29.013929557433283</v>
      </c>
      <c r="F23" s="187">
        <v>26.320237344826257</v>
      </c>
      <c r="G23" s="187">
        <v>27.650236202124688</v>
      </c>
      <c r="H23" s="187">
        <v>26.94234472802647</v>
      </c>
      <c r="I23" s="187">
        <v>16.545835932911686</v>
      </c>
      <c r="J23" s="187">
        <v>17.810278742613615</v>
      </c>
      <c r="K23" s="187">
        <v>17.192572893004112</v>
      </c>
    </row>
    <row r="24" spans="1:11" s="76" customFormat="1" ht="22.5" customHeight="1" x14ac:dyDescent="0.35">
      <c r="A24" s="186">
        <v>20</v>
      </c>
      <c r="B24" s="343" t="s">
        <v>30</v>
      </c>
      <c r="C24" s="187">
        <v>36.712953890917724</v>
      </c>
      <c r="D24" s="187">
        <v>36.149055039787797</v>
      </c>
      <c r="E24" s="187">
        <v>36.443129669365817</v>
      </c>
      <c r="F24" s="187">
        <v>35.462032081714106</v>
      </c>
      <c r="G24" s="187">
        <v>37.813479992212947</v>
      </c>
      <c r="H24" s="187">
        <v>36.592138547303648</v>
      </c>
      <c r="I24" s="187">
        <v>20.062689078027741</v>
      </c>
      <c r="J24" s="187">
        <v>18.107354123961699</v>
      </c>
      <c r="K24" s="187">
        <v>19.082544272416634</v>
      </c>
    </row>
    <row r="25" spans="1:11" s="76" customFormat="1" ht="22.5" customHeight="1" x14ac:dyDescent="0.35">
      <c r="A25" s="186">
        <v>21</v>
      </c>
      <c r="B25" s="343" t="s">
        <v>31</v>
      </c>
      <c r="C25" s="187">
        <v>29.961867982451949</v>
      </c>
      <c r="D25" s="187">
        <v>31.525892658718348</v>
      </c>
      <c r="E25" s="187">
        <v>30.729309566847462</v>
      </c>
      <c r="F25" s="187">
        <v>62.006791274990917</v>
      </c>
      <c r="G25" s="187">
        <v>61.587184729023591</v>
      </c>
      <c r="H25" s="187">
        <v>61.802632327679973</v>
      </c>
      <c r="I25" s="187">
        <v>17.582886204164446</v>
      </c>
      <c r="J25" s="187">
        <v>19.828649914585878</v>
      </c>
      <c r="K25" s="187">
        <v>18.665265113124239</v>
      </c>
    </row>
    <row r="26" spans="1:11" s="76" customFormat="1" ht="22.5" customHeight="1" x14ac:dyDescent="0.35">
      <c r="A26" s="186">
        <v>22</v>
      </c>
      <c r="B26" s="343" t="s">
        <v>32</v>
      </c>
      <c r="C26" s="187">
        <v>25.366207728586144</v>
      </c>
      <c r="D26" s="187">
        <v>32.86440581218428</v>
      </c>
      <c r="E26" s="187">
        <v>29.081742959721456</v>
      </c>
      <c r="F26" s="187">
        <v>145.61361349381033</v>
      </c>
      <c r="G26" s="187">
        <v>153.80663079730974</v>
      </c>
      <c r="H26" s="187">
        <v>149.37659132005194</v>
      </c>
      <c r="I26" s="187">
        <v>20.557669600779548</v>
      </c>
      <c r="J26" s="187">
        <v>29.203376886357908</v>
      </c>
      <c r="K26" s="187">
        <v>24.902748860949124</v>
      </c>
    </row>
    <row r="27" spans="1:11" s="76" customFormat="1" ht="22.5" customHeight="1" x14ac:dyDescent="0.35">
      <c r="A27" s="186">
        <v>23</v>
      </c>
      <c r="B27" s="343" t="s">
        <v>33</v>
      </c>
      <c r="C27" s="187">
        <v>30.70245357576102</v>
      </c>
      <c r="D27" s="187">
        <v>32.408726703306478</v>
      </c>
      <c r="E27" s="187">
        <v>31.539797125504442</v>
      </c>
      <c r="F27" s="187">
        <v>203.92185181172863</v>
      </c>
      <c r="G27" s="187">
        <v>193.62818434378244</v>
      </c>
      <c r="H27" s="187">
        <v>200.30638013689338</v>
      </c>
      <c r="I27" s="187">
        <v>30.827515445858864</v>
      </c>
      <c r="J27" s="187">
        <v>32.493782577591624</v>
      </c>
      <c r="K27" s="187">
        <v>31.656861531618475</v>
      </c>
    </row>
    <row r="28" spans="1:11" s="76" customFormat="1" ht="22.5" customHeight="1" x14ac:dyDescent="0.35">
      <c r="A28" s="186">
        <v>24</v>
      </c>
      <c r="B28" s="343" t="s">
        <v>34</v>
      </c>
      <c r="C28" s="187">
        <v>15.900348106095482</v>
      </c>
      <c r="D28" s="187">
        <v>21.147917044615397</v>
      </c>
      <c r="E28" s="187">
        <v>18.411481943589255</v>
      </c>
      <c r="F28" s="187"/>
      <c r="G28" s="187"/>
      <c r="H28" s="187"/>
      <c r="I28" s="187">
        <v>16.193387552187531</v>
      </c>
      <c r="J28" s="187">
        <v>21.396464176013342</v>
      </c>
      <c r="K28" s="187">
        <v>18.737754209693549</v>
      </c>
    </row>
    <row r="29" spans="1:11" s="76" customFormat="1" ht="22.5" customHeight="1" x14ac:dyDescent="0.35">
      <c r="A29" s="186">
        <v>25</v>
      </c>
      <c r="B29" s="343" t="s">
        <v>35</v>
      </c>
      <c r="C29" s="187">
        <v>25.299465680230171</v>
      </c>
      <c r="D29" s="187">
        <v>24.407145913564399</v>
      </c>
      <c r="E29" s="187">
        <v>24.859158177168492</v>
      </c>
      <c r="F29" s="187">
        <v>26.113744000967831</v>
      </c>
      <c r="G29" s="187">
        <v>23.999373480305795</v>
      </c>
      <c r="H29" s="187">
        <v>25.076810676869343</v>
      </c>
      <c r="I29" s="187">
        <v>17.947204757026594</v>
      </c>
      <c r="J29" s="187">
        <v>17.376903055248775</v>
      </c>
      <c r="K29" s="187">
        <v>17.655458296127925</v>
      </c>
    </row>
    <row r="30" spans="1:11" s="76" customFormat="1" ht="22.5" customHeight="1" x14ac:dyDescent="0.35">
      <c r="A30" s="186">
        <v>26</v>
      </c>
      <c r="B30" s="343" t="s">
        <v>36</v>
      </c>
      <c r="C30" s="187">
        <v>71.788877950046654</v>
      </c>
      <c r="D30" s="187">
        <v>72.804538038125941</v>
      </c>
      <c r="E30" s="187">
        <v>72.312725948206875</v>
      </c>
      <c r="F30" s="187">
        <v>53.01670700729214</v>
      </c>
      <c r="G30" s="187">
        <v>52.42843617621471</v>
      </c>
      <c r="H30" s="187">
        <v>52.711687490607481</v>
      </c>
      <c r="I30" s="187"/>
      <c r="J30" s="187"/>
      <c r="K30" s="187"/>
    </row>
    <row r="31" spans="1:11" s="76" customFormat="1" ht="22.5" customHeight="1" x14ac:dyDescent="0.35">
      <c r="A31" s="186">
        <v>27</v>
      </c>
      <c r="B31" s="343" t="s">
        <v>37</v>
      </c>
      <c r="C31" s="187">
        <v>27.890574214517876</v>
      </c>
      <c r="D31" s="187">
        <v>34.357831677381647</v>
      </c>
      <c r="E31" s="187">
        <v>30.811959606626626</v>
      </c>
      <c r="F31" s="187">
        <v>19.009221390021477</v>
      </c>
      <c r="G31" s="187">
        <v>28.560342769863528</v>
      </c>
      <c r="H31" s="187">
        <v>23.372007924984157</v>
      </c>
      <c r="I31" s="187"/>
      <c r="J31" s="187"/>
      <c r="K31" s="187"/>
    </row>
    <row r="32" spans="1:11" s="76" customFormat="1" ht="22.5" customHeight="1" x14ac:dyDescent="0.35">
      <c r="A32" s="186">
        <v>28</v>
      </c>
      <c r="B32" s="342" t="s">
        <v>38</v>
      </c>
      <c r="C32" s="187">
        <v>28.774318584800628</v>
      </c>
      <c r="D32" s="187">
        <v>30.315187929165155</v>
      </c>
      <c r="E32" s="187">
        <v>29.512159627449712</v>
      </c>
      <c r="F32" s="187">
        <v>27.185332063075375</v>
      </c>
      <c r="G32" s="187">
        <v>29.450551511986912</v>
      </c>
      <c r="H32" s="187">
        <v>28.247755473213438</v>
      </c>
      <c r="I32" s="187">
        <v>27.931676097971341</v>
      </c>
      <c r="J32" s="187">
        <v>29.689028860289312</v>
      </c>
      <c r="K32" s="187">
        <v>28.79891395741161</v>
      </c>
    </row>
    <row r="33" spans="1:11" s="76" customFormat="1" ht="22.5" customHeight="1" x14ac:dyDescent="0.35">
      <c r="A33" s="186">
        <v>29</v>
      </c>
      <c r="B33" s="345" t="s">
        <v>39</v>
      </c>
      <c r="C33" s="187">
        <v>39.416917585300013</v>
      </c>
      <c r="D33" s="187">
        <v>45.984918277573946</v>
      </c>
      <c r="E33" s="187">
        <v>42.508123183638638</v>
      </c>
      <c r="F33" s="187">
        <v>55.197088123830206</v>
      </c>
      <c r="G33" s="187">
        <v>48.035942733080361</v>
      </c>
      <c r="H33" s="187">
        <v>51.595037200260073</v>
      </c>
      <c r="I33" s="187">
        <v>33.174089432272801</v>
      </c>
      <c r="J33" s="187">
        <v>43.360221653675815</v>
      </c>
      <c r="K33" s="187">
        <v>38.179652895833044</v>
      </c>
    </row>
    <row r="34" spans="1:11" s="76" customFormat="1" ht="22.5" customHeight="1" x14ac:dyDescent="0.35">
      <c r="A34" s="186">
        <v>30</v>
      </c>
      <c r="B34" s="342" t="s">
        <v>40</v>
      </c>
      <c r="C34" s="187">
        <v>51.569125078067337</v>
      </c>
      <c r="D34" s="187">
        <v>53.058257986739001</v>
      </c>
      <c r="E34" s="187">
        <v>52.286835642869669</v>
      </c>
      <c r="F34" s="187">
        <v>43.537806989876287</v>
      </c>
      <c r="G34" s="187">
        <v>45.203341282246441</v>
      </c>
      <c r="H34" s="187">
        <v>44.355840088330638</v>
      </c>
      <c r="I34" s="187">
        <v>47.64670327361317</v>
      </c>
      <c r="J34" s="187">
        <v>38.181483633878159</v>
      </c>
      <c r="K34" s="187">
        <v>42.933128365625045</v>
      </c>
    </row>
    <row r="35" spans="1:11" s="76" customFormat="1" ht="22.5" customHeight="1" x14ac:dyDescent="0.35">
      <c r="A35" s="186">
        <v>31</v>
      </c>
      <c r="B35" s="342" t="s">
        <v>41</v>
      </c>
      <c r="C35" s="187">
        <v>44.189446016983418</v>
      </c>
      <c r="D35" s="187">
        <v>49.171656256730564</v>
      </c>
      <c r="E35" s="187">
        <v>46.589688786946773</v>
      </c>
      <c r="F35" s="187">
        <v>41.032126677020401</v>
      </c>
      <c r="G35" s="187">
        <v>50.662364002598125</v>
      </c>
      <c r="H35" s="187">
        <v>45.691399898891987</v>
      </c>
      <c r="I35" s="187">
        <v>46.287478843163285</v>
      </c>
      <c r="J35" s="187">
        <v>45.522180860842219</v>
      </c>
      <c r="K35" s="187">
        <v>45.912645330838856</v>
      </c>
    </row>
    <row r="36" spans="1:11" s="76" customFormat="1" ht="28" x14ac:dyDescent="0.35">
      <c r="A36" s="186">
        <v>32</v>
      </c>
      <c r="B36" s="342" t="s">
        <v>58</v>
      </c>
      <c r="C36" s="187">
        <v>7.8447523571323199</v>
      </c>
      <c r="D36" s="187">
        <v>16.314062605890463</v>
      </c>
      <c r="E36" s="187">
        <v>10.536335119782262</v>
      </c>
      <c r="F36" s="187">
        <v>25.059044288744531</v>
      </c>
      <c r="G36" s="187">
        <v>28.652661649174743</v>
      </c>
      <c r="H36" s="187">
        <v>26.637564347498788</v>
      </c>
      <c r="I36" s="187">
        <v>6.3222092872595903</v>
      </c>
      <c r="J36" s="187">
        <v>8.2553141851605787</v>
      </c>
      <c r="K36" s="187">
        <v>7.3114083317386589</v>
      </c>
    </row>
    <row r="37" spans="1:11" s="76" customFormat="1" ht="22.5" customHeight="1" x14ac:dyDescent="0.35">
      <c r="A37" s="186">
        <v>33</v>
      </c>
      <c r="B37" s="342" t="s">
        <v>42</v>
      </c>
      <c r="C37" s="187">
        <v>22.720923343848888</v>
      </c>
      <c r="D37" s="187">
        <v>23.101390242215942</v>
      </c>
      <c r="E37" s="187">
        <v>22.910065026398811</v>
      </c>
      <c r="F37" s="187">
        <v>21.206116550237724</v>
      </c>
      <c r="G37" s="187">
        <v>22.183795587429902</v>
      </c>
      <c r="H37" s="187">
        <v>21.680641547158068</v>
      </c>
      <c r="I37" s="187">
        <v>21.815307611706576</v>
      </c>
      <c r="J37" s="187">
        <v>21.844427070564539</v>
      </c>
      <c r="K37" s="187">
        <v>21.83037278621245</v>
      </c>
    </row>
    <row r="38" spans="1:11" s="76" customFormat="1" ht="22.5" customHeight="1" x14ac:dyDescent="0.35">
      <c r="A38" s="186">
        <v>34</v>
      </c>
      <c r="B38" s="343" t="s">
        <v>43</v>
      </c>
      <c r="C38" s="187">
        <v>24.95346374367622</v>
      </c>
      <c r="D38" s="187">
        <v>27.110080804398674</v>
      </c>
      <c r="E38" s="187">
        <v>25.966814080260626</v>
      </c>
      <c r="F38" s="187">
        <v>22.718686660476767</v>
      </c>
      <c r="G38" s="187">
        <v>26.813871369175281</v>
      </c>
      <c r="H38" s="187">
        <v>24.612238092966358</v>
      </c>
      <c r="I38" s="187">
        <v>51.869891923439738</v>
      </c>
      <c r="J38" s="187">
        <v>52.815970459521921</v>
      </c>
      <c r="K38" s="187">
        <v>52.341191571161119</v>
      </c>
    </row>
    <row r="39" spans="1:11" s="76" customFormat="1" ht="22.5" customHeight="1" x14ac:dyDescent="0.3">
      <c r="A39" s="186">
        <v>35</v>
      </c>
      <c r="B39" s="190" t="s">
        <v>44</v>
      </c>
      <c r="C39" s="187">
        <v>45.503584743332368</v>
      </c>
      <c r="D39" s="187">
        <v>51.716634738186464</v>
      </c>
      <c r="E39" s="187">
        <v>48.516795279164775</v>
      </c>
      <c r="F39" s="187">
        <v>32.864838299902758</v>
      </c>
      <c r="G39" s="187">
        <v>43.155481732209083</v>
      </c>
      <c r="H39" s="187">
        <v>37.727171377918879</v>
      </c>
      <c r="I39" s="187">
        <v>41.389196918856022</v>
      </c>
      <c r="J39" s="187">
        <v>48.219989713876046</v>
      </c>
      <c r="K39" s="187">
        <v>44.723405977932636</v>
      </c>
    </row>
    <row r="40" spans="1:11" s="76" customFormat="1" ht="22.5" customHeight="1" x14ac:dyDescent="0.35">
      <c r="A40" s="188">
        <v>36</v>
      </c>
      <c r="B40" s="346" t="s">
        <v>45</v>
      </c>
      <c r="C40" s="564">
        <v>23.443028573662197</v>
      </c>
      <c r="D40" s="564">
        <v>25.719788333743537</v>
      </c>
      <c r="E40" s="564">
        <v>24.552969197205933</v>
      </c>
      <c r="F40" s="564">
        <v>20.446461900175617</v>
      </c>
      <c r="G40" s="564">
        <v>21.951753316586878</v>
      </c>
      <c r="H40" s="564">
        <v>21.190151821815196</v>
      </c>
      <c r="I40" s="564">
        <v>14.336500089979173</v>
      </c>
      <c r="J40" s="564">
        <v>16.250871074094452</v>
      </c>
      <c r="K40" s="564">
        <v>15.300679804237582</v>
      </c>
    </row>
    <row r="41" spans="1:11" s="189" customFormat="1" ht="22.5" customHeight="1" x14ac:dyDescent="0.35">
      <c r="A41" s="794" t="s">
        <v>46</v>
      </c>
      <c r="B41" s="794"/>
      <c r="C41" s="604">
        <v>28.910915292489705</v>
      </c>
      <c r="D41" s="604">
        <v>31.244423570983283</v>
      </c>
      <c r="E41" s="604">
        <v>30.024968808171927</v>
      </c>
      <c r="F41" s="604">
        <v>26.44276507889856</v>
      </c>
      <c r="G41" s="604">
        <v>29.282283780261174</v>
      </c>
      <c r="H41" s="604">
        <v>27.799350791996218</v>
      </c>
      <c r="I41" s="604">
        <v>21.871752730776347</v>
      </c>
      <c r="J41" s="604">
        <v>23.689613565325075</v>
      </c>
      <c r="K41" s="604">
        <v>22.786105251432762</v>
      </c>
    </row>
  </sheetData>
  <mergeCells count="7">
    <mergeCell ref="A41:B41"/>
    <mergeCell ref="A1:K1"/>
    <mergeCell ref="A2:A3"/>
    <mergeCell ref="B2:B3"/>
    <mergeCell ref="C2:E2"/>
    <mergeCell ref="F2:H2"/>
    <mergeCell ref="I2:K2"/>
  </mergeCells>
  <pageMargins left="0.59055118110236227" right="0.35433070866141736" top="0.39370078740157483" bottom="0.39370078740157483" header="0.31496062992125984" footer="0.19685039370078741"/>
  <pageSetup paperSize="9" scale="83" firstPageNumber="23" orientation="portrait" r:id="rId1"/>
  <headerFooter>
    <oddFooter>&amp;L&amp;"Arial,Italic"&amp;9AISHE 2023-24&amp;RT-19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D751-37AA-45A2-B6B5-63E71D5AA9B7}">
  <dimension ref="A1:E41"/>
  <sheetViews>
    <sheetView view="pageBreakPreview" zoomScaleSheetLayoutView="100" workbookViewId="0">
      <selection activeCell="B16" sqref="B16:M16"/>
    </sheetView>
  </sheetViews>
  <sheetFormatPr defaultRowHeight="14" x14ac:dyDescent="0.3"/>
  <cols>
    <col min="1" max="1" width="5.453125" style="202" customWidth="1"/>
    <col min="2" max="2" width="31.453125" style="202" customWidth="1"/>
    <col min="3" max="5" width="19.453125" style="202" customWidth="1"/>
    <col min="6" max="232" width="9.1796875" style="202"/>
    <col min="233" max="233" width="5.453125" style="202" customWidth="1"/>
    <col min="234" max="234" width="22.54296875" style="202" customWidth="1"/>
    <col min="235" max="235" width="17.54296875" style="202" customWidth="1"/>
    <col min="236" max="236" width="19" style="202" customWidth="1"/>
    <col min="237" max="237" width="22.453125" style="202" customWidth="1"/>
    <col min="238" max="488" width="9.1796875" style="202"/>
    <col min="489" max="489" width="5.453125" style="202" customWidth="1"/>
    <col min="490" max="490" width="22.54296875" style="202" customWidth="1"/>
    <col min="491" max="491" width="17.54296875" style="202" customWidth="1"/>
    <col min="492" max="492" width="19" style="202" customWidth="1"/>
    <col min="493" max="493" width="22.453125" style="202" customWidth="1"/>
    <col min="494" max="744" width="9.1796875" style="202"/>
    <col min="745" max="745" width="5.453125" style="202" customWidth="1"/>
    <col min="746" max="746" width="22.54296875" style="202" customWidth="1"/>
    <col min="747" max="747" width="17.54296875" style="202" customWidth="1"/>
    <col min="748" max="748" width="19" style="202" customWidth="1"/>
    <col min="749" max="749" width="22.453125" style="202" customWidth="1"/>
    <col min="750" max="1000" width="9.1796875" style="202"/>
    <col min="1001" max="1001" width="5.453125" style="202" customWidth="1"/>
    <col min="1002" max="1002" width="22.54296875" style="202" customWidth="1"/>
    <col min="1003" max="1003" width="17.54296875" style="202" customWidth="1"/>
    <col min="1004" max="1004" width="19" style="202" customWidth="1"/>
    <col min="1005" max="1005" width="22.453125" style="202" customWidth="1"/>
    <col min="1006" max="1256" width="9.1796875" style="202"/>
    <col min="1257" max="1257" width="5.453125" style="202" customWidth="1"/>
    <col min="1258" max="1258" width="22.54296875" style="202" customWidth="1"/>
    <col min="1259" max="1259" width="17.54296875" style="202" customWidth="1"/>
    <col min="1260" max="1260" width="19" style="202" customWidth="1"/>
    <col min="1261" max="1261" width="22.453125" style="202" customWidth="1"/>
    <col min="1262" max="1512" width="9.1796875" style="202"/>
    <col min="1513" max="1513" width="5.453125" style="202" customWidth="1"/>
    <col min="1514" max="1514" width="22.54296875" style="202" customWidth="1"/>
    <col min="1515" max="1515" width="17.54296875" style="202" customWidth="1"/>
    <col min="1516" max="1516" width="19" style="202" customWidth="1"/>
    <col min="1517" max="1517" width="22.453125" style="202" customWidth="1"/>
    <col min="1518" max="1768" width="9.1796875" style="202"/>
    <col min="1769" max="1769" width="5.453125" style="202" customWidth="1"/>
    <col min="1770" max="1770" width="22.54296875" style="202" customWidth="1"/>
    <col min="1771" max="1771" width="17.54296875" style="202" customWidth="1"/>
    <col min="1772" max="1772" width="19" style="202" customWidth="1"/>
    <col min="1773" max="1773" width="22.453125" style="202" customWidth="1"/>
    <col min="1774" max="2024" width="9.1796875" style="202"/>
    <col min="2025" max="2025" width="5.453125" style="202" customWidth="1"/>
    <col min="2026" max="2026" width="22.54296875" style="202" customWidth="1"/>
    <col min="2027" max="2027" width="17.54296875" style="202" customWidth="1"/>
    <col min="2028" max="2028" width="19" style="202" customWidth="1"/>
    <col min="2029" max="2029" width="22.453125" style="202" customWidth="1"/>
    <col min="2030" max="2280" width="9.1796875" style="202"/>
    <col min="2281" max="2281" width="5.453125" style="202" customWidth="1"/>
    <col min="2282" max="2282" width="22.54296875" style="202" customWidth="1"/>
    <col min="2283" max="2283" width="17.54296875" style="202" customWidth="1"/>
    <col min="2284" max="2284" width="19" style="202" customWidth="1"/>
    <col min="2285" max="2285" width="22.453125" style="202" customWidth="1"/>
    <col min="2286" max="2536" width="9.1796875" style="202"/>
    <col min="2537" max="2537" width="5.453125" style="202" customWidth="1"/>
    <col min="2538" max="2538" width="22.54296875" style="202" customWidth="1"/>
    <col min="2539" max="2539" width="17.54296875" style="202" customWidth="1"/>
    <col min="2540" max="2540" width="19" style="202" customWidth="1"/>
    <col min="2541" max="2541" width="22.453125" style="202" customWidth="1"/>
    <col min="2542" max="2792" width="9.1796875" style="202"/>
    <col min="2793" max="2793" width="5.453125" style="202" customWidth="1"/>
    <col min="2794" max="2794" width="22.54296875" style="202" customWidth="1"/>
    <col min="2795" max="2795" width="17.54296875" style="202" customWidth="1"/>
    <col min="2796" max="2796" width="19" style="202" customWidth="1"/>
    <col min="2797" max="2797" width="22.453125" style="202" customWidth="1"/>
    <col min="2798" max="3048" width="9.1796875" style="202"/>
    <col min="3049" max="3049" width="5.453125" style="202" customWidth="1"/>
    <col min="3050" max="3050" width="22.54296875" style="202" customWidth="1"/>
    <col min="3051" max="3051" width="17.54296875" style="202" customWidth="1"/>
    <col min="3052" max="3052" width="19" style="202" customWidth="1"/>
    <col min="3053" max="3053" width="22.453125" style="202" customWidth="1"/>
    <col min="3054" max="3304" width="9.1796875" style="202"/>
    <col min="3305" max="3305" width="5.453125" style="202" customWidth="1"/>
    <col min="3306" max="3306" width="22.54296875" style="202" customWidth="1"/>
    <col min="3307" max="3307" width="17.54296875" style="202" customWidth="1"/>
    <col min="3308" max="3308" width="19" style="202" customWidth="1"/>
    <col min="3309" max="3309" width="22.453125" style="202" customWidth="1"/>
    <col min="3310" max="3560" width="9.1796875" style="202"/>
    <col min="3561" max="3561" width="5.453125" style="202" customWidth="1"/>
    <col min="3562" max="3562" width="22.54296875" style="202" customWidth="1"/>
    <col min="3563" max="3563" width="17.54296875" style="202" customWidth="1"/>
    <col min="3564" max="3564" width="19" style="202" customWidth="1"/>
    <col min="3565" max="3565" width="22.453125" style="202" customWidth="1"/>
    <col min="3566" max="3816" width="9.1796875" style="202"/>
    <col min="3817" max="3817" width="5.453125" style="202" customWidth="1"/>
    <col min="3818" max="3818" width="22.54296875" style="202" customWidth="1"/>
    <col min="3819" max="3819" width="17.54296875" style="202" customWidth="1"/>
    <col min="3820" max="3820" width="19" style="202" customWidth="1"/>
    <col min="3821" max="3821" width="22.453125" style="202" customWidth="1"/>
    <col min="3822" max="4072" width="9.1796875" style="202"/>
    <col min="4073" max="4073" width="5.453125" style="202" customWidth="1"/>
    <col min="4074" max="4074" width="22.54296875" style="202" customWidth="1"/>
    <col min="4075" max="4075" width="17.54296875" style="202" customWidth="1"/>
    <col min="4076" max="4076" width="19" style="202" customWidth="1"/>
    <col min="4077" max="4077" width="22.453125" style="202" customWidth="1"/>
    <col min="4078" max="4328" width="9.1796875" style="202"/>
    <col min="4329" max="4329" width="5.453125" style="202" customWidth="1"/>
    <col min="4330" max="4330" width="22.54296875" style="202" customWidth="1"/>
    <col min="4331" max="4331" width="17.54296875" style="202" customWidth="1"/>
    <col min="4332" max="4332" width="19" style="202" customWidth="1"/>
    <col min="4333" max="4333" width="22.453125" style="202" customWidth="1"/>
    <col min="4334" max="4584" width="9.1796875" style="202"/>
    <col min="4585" max="4585" width="5.453125" style="202" customWidth="1"/>
    <col min="4586" max="4586" width="22.54296875" style="202" customWidth="1"/>
    <col min="4587" max="4587" width="17.54296875" style="202" customWidth="1"/>
    <col min="4588" max="4588" width="19" style="202" customWidth="1"/>
    <col min="4589" max="4589" width="22.453125" style="202" customWidth="1"/>
    <col min="4590" max="4840" width="9.1796875" style="202"/>
    <col min="4841" max="4841" width="5.453125" style="202" customWidth="1"/>
    <col min="4842" max="4842" width="22.54296875" style="202" customWidth="1"/>
    <col min="4843" max="4843" width="17.54296875" style="202" customWidth="1"/>
    <col min="4844" max="4844" width="19" style="202" customWidth="1"/>
    <col min="4845" max="4845" width="22.453125" style="202" customWidth="1"/>
    <col min="4846" max="5096" width="9.1796875" style="202"/>
    <col min="5097" max="5097" width="5.453125" style="202" customWidth="1"/>
    <col min="5098" max="5098" width="22.54296875" style="202" customWidth="1"/>
    <col min="5099" max="5099" width="17.54296875" style="202" customWidth="1"/>
    <col min="5100" max="5100" width="19" style="202" customWidth="1"/>
    <col min="5101" max="5101" width="22.453125" style="202" customWidth="1"/>
    <col min="5102" max="5352" width="9.1796875" style="202"/>
    <col min="5353" max="5353" width="5.453125" style="202" customWidth="1"/>
    <col min="5354" max="5354" width="22.54296875" style="202" customWidth="1"/>
    <col min="5355" max="5355" width="17.54296875" style="202" customWidth="1"/>
    <col min="5356" max="5356" width="19" style="202" customWidth="1"/>
    <col min="5357" max="5357" width="22.453125" style="202" customWidth="1"/>
    <col min="5358" max="5608" width="9.1796875" style="202"/>
    <col min="5609" max="5609" width="5.453125" style="202" customWidth="1"/>
    <col min="5610" max="5610" width="22.54296875" style="202" customWidth="1"/>
    <col min="5611" max="5611" width="17.54296875" style="202" customWidth="1"/>
    <col min="5612" max="5612" width="19" style="202" customWidth="1"/>
    <col min="5613" max="5613" width="22.453125" style="202" customWidth="1"/>
    <col min="5614" max="5864" width="9.1796875" style="202"/>
    <col min="5865" max="5865" width="5.453125" style="202" customWidth="1"/>
    <col min="5866" max="5866" width="22.54296875" style="202" customWidth="1"/>
    <col min="5867" max="5867" width="17.54296875" style="202" customWidth="1"/>
    <col min="5868" max="5868" width="19" style="202" customWidth="1"/>
    <col min="5869" max="5869" width="22.453125" style="202" customWidth="1"/>
    <col min="5870" max="6120" width="9.1796875" style="202"/>
    <col min="6121" max="6121" width="5.453125" style="202" customWidth="1"/>
    <col min="6122" max="6122" width="22.54296875" style="202" customWidth="1"/>
    <col min="6123" max="6123" width="17.54296875" style="202" customWidth="1"/>
    <col min="6124" max="6124" width="19" style="202" customWidth="1"/>
    <col min="6125" max="6125" width="22.453125" style="202" customWidth="1"/>
    <col min="6126" max="6376" width="9.1796875" style="202"/>
    <col min="6377" max="6377" width="5.453125" style="202" customWidth="1"/>
    <col min="6378" max="6378" width="22.54296875" style="202" customWidth="1"/>
    <col min="6379" max="6379" width="17.54296875" style="202" customWidth="1"/>
    <col min="6380" max="6380" width="19" style="202" customWidth="1"/>
    <col min="6381" max="6381" width="22.453125" style="202" customWidth="1"/>
    <col min="6382" max="6632" width="9.1796875" style="202"/>
    <col min="6633" max="6633" width="5.453125" style="202" customWidth="1"/>
    <col min="6634" max="6634" width="22.54296875" style="202" customWidth="1"/>
    <col min="6635" max="6635" width="17.54296875" style="202" customWidth="1"/>
    <col min="6636" max="6636" width="19" style="202" customWidth="1"/>
    <col min="6637" max="6637" width="22.453125" style="202" customWidth="1"/>
    <col min="6638" max="6888" width="9.1796875" style="202"/>
    <col min="6889" max="6889" width="5.453125" style="202" customWidth="1"/>
    <col min="6890" max="6890" width="22.54296875" style="202" customWidth="1"/>
    <col min="6891" max="6891" width="17.54296875" style="202" customWidth="1"/>
    <col min="6892" max="6892" width="19" style="202" customWidth="1"/>
    <col min="6893" max="6893" width="22.453125" style="202" customWidth="1"/>
    <col min="6894" max="7144" width="9.1796875" style="202"/>
    <col min="7145" max="7145" width="5.453125" style="202" customWidth="1"/>
    <col min="7146" max="7146" width="22.54296875" style="202" customWidth="1"/>
    <col min="7147" max="7147" width="17.54296875" style="202" customWidth="1"/>
    <col min="7148" max="7148" width="19" style="202" customWidth="1"/>
    <col min="7149" max="7149" width="22.453125" style="202" customWidth="1"/>
    <col min="7150" max="7400" width="9.1796875" style="202"/>
    <col min="7401" max="7401" width="5.453125" style="202" customWidth="1"/>
    <col min="7402" max="7402" width="22.54296875" style="202" customWidth="1"/>
    <col min="7403" max="7403" width="17.54296875" style="202" customWidth="1"/>
    <col min="7404" max="7404" width="19" style="202" customWidth="1"/>
    <col min="7405" max="7405" width="22.453125" style="202" customWidth="1"/>
    <col min="7406" max="7656" width="9.1796875" style="202"/>
    <col min="7657" max="7657" width="5.453125" style="202" customWidth="1"/>
    <col min="7658" max="7658" width="22.54296875" style="202" customWidth="1"/>
    <col min="7659" max="7659" width="17.54296875" style="202" customWidth="1"/>
    <col min="7660" max="7660" width="19" style="202" customWidth="1"/>
    <col min="7661" max="7661" width="22.453125" style="202" customWidth="1"/>
    <col min="7662" max="7912" width="9.1796875" style="202"/>
    <col min="7913" max="7913" width="5.453125" style="202" customWidth="1"/>
    <col min="7914" max="7914" width="22.54296875" style="202" customWidth="1"/>
    <col min="7915" max="7915" width="17.54296875" style="202" customWidth="1"/>
    <col min="7916" max="7916" width="19" style="202" customWidth="1"/>
    <col min="7917" max="7917" width="22.453125" style="202" customWidth="1"/>
    <col min="7918" max="8168" width="9.1796875" style="202"/>
    <col min="8169" max="8169" width="5.453125" style="202" customWidth="1"/>
    <col min="8170" max="8170" width="22.54296875" style="202" customWidth="1"/>
    <col min="8171" max="8171" width="17.54296875" style="202" customWidth="1"/>
    <col min="8172" max="8172" width="19" style="202" customWidth="1"/>
    <col min="8173" max="8173" width="22.453125" style="202" customWidth="1"/>
    <col min="8174" max="8424" width="9.1796875" style="202"/>
    <col min="8425" max="8425" width="5.453125" style="202" customWidth="1"/>
    <col min="8426" max="8426" width="22.54296875" style="202" customWidth="1"/>
    <col min="8427" max="8427" width="17.54296875" style="202" customWidth="1"/>
    <col min="8428" max="8428" width="19" style="202" customWidth="1"/>
    <col min="8429" max="8429" width="22.453125" style="202" customWidth="1"/>
    <col min="8430" max="8680" width="9.1796875" style="202"/>
    <col min="8681" max="8681" width="5.453125" style="202" customWidth="1"/>
    <col min="8682" max="8682" width="22.54296875" style="202" customWidth="1"/>
    <col min="8683" max="8683" width="17.54296875" style="202" customWidth="1"/>
    <col min="8684" max="8684" width="19" style="202" customWidth="1"/>
    <col min="8685" max="8685" width="22.453125" style="202" customWidth="1"/>
    <col min="8686" max="8936" width="9.1796875" style="202"/>
    <col min="8937" max="8937" width="5.453125" style="202" customWidth="1"/>
    <col min="8938" max="8938" width="22.54296875" style="202" customWidth="1"/>
    <col min="8939" max="8939" width="17.54296875" style="202" customWidth="1"/>
    <col min="8940" max="8940" width="19" style="202" customWidth="1"/>
    <col min="8941" max="8941" width="22.453125" style="202" customWidth="1"/>
    <col min="8942" max="9192" width="9.1796875" style="202"/>
    <col min="9193" max="9193" width="5.453125" style="202" customWidth="1"/>
    <col min="9194" max="9194" width="22.54296875" style="202" customWidth="1"/>
    <col min="9195" max="9195" width="17.54296875" style="202" customWidth="1"/>
    <col min="9196" max="9196" width="19" style="202" customWidth="1"/>
    <col min="9197" max="9197" width="22.453125" style="202" customWidth="1"/>
    <col min="9198" max="9448" width="9.1796875" style="202"/>
    <col min="9449" max="9449" width="5.453125" style="202" customWidth="1"/>
    <col min="9450" max="9450" width="22.54296875" style="202" customWidth="1"/>
    <col min="9451" max="9451" width="17.54296875" style="202" customWidth="1"/>
    <col min="9452" max="9452" width="19" style="202" customWidth="1"/>
    <col min="9453" max="9453" width="22.453125" style="202" customWidth="1"/>
    <col min="9454" max="9704" width="9.1796875" style="202"/>
    <col min="9705" max="9705" width="5.453125" style="202" customWidth="1"/>
    <col min="9706" max="9706" width="22.54296875" style="202" customWidth="1"/>
    <col min="9707" max="9707" width="17.54296875" style="202" customWidth="1"/>
    <col min="9708" max="9708" width="19" style="202" customWidth="1"/>
    <col min="9709" max="9709" width="22.453125" style="202" customWidth="1"/>
    <col min="9710" max="9960" width="9.1796875" style="202"/>
    <col min="9961" max="9961" width="5.453125" style="202" customWidth="1"/>
    <col min="9962" max="9962" width="22.54296875" style="202" customWidth="1"/>
    <col min="9963" max="9963" width="17.54296875" style="202" customWidth="1"/>
    <col min="9964" max="9964" width="19" style="202" customWidth="1"/>
    <col min="9965" max="9965" width="22.453125" style="202" customWidth="1"/>
    <col min="9966" max="10216" width="9.1796875" style="202"/>
    <col min="10217" max="10217" width="5.453125" style="202" customWidth="1"/>
    <col min="10218" max="10218" width="22.54296875" style="202" customWidth="1"/>
    <col min="10219" max="10219" width="17.54296875" style="202" customWidth="1"/>
    <col min="10220" max="10220" width="19" style="202" customWidth="1"/>
    <col min="10221" max="10221" width="22.453125" style="202" customWidth="1"/>
    <col min="10222" max="10472" width="9.1796875" style="202"/>
    <col min="10473" max="10473" width="5.453125" style="202" customWidth="1"/>
    <col min="10474" max="10474" width="22.54296875" style="202" customWidth="1"/>
    <col min="10475" max="10475" width="17.54296875" style="202" customWidth="1"/>
    <col min="10476" max="10476" width="19" style="202" customWidth="1"/>
    <col min="10477" max="10477" width="22.453125" style="202" customWidth="1"/>
    <col min="10478" max="10728" width="9.1796875" style="202"/>
    <col min="10729" max="10729" width="5.453125" style="202" customWidth="1"/>
    <col min="10730" max="10730" width="22.54296875" style="202" customWidth="1"/>
    <col min="10731" max="10731" width="17.54296875" style="202" customWidth="1"/>
    <col min="10732" max="10732" width="19" style="202" customWidth="1"/>
    <col min="10733" max="10733" width="22.453125" style="202" customWidth="1"/>
    <col min="10734" max="10984" width="9.1796875" style="202"/>
    <col min="10985" max="10985" width="5.453125" style="202" customWidth="1"/>
    <col min="10986" max="10986" width="22.54296875" style="202" customWidth="1"/>
    <col min="10987" max="10987" width="17.54296875" style="202" customWidth="1"/>
    <col min="10988" max="10988" width="19" style="202" customWidth="1"/>
    <col min="10989" max="10989" width="22.453125" style="202" customWidth="1"/>
    <col min="10990" max="11240" width="9.1796875" style="202"/>
    <col min="11241" max="11241" width="5.453125" style="202" customWidth="1"/>
    <col min="11242" max="11242" width="22.54296875" style="202" customWidth="1"/>
    <col min="11243" max="11243" width="17.54296875" style="202" customWidth="1"/>
    <col min="11244" max="11244" width="19" style="202" customWidth="1"/>
    <col min="11245" max="11245" width="22.453125" style="202" customWidth="1"/>
    <col min="11246" max="11496" width="9.1796875" style="202"/>
    <col min="11497" max="11497" width="5.453125" style="202" customWidth="1"/>
    <col min="11498" max="11498" width="22.54296875" style="202" customWidth="1"/>
    <col min="11499" max="11499" width="17.54296875" style="202" customWidth="1"/>
    <col min="11500" max="11500" width="19" style="202" customWidth="1"/>
    <col min="11501" max="11501" width="22.453125" style="202" customWidth="1"/>
    <col min="11502" max="11752" width="9.1796875" style="202"/>
    <col min="11753" max="11753" width="5.453125" style="202" customWidth="1"/>
    <col min="11754" max="11754" width="22.54296875" style="202" customWidth="1"/>
    <col min="11755" max="11755" width="17.54296875" style="202" customWidth="1"/>
    <col min="11756" max="11756" width="19" style="202" customWidth="1"/>
    <col min="11757" max="11757" width="22.453125" style="202" customWidth="1"/>
    <col min="11758" max="12008" width="9.1796875" style="202"/>
    <col min="12009" max="12009" width="5.453125" style="202" customWidth="1"/>
    <col min="12010" max="12010" width="22.54296875" style="202" customWidth="1"/>
    <col min="12011" max="12011" width="17.54296875" style="202" customWidth="1"/>
    <col min="12012" max="12012" width="19" style="202" customWidth="1"/>
    <col min="12013" max="12013" width="22.453125" style="202" customWidth="1"/>
    <col min="12014" max="12264" width="9.1796875" style="202"/>
    <col min="12265" max="12265" width="5.453125" style="202" customWidth="1"/>
    <col min="12266" max="12266" width="22.54296875" style="202" customWidth="1"/>
    <col min="12267" max="12267" width="17.54296875" style="202" customWidth="1"/>
    <col min="12268" max="12268" width="19" style="202" customWidth="1"/>
    <col min="12269" max="12269" width="22.453125" style="202" customWidth="1"/>
    <col min="12270" max="12520" width="9.1796875" style="202"/>
    <col min="12521" max="12521" width="5.453125" style="202" customWidth="1"/>
    <col min="12522" max="12522" width="22.54296875" style="202" customWidth="1"/>
    <col min="12523" max="12523" width="17.54296875" style="202" customWidth="1"/>
    <col min="12524" max="12524" width="19" style="202" customWidth="1"/>
    <col min="12525" max="12525" width="22.453125" style="202" customWidth="1"/>
    <col min="12526" max="12776" width="9.1796875" style="202"/>
    <col min="12777" max="12777" width="5.453125" style="202" customWidth="1"/>
    <col min="12778" max="12778" width="22.54296875" style="202" customWidth="1"/>
    <col min="12779" max="12779" width="17.54296875" style="202" customWidth="1"/>
    <col min="12780" max="12780" width="19" style="202" customWidth="1"/>
    <col min="12781" max="12781" width="22.453125" style="202" customWidth="1"/>
    <col min="12782" max="13032" width="9.1796875" style="202"/>
    <col min="13033" max="13033" width="5.453125" style="202" customWidth="1"/>
    <col min="13034" max="13034" width="22.54296875" style="202" customWidth="1"/>
    <col min="13035" max="13035" width="17.54296875" style="202" customWidth="1"/>
    <col min="13036" max="13036" width="19" style="202" customWidth="1"/>
    <col min="13037" max="13037" width="22.453125" style="202" customWidth="1"/>
    <col min="13038" max="13288" width="9.1796875" style="202"/>
    <col min="13289" max="13289" width="5.453125" style="202" customWidth="1"/>
    <col min="13290" max="13290" width="22.54296875" style="202" customWidth="1"/>
    <col min="13291" max="13291" width="17.54296875" style="202" customWidth="1"/>
    <col min="13292" max="13292" width="19" style="202" customWidth="1"/>
    <col min="13293" max="13293" width="22.453125" style="202" customWidth="1"/>
    <col min="13294" max="13544" width="9.1796875" style="202"/>
    <col min="13545" max="13545" width="5.453125" style="202" customWidth="1"/>
    <col min="13546" max="13546" width="22.54296875" style="202" customWidth="1"/>
    <col min="13547" max="13547" width="17.54296875" style="202" customWidth="1"/>
    <col min="13548" max="13548" width="19" style="202" customWidth="1"/>
    <col min="13549" max="13549" width="22.453125" style="202" customWidth="1"/>
    <col min="13550" max="13800" width="9.1796875" style="202"/>
    <col min="13801" max="13801" width="5.453125" style="202" customWidth="1"/>
    <col min="13802" max="13802" width="22.54296875" style="202" customWidth="1"/>
    <col min="13803" max="13803" width="17.54296875" style="202" customWidth="1"/>
    <col min="13804" max="13804" width="19" style="202" customWidth="1"/>
    <col min="13805" max="13805" width="22.453125" style="202" customWidth="1"/>
    <col min="13806" max="14056" width="9.1796875" style="202"/>
    <col min="14057" max="14057" width="5.453125" style="202" customWidth="1"/>
    <col min="14058" max="14058" width="22.54296875" style="202" customWidth="1"/>
    <col min="14059" max="14059" width="17.54296875" style="202" customWidth="1"/>
    <col min="14060" max="14060" width="19" style="202" customWidth="1"/>
    <col min="14061" max="14061" width="22.453125" style="202" customWidth="1"/>
    <col min="14062" max="14312" width="9.1796875" style="202"/>
    <col min="14313" max="14313" width="5.453125" style="202" customWidth="1"/>
    <col min="14314" max="14314" width="22.54296875" style="202" customWidth="1"/>
    <col min="14315" max="14315" width="17.54296875" style="202" customWidth="1"/>
    <col min="14316" max="14316" width="19" style="202" customWidth="1"/>
    <col min="14317" max="14317" width="22.453125" style="202" customWidth="1"/>
    <col min="14318" max="14568" width="9.1796875" style="202"/>
    <col min="14569" max="14569" width="5.453125" style="202" customWidth="1"/>
    <col min="14570" max="14570" width="22.54296875" style="202" customWidth="1"/>
    <col min="14571" max="14571" width="17.54296875" style="202" customWidth="1"/>
    <col min="14572" max="14572" width="19" style="202" customWidth="1"/>
    <col min="14573" max="14573" width="22.453125" style="202" customWidth="1"/>
    <col min="14574" max="14824" width="9.1796875" style="202"/>
    <col min="14825" max="14825" width="5.453125" style="202" customWidth="1"/>
    <col min="14826" max="14826" width="22.54296875" style="202" customWidth="1"/>
    <col min="14827" max="14827" width="17.54296875" style="202" customWidth="1"/>
    <col min="14828" max="14828" width="19" style="202" customWidth="1"/>
    <col min="14829" max="14829" width="22.453125" style="202" customWidth="1"/>
    <col min="14830" max="15080" width="9.1796875" style="202"/>
    <col min="15081" max="15081" width="5.453125" style="202" customWidth="1"/>
    <col min="15082" max="15082" width="22.54296875" style="202" customWidth="1"/>
    <col min="15083" max="15083" width="17.54296875" style="202" customWidth="1"/>
    <col min="15084" max="15084" width="19" style="202" customWidth="1"/>
    <col min="15085" max="15085" width="22.453125" style="202" customWidth="1"/>
    <col min="15086" max="15336" width="9.1796875" style="202"/>
    <col min="15337" max="15337" width="5.453125" style="202" customWidth="1"/>
    <col min="15338" max="15338" width="22.54296875" style="202" customWidth="1"/>
    <col min="15339" max="15339" width="17.54296875" style="202" customWidth="1"/>
    <col min="15340" max="15340" width="19" style="202" customWidth="1"/>
    <col min="15341" max="15341" width="22.453125" style="202" customWidth="1"/>
    <col min="15342" max="15592" width="9.1796875" style="202"/>
    <col min="15593" max="15593" width="5.453125" style="202" customWidth="1"/>
    <col min="15594" max="15594" width="22.54296875" style="202" customWidth="1"/>
    <col min="15595" max="15595" width="17.54296875" style="202" customWidth="1"/>
    <col min="15596" max="15596" width="19" style="202" customWidth="1"/>
    <col min="15597" max="15597" width="22.453125" style="202" customWidth="1"/>
    <col min="15598" max="15848" width="9.1796875" style="202"/>
    <col min="15849" max="15849" width="5.453125" style="202" customWidth="1"/>
    <col min="15850" max="15850" width="22.54296875" style="202" customWidth="1"/>
    <col min="15851" max="15851" width="17.54296875" style="202" customWidth="1"/>
    <col min="15852" max="15852" width="19" style="202" customWidth="1"/>
    <col min="15853" max="15853" width="22.453125" style="202" customWidth="1"/>
    <col min="15854" max="16104" width="9.1796875" style="202"/>
    <col min="16105" max="16105" width="5.453125" style="202" customWidth="1"/>
    <col min="16106" max="16106" width="22.54296875" style="202" customWidth="1"/>
    <col min="16107" max="16107" width="17.54296875" style="202" customWidth="1"/>
    <col min="16108" max="16108" width="19" style="202" customWidth="1"/>
    <col min="16109" max="16109" width="22.453125" style="202" customWidth="1"/>
    <col min="16110" max="16373" width="9.1796875" style="202"/>
    <col min="16374" max="16384" width="9.1796875" style="202" customWidth="1"/>
  </cols>
  <sheetData>
    <row r="1" spans="1:5" s="191" customFormat="1" ht="28.5" customHeight="1" x14ac:dyDescent="0.35">
      <c r="A1" s="797" t="s">
        <v>924</v>
      </c>
      <c r="B1" s="797"/>
      <c r="C1" s="797"/>
      <c r="D1" s="797"/>
      <c r="E1" s="797"/>
    </row>
    <row r="2" spans="1:5" s="195" customFormat="1" ht="39" customHeight="1" x14ac:dyDescent="0.3">
      <c r="A2" s="192" t="s">
        <v>882</v>
      </c>
      <c r="B2" s="192" t="s">
        <v>885</v>
      </c>
      <c r="C2" s="193" t="s">
        <v>703</v>
      </c>
      <c r="D2" s="194" t="s">
        <v>886</v>
      </c>
      <c r="E2" s="194" t="s">
        <v>887</v>
      </c>
    </row>
    <row r="3" spans="1:5" s="195" customFormat="1" x14ac:dyDescent="0.3">
      <c r="A3" s="381">
        <v>1</v>
      </c>
      <c r="B3" s="381">
        <v>2</v>
      </c>
      <c r="C3" s="381">
        <v>3</v>
      </c>
      <c r="D3" s="381">
        <v>4</v>
      </c>
      <c r="E3" s="381">
        <v>5</v>
      </c>
    </row>
    <row r="4" spans="1:5" s="198" customFormat="1" ht="20.149999999999999" customHeight="1" x14ac:dyDescent="0.35">
      <c r="A4" s="196">
        <v>1</v>
      </c>
      <c r="B4" s="199" t="s">
        <v>56</v>
      </c>
      <c r="C4" s="197">
        <v>1.1498139539765542</v>
      </c>
      <c r="D4" s="197"/>
      <c r="E4" s="197">
        <v>1.902332543598517</v>
      </c>
    </row>
    <row r="5" spans="1:5" s="198" customFormat="1" ht="20.149999999999999" customHeight="1" x14ac:dyDescent="0.35">
      <c r="A5" s="196">
        <v>2</v>
      </c>
      <c r="B5" s="199" t="s">
        <v>13</v>
      </c>
      <c r="C5" s="197">
        <v>1.0018464813086301</v>
      </c>
      <c r="D5" s="197">
        <v>1.0452389653369363</v>
      </c>
      <c r="E5" s="197">
        <v>0.96147163335670982</v>
      </c>
    </row>
    <row r="6" spans="1:5" s="198" customFormat="1" ht="20.149999999999999" customHeight="1" x14ac:dyDescent="0.35">
      <c r="A6" s="196">
        <v>3</v>
      </c>
      <c r="B6" s="199" t="s">
        <v>14</v>
      </c>
      <c r="C6" s="197">
        <v>0.9757403533096678</v>
      </c>
      <c r="D6" s="197"/>
      <c r="E6" s="197">
        <v>0.98031323685876792</v>
      </c>
    </row>
    <row r="7" spans="1:5" s="198" customFormat="1" ht="20.149999999999999" customHeight="1" x14ac:dyDescent="0.35">
      <c r="A7" s="196">
        <v>4</v>
      </c>
      <c r="B7" s="347" t="s">
        <v>15</v>
      </c>
      <c r="C7" s="197">
        <v>1.210484578522844</v>
      </c>
      <c r="D7" s="197">
        <v>1.2403457919694851</v>
      </c>
      <c r="E7" s="197">
        <v>1.1489851909929918</v>
      </c>
    </row>
    <row r="8" spans="1:5" s="198" customFormat="1" ht="20.149999999999999" customHeight="1" x14ac:dyDescent="0.35">
      <c r="A8" s="196">
        <v>5</v>
      </c>
      <c r="B8" s="347" t="s">
        <v>16</v>
      </c>
      <c r="C8" s="197">
        <v>1.1281932057880129</v>
      </c>
      <c r="D8" s="197">
        <v>0.9106999220169596</v>
      </c>
      <c r="E8" s="197">
        <v>1.036055396090287</v>
      </c>
    </row>
    <row r="9" spans="1:5" s="198" customFormat="1" ht="20.149999999999999" customHeight="1" x14ac:dyDescent="0.35">
      <c r="A9" s="196">
        <v>6</v>
      </c>
      <c r="B9" s="199" t="s">
        <v>17</v>
      </c>
      <c r="C9" s="197">
        <v>1.4491400816628035</v>
      </c>
      <c r="D9" s="197">
        <v>1.1211505382709013</v>
      </c>
      <c r="E9" s="197"/>
    </row>
    <row r="10" spans="1:5" s="198" customFormat="1" ht="20.149999999999999" customHeight="1" x14ac:dyDescent="0.35">
      <c r="A10" s="196">
        <v>7</v>
      </c>
      <c r="B10" s="199" t="s">
        <v>888</v>
      </c>
      <c r="C10" s="197">
        <v>1.310477876181422</v>
      </c>
      <c r="D10" s="197">
        <v>1.2447663920496175</v>
      </c>
      <c r="E10" s="197">
        <v>1.5509623155636301</v>
      </c>
    </row>
    <row r="11" spans="1:5" s="198" customFormat="1" ht="20.149999999999999" customHeight="1" x14ac:dyDescent="0.35">
      <c r="A11" s="196">
        <v>8</v>
      </c>
      <c r="B11" s="199" t="s">
        <v>19</v>
      </c>
      <c r="C11" s="197">
        <v>1.0586813755393032</v>
      </c>
      <c r="D11" s="197">
        <v>1.0122407142317955</v>
      </c>
      <c r="E11" s="197"/>
    </row>
    <row r="12" spans="1:5" s="198" customFormat="1" ht="20.149999999999999" customHeight="1" x14ac:dyDescent="0.35">
      <c r="A12" s="196">
        <v>9</v>
      </c>
      <c r="B12" s="199" t="s">
        <v>20</v>
      </c>
      <c r="C12" s="197">
        <v>1.1677625032024364</v>
      </c>
      <c r="D12" s="197">
        <v>0.8944655620557338</v>
      </c>
      <c r="E12" s="197">
        <v>1.5800078090365381</v>
      </c>
    </row>
    <row r="13" spans="1:5" s="198" customFormat="1" ht="20.149999999999999" customHeight="1" x14ac:dyDescent="0.35">
      <c r="A13" s="196">
        <v>10</v>
      </c>
      <c r="B13" s="199" t="s">
        <v>21</v>
      </c>
      <c r="C13" s="197">
        <v>0.96746869590344609</v>
      </c>
      <c r="D13" s="197">
        <v>1.0445971515417964</v>
      </c>
      <c r="E13" s="197">
        <v>1.1711060781802869</v>
      </c>
    </row>
    <row r="14" spans="1:5" s="198" customFormat="1" ht="20.149999999999999" customHeight="1" x14ac:dyDescent="0.35">
      <c r="A14" s="196">
        <v>11</v>
      </c>
      <c r="B14" s="199" t="s">
        <v>22</v>
      </c>
      <c r="C14" s="197">
        <v>1.2812593441827833</v>
      </c>
      <c r="D14" s="197">
        <v>1.4160377664332946</v>
      </c>
      <c r="E14" s="197"/>
    </row>
    <row r="15" spans="1:5" s="198" customFormat="1" ht="20.149999999999999" customHeight="1" x14ac:dyDescent="0.35">
      <c r="A15" s="196">
        <v>12</v>
      </c>
      <c r="B15" s="199" t="s">
        <v>23</v>
      </c>
      <c r="C15" s="197">
        <v>1.3427971126859704</v>
      </c>
      <c r="D15" s="197">
        <v>1.3588783757695713</v>
      </c>
      <c r="E15" s="197">
        <v>1.3126399171705165</v>
      </c>
    </row>
    <row r="16" spans="1:5" s="198" customFormat="1" ht="20.149999999999999" customHeight="1" x14ac:dyDescent="0.35">
      <c r="A16" s="196">
        <v>13</v>
      </c>
      <c r="B16" s="199" t="s">
        <v>24</v>
      </c>
      <c r="C16" s="197">
        <v>1.3417983692992621</v>
      </c>
      <c r="D16" s="197">
        <v>1.388433226147251</v>
      </c>
      <c r="E16" s="197">
        <v>1.0057524546643635</v>
      </c>
    </row>
    <row r="17" spans="1:5" s="198" customFormat="1" ht="20.149999999999999" customHeight="1" x14ac:dyDescent="0.35">
      <c r="A17" s="196">
        <v>14</v>
      </c>
      <c r="B17" s="199" t="s">
        <v>25</v>
      </c>
      <c r="C17" s="197">
        <v>1.0849993883728657</v>
      </c>
      <c r="D17" s="197">
        <v>0.97609694660639201</v>
      </c>
      <c r="E17" s="197">
        <v>1.2464465038255836</v>
      </c>
    </row>
    <row r="18" spans="1:5" s="198" customFormat="1" ht="20.149999999999999" customHeight="1" x14ac:dyDescent="0.35">
      <c r="A18" s="196">
        <v>15</v>
      </c>
      <c r="B18" s="199" t="s">
        <v>26</v>
      </c>
      <c r="C18" s="197">
        <v>1.0441179984213469</v>
      </c>
      <c r="D18" s="197">
        <v>0.96459707481537282</v>
      </c>
      <c r="E18" s="197">
        <v>1.0070572917085214</v>
      </c>
    </row>
    <row r="19" spans="1:5" s="198" customFormat="1" ht="20.149999999999999" customHeight="1" x14ac:dyDescent="0.35">
      <c r="A19" s="196">
        <v>16</v>
      </c>
      <c r="B19" s="199" t="s">
        <v>27</v>
      </c>
      <c r="C19" s="197">
        <v>1.4560180094064581</v>
      </c>
      <c r="D19" s="197">
        <v>1.7061565239080236</v>
      </c>
      <c r="E19" s="197">
        <v>1.4708950080223586</v>
      </c>
    </row>
    <row r="20" spans="1:5" s="198" customFormat="1" ht="20.149999999999999" customHeight="1" x14ac:dyDescent="0.35">
      <c r="A20" s="196">
        <v>17</v>
      </c>
      <c r="B20" s="344" t="s">
        <v>28</v>
      </c>
      <c r="C20" s="197">
        <v>2.1651121233825483</v>
      </c>
      <c r="D20" s="197"/>
      <c r="E20" s="197">
        <v>1.6883635327736095</v>
      </c>
    </row>
    <row r="21" spans="1:5" s="198" customFormat="1" ht="20.149999999999999" customHeight="1" x14ac:dyDescent="0.35">
      <c r="A21" s="196">
        <v>18</v>
      </c>
      <c r="B21" s="199" t="s">
        <v>82</v>
      </c>
      <c r="C21" s="197">
        <v>2.2095391371153594</v>
      </c>
      <c r="D21" s="197"/>
      <c r="E21" s="197">
        <v>1.9116027466737484</v>
      </c>
    </row>
    <row r="22" spans="1:5" s="198" customFormat="1" ht="20.149999999999999" customHeight="1" x14ac:dyDescent="0.35">
      <c r="A22" s="196">
        <v>19</v>
      </c>
      <c r="B22" s="199" t="s">
        <v>29</v>
      </c>
      <c r="C22" s="197">
        <v>1.0025901871664806</v>
      </c>
      <c r="D22" s="197">
        <v>1.0505314158027479</v>
      </c>
      <c r="E22" s="197">
        <v>1.076420606056343</v>
      </c>
    </row>
    <row r="23" spans="1:5" s="198" customFormat="1" ht="20.149999999999999" customHeight="1" x14ac:dyDescent="0.35">
      <c r="A23" s="196">
        <v>20</v>
      </c>
      <c r="B23" s="199" t="s">
        <v>30</v>
      </c>
      <c r="C23" s="197">
        <v>0.98464033014599162</v>
      </c>
      <c r="D23" s="197">
        <v>1.0663088879137121</v>
      </c>
      <c r="E23" s="197">
        <v>0.90253874012295354</v>
      </c>
    </row>
    <row r="24" spans="1:5" s="198" customFormat="1" ht="20.149999999999999" customHeight="1" x14ac:dyDescent="0.35">
      <c r="A24" s="196">
        <v>21</v>
      </c>
      <c r="B24" s="199" t="s">
        <v>31</v>
      </c>
      <c r="C24" s="197">
        <v>1.0522005062295321</v>
      </c>
      <c r="D24" s="197">
        <v>0.99323289373084256</v>
      </c>
      <c r="E24" s="197">
        <v>1.1277244068092491</v>
      </c>
    </row>
    <row r="25" spans="1:5" s="198" customFormat="1" ht="20.149999999999999" customHeight="1" x14ac:dyDescent="0.35">
      <c r="A25" s="196">
        <v>22</v>
      </c>
      <c r="B25" s="199" t="s">
        <v>32</v>
      </c>
      <c r="C25" s="197">
        <v>1.2955979137215743</v>
      </c>
      <c r="D25" s="197">
        <v>1.0562654624586161</v>
      </c>
      <c r="E25" s="197">
        <v>1.4205587235067985</v>
      </c>
    </row>
    <row r="26" spans="1:5" s="198" customFormat="1" ht="20.149999999999999" customHeight="1" x14ac:dyDescent="0.35">
      <c r="A26" s="196">
        <v>23</v>
      </c>
      <c r="B26" s="199" t="s">
        <v>33</v>
      </c>
      <c r="C26" s="197">
        <v>1.0555744876654589</v>
      </c>
      <c r="D26" s="197">
        <v>0.94952150847742478</v>
      </c>
      <c r="E26" s="197">
        <v>1.0540512950081611</v>
      </c>
    </row>
    <row r="27" spans="1:5" s="198" customFormat="1" ht="20.149999999999999" customHeight="1" x14ac:dyDescent="0.35">
      <c r="A27" s="196">
        <v>24</v>
      </c>
      <c r="B27" s="199" t="s">
        <v>34</v>
      </c>
      <c r="C27" s="197">
        <v>1.3300285568281509</v>
      </c>
      <c r="D27" s="197"/>
      <c r="E27" s="197">
        <v>1.3213087198127942</v>
      </c>
    </row>
    <row r="28" spans="1:5" s="198" customFormat="1" ht="20.149999999999999" customHeight="1" x14ac:dyDescent="0.35">
      <c r="A28" s="196">
        <v>25</v>
      </c>
      <c r="B28" s="199" t="s">
        <v>35</v>
      </c>
      <c r="C28" s="197">
        <v>0.96472969911917705</v>
      </c>
      <c r="D28" s="197">
        <v>0.91903227202565541</v>
      </c>
      <c r="E28" s="197">
        <v>0.96822336907063278</v>
      </c>
    </row>
    <row r="29" spans="1:5" s="198" customFormat="1" ht="20.149999999999999" customHeight="1" x14ac:dyDescent="0.35">
      <c r="A29" s="196">
        <v>26</v>
      </c>
      <c r="B29" s="348" t="s">
        <v>36</v>
      </c>
      <c r="C29" s="197">
        <v>1.0141478752291688</v>
      </c>
      <c r="D29" s="197">
        <v>0.9889040480956971</v>
      </c>
      <c r="E29" s="197"/>
    </row>
    <row r="30" spans="1:5" s="198" customFormat="1" ht="20.149999999999999" customHeight="1" x14ac:dyDescent="0.35">
      <c r="A30" s="196">
        <v>27</v>
      </c>
      <c r="B30" s="199" t="s">
        <v>37</v>
      </c>
      <c r="C30" s="197">
        <v>1.2318796813977881</v>
      </c>
      <c r="D30" s="197">
        <v>1.5024467432872199</v>
      </c>
      <c r="E30" s="197"/>
    </row>
    <row r="31" spans="1:5" s="198" customFormat="1" ht="20.149999999999999" customHeight="1" x14ac:dyDescent="0.35">
      <c r="A31" s="196">
        <v>28</v>
      </c>
      <c r="B31" s="342" t="s">
        <v>38</v>
      </c>
      <c r="C31" s="197">
        <v>1.0535501593138841</v>
      </c>
      <c r="D31" s="197">
        <v>1.0833250608694343</v>
      </c>
      <c r="E31" s="197">
        <v>1.0629161227616271</v>
      </c>
    </row>
    <row r="32" spans="1:5" s="198" customFormat="1" ht="20.149999999999999" customHeight="1" x14ac:dyDescent="0.35">
      <c r="A32" s="196">
        <v>29</v>
      </c>
      <c r="B32" s="345" t="s">
        <v>39</v>
      </c>
      <c r="C32" s="197">
        <v>1.1666289779778056</v>
      </c>
      <c r="D32" s="197">
        <v>0.87026226139530416</v>
      </c>
      <c r="E32" s="197">
        <v>1.3070508458777357</v>
      </c>
    </row>
    <row r="33" spans="1:5" s="198" customFormat="1" ht="20.149999999999999" customHeight="1" x14ac:dyDescent="0.35">
      <c r="A33" s="196">
        <v>30</v>
      </c>
      <c r="B33" s="342" t="s">
        <v>40</v>
      </c>
      <c r="C33" s="197">
        <v>1.0288764431511559</v>
      </c>
      <c r="D33" s="197">
        <v>1.038254896319363</v>
      </c>
      <c r="E33" s="197">
        <v>0.80134575973954392</v>
      </c>
    </row>
    <row r="34" spans="1:5" s="198" customFormat="1" ht="20.149999999999999" customHeight="1" x14ac:dyDescent="0.35">
      <c r="A34" s="196">
        <v>31</v>
      </c>
      <c r="B34" s="342" t="s">
        <v>41</v>
      </c>
      <c r="C34" s="197">
        <v>1.1127466100804324</v>
      </c>
      <c r="D34" s="197">
        <v>1.2346999316262843</v>
      </c>
      <c r="E34" s="197">
        <v>0.98346641464500284</v>
      </c>
    </row>
    <row r="35" spans="1:5" s="198" customFormat="1" ht="24.75" customHeight="1" x14ac:dyDescent="0.35">
      <c r="A35" s="196">
        <v>32</v>
      </c>
      <c r="B35" s="342" t="s">
        <v>58</v>
      </c>
      <c r="C35" s="197">
        <v>2.0796147364751398</v>
      </c>
      <c r="D35" s="197">
        <v>1.1434060022011419</v>
      </c>
      <c r="E35" s="197">
        <v>1.3057641419426826</v>
      </c>
    </row>
    <row r="36" spans="1:5" s="198" customFormat="1" ht="20.149999999999999" customHeight="1" x14ac:dyDescent="0.35">
      <c r="A36" s="196">
        <v>33</v>
      </c>
      <c r="B36" s="342" t="s">
        <v>42</v>
      </c>
      <c r="C36" s="197">
        <v>1.0167452216888033</v>
      </c>
      <c r="D36" s="197">
        <v>1.0461036340565251</v>
      </c>
      <c r="E36" s="197">
        <v>1.0013348177058177</v>
      </c>
    </row>
    <row r="37" spans="1:5" s="198" customFormat="1" ht="20.149999999999999" customHeight="1" x14ac:dyDescent="0.35">
      <c r="A37" s="196">
        <v>34</v>
      </c>
      <c r="B37" s="199" t="s">
        <v>43</v>
      </c>
      <c r="C37" s="197">
        <v>1.0864255593081338</v>
      </c>
      <c r="D37" s="197">
        <v>1.1802562256304552</v>
      </c>
      <c r="E37" s="197">
        <v>1.0182394545467455</v>
      </c>
    </row>
    <row r="38" spans="1:5" s="198" customFormat="1" ht="20.149999999999999" customHeight="1" x14ac:dyDescent="0.35">
      <c r="A38" s="196">
        <v>35</v>
      </c>
      <c r="B38" s="199" t="s">
        <v>44</v>
      </c>
      <c r="C38" s="197">
        <v>1.1365397919724225</v>
      </c>
      <c r="D38" s="197">
        <v>1.3131201601663371</v>
      </c>
      <c r="E38" s="197">
        <v>1.1650380607386963</v>
      </c>
    </row>
    <row r="39" spans="1:5" s="198" customFormat="1" ht="20.149999999999999" customHeight="1" x14ac:dyDescent="0.35">
      <c r="A39" s="196">
        <v>36</v>
      </c>
      <c r="B39" s="199" t="s">
        <v>45</v>
      </c>
      <c r="C39" s="197">
        <v>1.0971188408070807</v>
      </c>
      <c r="D39" s="197">
        <v>1.0736211195736673</v>
      </c>
      <c r="E39" s="197">
        <v>1.1335312644020679</v>
      </c>
    </row>
    <row r="40" spans="1:5" s="200" customFormat="1" ht="30" customHeight="1" x14ac:dyDescent="0.35">
      <c r="A40" s="199"/>
      <c r="B40" s="623" t="s">
        <v>46</v>
      </c>
      <c r="C40" s="605">
        <v>1.080713746171148</v>
      </c>
      <c r="D40" s="605">
        <v>1.1073835770536933</v>
      </c>
      <c r="E40" s="605">
        <v>1.0831145476508046</v>
      </c>
    </row>
    <row r="41" spans="1:5" s="201" customFormat="1" ht="16.399999999999999" customHeight="1" x14ac:dyDescent="0.3">
      <c r="C41" s="202"/>
    </row>
  </sheetData>
  <mergeCells count="1">
    <mergeCell ref="A1:E1"/>
  </mergeCells>
  <pageMargins left="0.59055118110236227" right="0.15748031496062992" top="0.39370078740157483" bottom="0.39370078740157483" header="0.31496062992125984" footer="0.19685039370078741"/>
  <pageSetup paperSize="9" scale="95" firstPageNumber="24" orientation="portrait" r:id="rId1"/>
  <headerFooter>
    <oddFooter>&amp;L&amp;"Arial,Italic"&amp;9AISHE 2023-24&amp;RT-20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6413-F154-4C94-9148-8FD89B2AEC99}">
  <dimension ref="A1:W41"/>
  <sheetViews>
    <sheetView view="pageBreakPreview" zoomScaleNormal="100" zoomScaleSheetLayoutView="100" workbookViewId="0">
      <pane xSplit="2" ySplit="3" topLeftCell="L36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16" sqref="B16:M16"/>
    </sheetView>
  </sheetViews>
  <sheetFormatPr defaultColWidth="9.26953125" defaultRowHeight="15.5" x14ac:dyDescent="0.35"/>
  <cols>
    <col min="1" max="1" width="5.1796875" style="14" customWidth="1"/>
    <col min="2" max="2" width="20.1796875" style="5" bestFit="1" customWidth="1"/>
    <col min="3" max="11" width="11.54296875" style="5" customWidth="1"/>
    <col min="12" max="14" width="10.1796875" style="5" bestFit="1" customWidth="1"/>
    <col min="15" max="15" width="7.26953125" style="5" bestFit="1" customWidth="1"/>
    <col min="16" max="16" width="8" style="5" customWidth="1"/>
    <col min="17" max="21" width="8.453125" style="5" bestFit="1" customWidth="1"/>
    <col min="22" max="22" width="8.453125" style="5" customWidth="1"/>
    <col min="23" max="23" width="10.1796875" style="5" bestFit="1" customWidth="1"/>
    <col min="24" max="16384" width="9.26953125" style="5"/>
  </cols>
  <sheetData>
    <row r="1" spans="1:23" s="1" customFormat="1" ht="33" customHeight="1" x14ac:dyDescent="0.35">
      <c r="A1" s="14"/>
      <c r="B1" s="206"/>
      <c r="C1" s="798" t="s">
        <v>1001</v>
      </c>
      <c r="D1" s="798"/>
      <c r="E1" s="798"/>
      <c r="F1" s="798"/>
      <c r="G1" s="798"/>
      <c r="H1" s="798"/>
      <c r="I1" s="798"/>
      <c r="J1" s="798"/>
      <c r="K1" s="798"/>
      <c r="L1" s="798" t="s">
        <v>1002</v>
      </c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</row>
    <row r="2" spans="1:23" s="203" customFormat="1" ht="29.25" customHeight="1" x14ac:dyDescent="0.35">
      <c r="A2" s="736" t="s">
        <v>84</v>
      </c>
      <c r="B2" s="736" t="s">
        <v>885</v>
      </c>
      <c r="C2" s="736" t="s">
        <v>394</v>
      </c>
      <c r="D2" s="736"/>
      <c r="E2" s="736"/>
      <c r="F2" s="736" t="s">
        <v>883</v>
      </c>
      <c r="G2" s="736"/>
      <c r="H2" s="736"/>
      <c r="I2" s="736" t="s">
        <v>884</v>
      </c>
      <c r="J2" s="736"/>
      <c r="K2" s="736"/>
      <c r="L2" s="736" t="s">
        <v>889</v>
      </c>
      <c r="M2" s="736"/>
      <c r="N2" s="736"/>
      <c r="O2" s="736" t="s">
        <v>1037</v>
      </c>
      <c r="P2" s="736"/>
      <c r="Q2" s="736"/>
      <c r="R2" s="736" t="s">
        <v>704</v>
      </c>
      <c r="S2" s="736"/>
      <c r="T2" s="736"/>
      <c r="U2" s="736" t="s">
        <v>705</v>
      </c>
      <c r="V2" s="736"/>
      <c r="W2" s="736"/>
    </row>
    <row r="3" spans="1:23" s="203" customFormat="1" ht="21.75" customHeight="1" x14ac:dyDescent="0.35">
      <c r="A3" s="736"/>
      <c r="B3" s="736"/>
      <c r="C3" s="101" t="s">
        <v>103</v>
      </c>
      <c r="D3" s="101" t="s">
        <v>104</v>
      </c>
      <c r="E3" s="101" t="s">
        <v>89</v>
      </c>
      <c r="F3" s="101" t="s">
        <v>103</v>
      </c>
      <c r="G3" s="101" t="s">
        <v>104</v>
      </c>
      <c r="H3" s="101" t="s">
        <v>89</v>
      </c>
      <c r="I3" s="101" t="s">
        <v>103</v>
      </c>
      <c r="J3" s="101" t="s">
        <v>104</v>
      </c>
      <c r="K3" s="101" t="s">
        <v>89</v>
      </c>
      <c r="L3" s="101" t="s">
        <v>103</v>
      </c>
      <c r="M3" s="101" t="s">
        <v>104</v>
      </c>
      <c r="N3" s="101" t="s">
        <v>89</v>
      </c>
      <c r="O3" s="101" t="s">
        <v>103</v>
      </c>
      <c r="P3" s="101" t="s">
        <v>104</v>
      </c>
      <c r="Q3" s="101" t="s">
        <v>89</v>
      </c>
      <c r="R3" s="101" t="s">
        <v>103</v>
      </c>
      <c r="S3" s="101" t="s">
        <v>104</v>
      </c>
      <c r="T3" s="101" t="s">
        <v>89</v>
      </c>
      <c r="U3" s="101" t="s">
        <v>103</v>
      </c>
      <c r="V3" s="101" t="s">
        <v>104</v>
      </c>
      <c r="W3" s="101" t="s">
        <v>89</v>
      </c>
    </row>
    <row r="4" spans="1:23" s="317" customFormat="1" ht="10.5" x14ac:dyDescent="0.25">
      <c r="A4" s="316">
        <v>1</v>
      </c>
      <c r="B4" s="316">
        <v>2</v>
      </c>
      <c r="C4" s="316">
        <v>3</v>
      </c>
      <c r="D4" s="316">
        <v>4</v>
      </c>
      <c r="E4" s="316">
        <v>5</v>
      </c>
      <c r="F4" s="316">
        <v>6</v>
      </c>
      <c r="G4" s="316">
        <v>7</v>
      </c>
      <c r="H4" s="316">
        <v>8</v>
      </c>
      <c r="I4" s="316">
        <v>9</v>
      </c>
      <c r="J4" s="316">
        <v>10</v>
      </c>
      <c r="K4" s="316">
        <v>11</v>
      </c>
      <c r="L4" s="316">
        <v>12</v>
      </c>
      <c r="M4" s="316">
        <v>13</v>
      </c>
      <c r="N4" s="316">
        <v>14</v>
      </c>
      <c r="O4" s="316">
        <v>15</v>
      </c>
      <c r="P4" s="316">
        <v>16</v>
      </c>
      <c r="Q4" s="316">
        <v>17</v>
      </c>
      <c r="R4" s="316">
        <v>18</v>
      </c>
      <c r="S4" s="316">
        <v>19</v>
      </c>
      <c r="T4" s="316">
        <v>20</v>
      </c>
      <c r="U4" s="316">
        <v>21</v>
      </c>
      <c r="V4" s="316">
        <v>22</v>
      </c>
      <c r="W4" s="316">
        <v>23</v>
      </c>
    </row>
    <row r="5" spans="1:23" ht="32.25" customHeight="1" x14ac:dyDescent="0.35">
      <c r="A5" s="7">
        <v>1</v>
      </c>
      <c r="B5" s="349" t="s">
        <v>56</v>
      </c>
      <c r="C5" s="25">
        <v>64</v>
      </c>
      <c r="D5" s="25">
        <v>75</v>
      </c>
      <c r="E5" s="25">
        <v>139</v>
      </c>
      <c r="F5" s="25">
        <v>1</v>
      </c>
      <c r="G5" s="25">
        <v>2</v>
      </c>
      <c r="H5" s="25">
        <v>3</v>
      </c>
      <c r="I5" s="25">
        <v>1</v>
      </c>
      <c r="J5" s="25">
        <v>5</v>
      </c>
      <c r="K5" s="25">
        <v>6</v>
      </c>
      <c r="L5" s="25">
        <v>17</v>
      </c>
      <c r="M5" s="25">
        <v>24</v>
      </c>
      <c r="N5" s="25">
        <v>41</v>
      </c>
      <c r="O5" s="204" t="s">
        <v>121</v>
      </c>
      <c r="P5" s="204" t="s">
        <v>121</v>
      </c>
      <c r="Q5" s="204" t="s">
        <v>121</v>
      </c>
      <c r="R5" s="25">
        <v>4</v>
      </c>
      <c r="S5" s="25">
        <v>8</v>
      </c>
      <c r="T5" s="25">
        <v>12</v>
      </c>
      <c r="U5" s="25">
        <v>9</v>
      </c>
      <c r="V5" s="25">
        <v>19</v>
      </c>
      <c r="W5" s="25">
        <v>28</v>
      </c>
    </row>
    <row r="6" spans="1:23" ht="24.75" customHeight="1" x14ac:dyDescent="0.35">
      <c r="A6" s="7">
        <v>2</v>
      </c>
      <c r="B6" s="349" t="s">
        <v>13</v>
      </c>
      <c r="C6" s="25">
        <v>63742</v>
      </c>
      <c r="D6" s="25">
        <v>44612</v>
      </c>
      <c r="E6" s="25">
        <v>108354</v>
      </c>
      <c r="F6" s="25">
        <v>8594</v>
      </c>
      <c r="G6" s="25">
        <v>7984</v>
      </c>
      <c r="H6" s="25">
        <v>16578</v>
      </c>
      <c r="I6" s="25">
        <v>1193</v>
      </c>
      <c r="J6" s="25">
        <v>714</v>
      </c>
      <c r="K6" s="25">
        <v>1907</v>
      </c>
      <c r="L6" s="25">
        <v>23964</v>
      </c>
      <c r="M6" s="25">
        <v>15759</v>
      </c>
      <c r="N6" s="25">
        <v>39723</v>
      </c>
      <c r="O6" s="25">
        <v>359</v>
      </c>
      <c r="P6" s="25">
        <v>175</v>
      </c>
      <c r="Q6" s="25">
        <v>534</v>
      </c>
      <c r="R6" s="25">
        <v>3161</v>
      </c>
      <c r="S6" s="25">
        <v>1977</v>
      </c>
      <c r="T6" s="25">
        <v>5138</v>
      </c>
      <c r="U6" s="25">
        <v>2042</v>
      </c>
      <c r="V6" s="25">
        <v>2887</v>
      </c>
      <c r="W6" s="25">
        <v>4929</v>
      </c>
    </row>
    <row r="7" spans="1:23" ht="24.75" customHeight="1" x14ac:dyDescent="0.35">
      <c r="A7" s="7">
        <v>3</v>
      </c>
      <c r="B7" s="349" t="s">
        <v>14</v>
      </c>
      <c r="C7" s="25">
        <v>1302</v>
      </c>
      <c r="D7" s="25">
        <v>1088</v>
      </c>
      <c r="E7" s="25">
        <v>2390</v>
      </c>
      <c r="F7" s="25">
        <v>67</v>
      </c>
      <c r="G7" s="25">
        <v>15</v>
      </c>
      <c r="H7" s="25">
        <v>82</v>
      </c>
      <c r="I7" s="25">
        <v>586</v>
      </c>
      <c r="J7" s="25">
        <v>777</v>
      </c>
      <c r="K7" s="25">
        <v>1363</v>
      </c>
      <c r="L7" s="25">
        <v>186</v>
      </c>
      <c r="M7" s="25">
        <v>76</v>
      </c>
      <c r="N7" s="25">
        <v>262</v>
      </c>
      <c r="O7" s="25">
        <v>13</v>
      </c>
      <c r="P7" s="25">
        <v>9</v>
      </c>
      <c r="Q7" s="25">
        <v>22</v>
      </c>
      <c r="R7" s="25">
        <v>44</v>
      </c>
      <c r="S7" s="25">
        <v>17</v>
      </c>
      <c r="T7" s="25">
        <v>61</v>
      </c>
      <c r="U7" s="25">
        <v>563</v>
      </c>
      <c r="V7" s="25">
        <v>708</v>
      </c>
      <c r="W7" s="25">
        <v>1271</v>
      </c>
    </row>
    <row r="8" spans="1:23" ht="24.75" customHeight="1" x14ac:dyDescent="0.35">
      <c r="A8" s="7">
        <v>4</v>
      </c>
      <c r="B8" s="349" t="s">
        <v>15</v>
      </c>
      <c r="C8" s="25">
        <v>15236</v>
      </c>
      <c r="D8" s="25">
        <v>12847</v>
      </c>
      <c r="E8" s="25">
        <v>28083</v>
      </c>
      <c r="F8" s="25">
        <v>1078</v>
      </c>
      <c r="G8" s="25">
        <v>797</v>
      </c>
      <c r="H8" s="25">
        <v>1875</v>
      </c>
      <c r="I8" s="25">
        <v>2061</v>
      </c>
      <c r="J8" s="25">
        <v>2209</v>
      </c>
      <c r="K8" s="25">
        <v>4270</v>
      </c>
      <c r="L8" s="25">
        <v>3544</v>
      </c>
      <c r="M8" s="25">
        <v>3369</v>
      </c>
      <c r="N8" s="25">
        <v>6913</v>
      </c>
      <c r="O8" s="25">
        <v>132</v>
      </c>
      <c r="P8" s="25">
        <v>73</v>
      </c>
      <c r="Q8" s="25">
        <v>205</v>
      </c>
      <c r="R8" s="25">
        <v>2453</v>
      </c>
      <c r="S8" s="25">
        <v>978</v>
      </c>
      <c r="T8" s="25">
        <v>3431</v>
      </c>
      <c r="U8" s="25">
        <v>449</v>
      </c>
      <c r="V8" s="25">
        <v>711</v>
      </c>
      <c r="W8" s="25">
        <v>1160</v>
      </c>
    </row>
    <row r="9" spans="1:23" ht="24.75" customHeight="1" x14ac:dyDescent="0.35">
      <c r="A9" s="7">
        <v>5</v>
      </c>
      <c r="B9" s="349" t="s">
        <v>16</v>
      </c>
      <c r="C9" s="25">
        <v>32783</v>
      </c>
      <c r="D9" s="25">
        <v>12371</v>
      </c>
      <c r="E9" s="25">
        <v>45154</v>
      </c>
      <c r="F9" s="25">
        <v>2198</v>
      </c>
      <c r="G9" s="25">
        <v>601</v>
      </c>
      <c r="H9" s="25">
        <v>2799</v>
      </c>
      <c r="I9" s="25">
        <v>165</v>
      </c>
      <c r="J9" s="25">
        <v>146</v>
      </c>
      <c r="K9" s="25">
        <v>311</v>
      </c>
      <c r="L9" s="25">
        <v>12389</v>
      </c>
      <c r="M9" s="25">
        <v>4142</v>
      </c>
      <c r="N9" s="25">
        <v>16531</v>
      </c>
      <c r="O9" s="25">
        <v>299</v>
      </c>
      <c r="P9" s="25">
        <v>77</v>
      </c>
      <c r="Q9" s="25">
        <v>376</v>
      </c>
      <c r="R9" s="25">
        <v>3090</v>
      </c>
      <c r="S9" s="25">
        <v>902</v>
      </c>
      <c r="T9" s="25">
        <v>3992</v>
      </c>
      <c r="U9" s="25">
        <v>216</v>
      </c>
      <c r="V9" s="25">
        <v>383</v>
      </c>
      <c r="W9" s="25">
        <v>599</v>
      </c>
    </row>
    <row r="10" spans="1:23" ht="24.75" customHeight="1" x14ac:dyDescent="0.35">
      <c r="A10" s="7">
        <v>6</v>
      </c>
      <c r="B10" s="349" t="s">
        <v>17</v>
      </c>
      <c r="C10" s="25">
        <v>1494</v>
      </c>
      <c r="D10" s="25">
        <v>2116</v>
      </c>
      <c r="E10" s="25">
        <v>3610</v>
      </c>
      <c r="F10" s="25">
        <v>204</v>
      </c>
      <c r="G10" s="25">
        <v>108</v>
      </c>
      <c r="H10" s="25">
        <v>312</v>
      </c>
      <c r="I10" s="25">
        <v>21</v>
      </c>
      <c r="J10" s="25">
        <v>12</v>
      </c>
      <c r="K10" s="25">
        <v>33</v>
      </c>
      <c r="L10" s="25">
        <v>147</v>
      </c>
      <c r="M10" s="25">
        <v>81</v>
      </c>
      <c r="N10" s="25">
        <v>228</v>
      </c>
      <c r="O10" s="25">
        <v>13</v>
      </c>
      <c r="P10" s="25">
        <v>6</v>
      </c>
      <c r="Q10" s="25">
        <v>19</v>
      </c>
      <c r="R10" s="25">
        <v>14</v>
      </c>
      <c r="S10" s="25">
        <v>11</v>
      </c>
      <c r="T10" s="25">
        <v>25</v>
      </c>
      <c r="U10" s="25">
        <v>274</v>
      </c>
      <c r="V10" s="25">
        <v>571</v>
      </c>
      <c r="W10" s="25">
        <v>845</v>
      </c>
    </row>
    <row r="11" spans="1:23" ht="24.75" customHeight="1" x14ac:dyDescent="0.35">
      <c r="A11" s="7">
        <v>7</v>
      </c>
      <c r="B11" s="349" t="s">
        <v>18</v>
      </c>
      <c r="C11" s="27">
        <v>12986</v>
      </c>
      <c r="D11" s="25">
        <v>13013</v>
      </c>
      <c r="E11" s="25">
        <v>25999</v>
      </c>
      <c r="F11" s="25">
        <v>1478</v>
      </c>
      <c r="G11" s="25">
        <v>1001</v>
      </c>
      <c r="H11" s="25">
        <v>2479</v>
      </c>
      <c r="I11" s="25">
        <v>1012</v>
      </c>
      <c r="J11" s="25">
        <v>1175</v>
      </c>
      <c r="K11" s="25">
        <v>2187</v>
      </c>
      <c r="L11" s="25">
        <v>4369</v>
      </c>
      <c r="M11" s="25">
        <v>4001</v>
      </c>
      <c r="N11" s="25">
        <v>8370</v>
      </c>
      <c r="O11" s="25">
        <v>102</v>
      </c>
      <c r="P11" s="25">
        <v>60</v>
      </c>
      <c r="Q11" s="25">
        <v>162</v>
      </c>
      <c r="R11" s="25">
        <v>270</v>
      </c>
      <c r="S11" s="25">
        <v>365</v>
      </c>
      <c r="T11" s="25">
        <v>635</v>
      </c>
      <c r="U11" s="25">
        <v>582</v>
      </c>
      <c r="V11" s="25">
        <v>1206</v>
      </c>
      <c r="W11" s="25">
        <v>1788</v>
      </c>
    </row>
    <row r="12" spans="1:23" ht="24.75" customHeight="1" x14ac:dyDescent="0.35">
      <c r="A12" s="7">
        <v>8</v>
      </c>
      <c r="B12" s="349" t="s">
        <v>19</v>
      </c>
      <c r="C12" s="25">
        <v>11320</v>
      </c>
      <c r="D12" s="25">
        <v>13057</v>
      </c>
      <c r="E12" s="25">
        <v>24377</v>
      </c>
      <c r="F12" s="25">
        <v>1266</v>
      </c>
      <c r="G12" s="25">
        <v>973</v>
      </c>
      <c r="H12" s="25">
        <v>2239</v>
      </c>
      <c r="I12" s="25">
        <v>431</v>
      </c>
      <c r="J12" s="25">
        <v>340</v>
      </c>
      <c r="K12" s="25">
        <v>771</v>
      </c>
      <c r="L12" s="25">
        <v>1675</v>
      </c>
      <c r="M12" s="25">
        <v>1171</v>
      </c>
      <c r="N12" s="25">
        <v>2846</v>
      </c>
      <c r="O12" s="25">
        <v>294</v>
      </c>
      <c r="P12" s="25">
        <v>145</v>
      </c>
      <c r="Q12" s="25">
        <v>439</v>
      </c>
      <c r="R12" s="25">
        <v>1086</v>
      </c>
      <c r="S12" s="25">
        <v>566</v>
      </c>
      <c r="T12" s="25">
        <v>1652</v>
      </c>
      <c r="U12" s="25">
        <v>475</v>
      </c>
      <c r="V12" s="25">
        <v>997</v>
      </c>
      <c r="W12" s="25">
        <v>1472</v>
      </c>
    </row>
    <row r="13" spans="1:23" ht="24.75" customHeight="1" x14ac:dyDescent="0.35">
      <c r="A13" s="7">
        <v>9</v>
      </c>
      <c r="B13" s="349" t="s">
        <v>20</v>
      </c>
      <c r="C13" s="25">
        <v>1839</v>
      </c>
      <c r="D13" s="25">
        <v>2397</v>
      </c>
      <c r="E13" s="25">
        <v>4236</v>
      </c>
      <c r="F13" s="25">
        <v>35</v>
      </c>
      <c r="G13" s="25">
        <v>18</v>
      </c>
      <c r="H13" s="25">
        <v>53</v>
      </c>
      <c r="I13" s="25">
        <v>80</v>
      </c>
      <c r="J13" s="25">
        <v>95</v>
      </c>
      <c r="K13" s="25">
        <v>175</v>
      </c>
      <c r="L13" s="25">
        <v>177</v>
      </c>
      <c r="M13" s="25">
        <v>292</v>
      </c>
      <c r="N13" s="25">
        <v>469</v>
      </c>
      <c r="O13" s="25">
        <v>14</v>
      </c>
      <c r="P13" s="25">
        <v>12</v>
      </c>
      <c r="Q13" s="25">
        <v>26</v>
      </c>
      <c r="R13" s="25">
        <v>23</v>
      </c>
      <c r="S13" s="25">
        <v>52</v>
      </c>
      <c r="T13" s="25">
        <v>75</v>
      </c>
      <c r="U13" s="25">
        <v>301</v>
      </c>
      <c r="V13" s="25">
        <v>696</v>
      </c>
      <c r="W13" s="25">
        <v>997</v>
      </c>
    </row>
    <row r="14" spans="1:23" ht="24.75" customHeight="1" x14ac:dyDescent="0.35">
      <c r="A14" s="7">
        <v>10</v>
      </c>
      <c r="B14" s="349" t="s">
        <v>21</v>
      </c>
      <c r="C14" s="25">
        <v>37986</v>
      </c>
      <c r="D14" s="25">
        <v>31261</v>
      </c>
      <c r="E14" s="25">
        <v>69247</v>
      </c>
      <c r="F14" s="25">
        <v>2807</v>
      </c>
      <c r="G14" s="25">
        <v>2169</v>
      </c>
      <c r="H14" s="25">
        <v>4976</v>
      </c>
      <c r="I14" s="25">
        <v>2070</v>
      </c>
      <c r="J14" s="25">
        <v>2209</v>
      </c>
      <c r="K14" s="25">
        <v>4279</v>
      </c>
      <c r="L14" s="25">
        <v>8258</v>
      </c>
      <c r="M14" s="25">
        <v>5939</v>
      </c>
      <c r="N14" s="25">
        <v>14197</v>
      </c>
      <c r="O14" s="25">
        <v>221</v>
      </c>
      <c r="P14" s="25">
        <v>147</v>
      </c>
      <c r="Q14" s="25">
        <v>368</v>
      </c>
      <c r="R14" s="25">
        <v>1134</v>
      </c>
      <c r="S14" s="25">
        <v>750</v>
      </c>
      <c r="T14" s="25">
        <v>1884</v>
      </c>
      <c r="U14" s="25">
        <v>1123</v>
      </c>
      <c r="V14" s="25">
        <v>1277</v>
      </c>
      <c r="W14" s="25">
        <v>2400</v>
      </c>
    </row>
    <row r="15" spans="1:23" ht="24.75" customHeight="1" x14ac:dyDescent="0.35">
      <c r="A15" s="7">
        <v>11</v>
      </c>
      <c r="B15" s="349" t="s">
        <v>22</v>
      </c>
      <c r="C15" s="25">
        <v>20592</v>
      </c>
      <c r="D15" s="25">
        <v>24336</v>
      </c>
      <c r="E15" s="25">
        <v>44928</v>
      </c>
      <c r="F15" s="25">
        <v>1798</v>
      </c>
      <c r="G15" s="25">
        <v>1291</v>
      </c>
      <c r="H15" s="25">
        <v>3089</v>
      </c>
      <c r="I15" s="25">
        <v>44</v>
      </c>
      <c r="J15" s="25">
        <v>21</v>
      </c>
      <c r="K15" s="25">
        <v>65</v>
      </c>
      <c r="L15" s="25">
        <v>2701</v>
      </c>
      <c r="M15" s="25">
        <v>2886</v>
      </c>
      <c r="N15" s="25">
        <v>5587</v>
      </c>
      <c r="O15" s="25">
        <v>170</v>
      </c>
      <c r="P15" s="25">
        <v>121</v>
      </c>
      <c r="Q15" s="25">
        <v>291</v>
      </c>
      <c r="R15" s="25">
        <v>587</v>
      </c>
      <c r="S15" s="25">
        <v>222</v>
      </c>
      <c r="T15" s="25">
        <v>809</v>
      </c>
      <c r="U15" s="25">
        <v>834</v>
      </c>
      <c r="V15" s="25">
        <v>1206</v>
      </c>
      <c r="W15" s="25">
        <v>2040</v>
      </c>
    </row>
    <row r="16" spans="1:23" ht="24.75" customHeight="1" x14ac:dyDescent="0.35">
      <c r="A16" s="7">
        <v>12</v>
      </c>
      <c r="B16" s="349" t="s">
        <v>23</v>
      </c>
      <c r="C16" s="25">
        <v>5679</v>
      </c>
      <c r="D16" s="25">
        <v>5668</v>
      </c>
      <c r="E16" s="25">
        <v>11347</v>
      </c>
      <c r="F16" s="25">
        <v>596</v>
      </c>
      <c r="G16" s="25">
        <v>522</v>
      </c>
      <c r="H16" s="25">
        <v>1118</v>
      </c>
      <c r="I16" s="25">
        <v>226</v>
      </c>
      <c r="J16" s="25">
        <v>216</v>
      </c>
      <c r="K16" s="25">
        <v>442</v>
      </c>
      <c r="L16" s="25">
        <v>404</v>
      </c>
      <c r="M16" s="25">
        <v>376</v>
      </c>
      <c r="N16" s="25">
        <v>780</v>
      </c>
      <c r="O16" s="25">
        <v>56</v>
      </c>
      <c r="P16" s="25">
        <v>43</v>
      </c>
      <c r="Q16" s="25">
        <v>99</v>
      </c>
      <c r="R16" s="25">
        <v>73</v>
      </c>
      <c r="S16" s="25">
        <v>36</v>
      </c>
      <c r="T16" s="25">
        <v>109</v>
      </c>
      <c r="U16" s="25">
        <v>156</v>
      </c>
      <c r="V16" s="25">
        <v>181</v>
      </c>
      <c r="W16" s="25">
        <v>337</v>
      </c>
    </row>
    <row r="17" spans="1:23" ht="30" x14ac:dyDescent="0.35">
      <c r="A17" s="7">
        <v>13</v>
      </c>
      <c r="B17" s="349" t="s">
        <v>24</v>
      </c>
      <c r="C17" s="25">
        <v>6938</v>
      </c>
      <c r="D17" s="25">
        <v>5078</v>
      </c>
      <c r="E17" s="25">
        <v>12016</v>
      </c>
      <c r="F17" s="25">
        <v>336</v>
      </c>
      <c r="G17" s="25">
        <v>278</v>
      </c>
      <c r="H17" s="25">
        <v>614</v>
      </c>
      <c r="I17" s="25">
        <v>239</v>
      </c>
      <c r="J17" s="25">
        <v>88</v>
      </c>
      <c r="K17" s="25">
        <v>327</v>
      </c>
      <c r="L17" s="25">
        <v>321</v>
      </c>
      <c r="M17" s="25">
        <v>153</v>
      </c>
      <c r="N17" s="25">
        <v>474</v>
      </c>
      <c r="O17" s="25">
        <v>55</v>
      </c>
      <c r="P17" s="25">
        <v>28</v>
      </c>
      <c r="Q17" s="25">
        <v>83</v>
      </c>
      <c r="R17" s="25">
        <v>4740</v>
      </c>
      <c r="S17" s="25">
        <v>2339</v>
      </c>
      <c r="T17" s="25">
        <v>7079</v>
      </c>
      <c r="U17" s="25">
        <v>193</v>
      </c>
      <c r="V17" s="25">
        <v>298</v>
      </c>
      <c r="W17" s="25">
        <v>491</v>
      </c>
    </row>
    <row r="18" spans="1:23" ht="24.75" customHeight="1" x14ac:dyDescent="0.35">
      <c r="A18" s="7">
        <v>14</v>
      </c>
      <c r="B18" s="349" t="s">
        <v>25</v>
      </c>
      <c r="C18" s="25">
        <v>11468</v>
      </c>
      <c r="D18" s="25">
        <v>6712</v>
      </c>
      <c r="E18" s="25">
        <v>18180</v>
      </c>
      <c r="F18" s="25">
        <v>656</v>
      </c>
      <c r="G18" s="25">
        <v>261</v>
      </c>
      <c r="H18" s="25">
        <v>917</v>
      </c>
      <c r="I18" s="25">
        <v>714</v>
      </c>
      <c r="J18" s="25">
        <v>1608</v>
      </c>
      <c r="K18" s="25">
        <v>2322</v>
      </c>
      <c r="L18" s="25">
        <v>3634</v>
      </c>
      <c r="M18" s="25">
        <v>1558</v>
      </c>
      <c r="N18" s="25">
        <v>5192</v>
      </c>
      <c r="O18" s="25">
        <v>91</v>
      </c>
      <c r="P18" s="25">
        <v>31</v>
      </c>
      <c r="Q18" s="25">
        <v>122</v>
      </c>
      <c r="R18" s="25">
        <v>837</v>
      </c>
      <c r="S18" s="25">
        <v>349</v>
      </c>
      <c r="T18" s="25">
        <v>1186</v>
      </c>
      <c r="U18" s="25">
        <v>587</v>
      </c>
      <c r="V18" s="25">
        <v>1512</v>
      </c>
      <c r="W18" s="25">
        <v>2099</v>
      </c>
    </row>
    <row r="19" spans="1:23" ht="26.25" customHeight="1" x14ac:dyDescent="0.35">
      <c r="A19" s="7">
        <v>15</v>
      </c>
      <c r="B19" s="349" t="s">
        <v>26</v>
      </c>
      <c r="C19" s="25">
        <v>78938</v>
      </c>
      <c r="D19" s="25">
        <v>77224</v>
      </c>
      <c r="E19" s="25">
        <v>156162</v>
      </c>
      <c r="F19" s="25">
        <v>8334</v>
      </c>
      <c r="G19" s="25">
        <v>5228</v>
      </c>
      <c r="H19" s="25">
        <v>13562</v>
      </c>
      <c r="I19" s="25">
        <v>2265</v>
      </c>
      <c r="J19" s="25">
        <v>1292</v>
      </c>
      <c r="K19" s="25">
        <v>3557</v>
      </c>
      <c r="L19" s="25">
        <v>29750</v>
      </c>
      <c r="M19" s="25">
        <v>28915</v>
      </c>
      <c r="N19" s="25">
        <v>58665</v>
      </c>
      <c r="O19" s="25">
        <v>528</v>
      </c>
      <c r="P19" s="25">
        <v>370</v>
      </c>
      <c r="Q19" s="25">
        <v>898</v>
      </c>
      <c r="R19" s="25">
        <v>4804</v>
      </c>
      <c r="S19" s="25">
        <v>4755</v>
      </c>
      <c r="T19" s="25">
        <v>9559</v>
      </c>
      <c r="U19" s="25">
        <v>4294</v>
      </c>
      <c r="V19" s="25">
        <v>9145</v>
      </c>
      <c r="W19" s="25">
        <v>13439</v>
      </c>
    </row>
    <row r="20" spans="1:23" ht="24.75" customHeight="1" x14ac:dyDescent="0.35">
      <c r="A20" s="7">
        <v>16</v>
      </c>
      <c r="B20" s="349" t="s">
        <v>27</v>
      </c>
      <c r="C20" s="25">
        <v>24047</v>
      </c>
      <c r="D20" s="25">
        <v>43676</v>
      </c>
      <c r="E20" s="25">
        <v>67723</v>
      </c>
      <c r="F20" s="25">
        <v>1036</v>
      </c>
      <c r="G20" s="25">
        <v>1758</v>
      </c>
      <c r="H20" s="25">
        <v>2794</v>
      </c>
      <c r="I20" s="25">
        <v>100</v>
      </c>
      <c r="J20" s="25">
        <v>128</v>
      </c>
      <c r="K20" s="25">
        <v>228</v>
      </c>
      <c r="L20" s="25">
        <v>9386</v>
      </c>
      <c r="M20" s="25">
        <v>17620</v>
      </c>
      <c r="N20" s="25">
        <v>27006</v>
      </c>
      <c r="O20" s="25">
        <v>264</v>
      </c>
      <c r="P20" s="25">
        <v>236</v>
      </c>
      <c r="Q20" s="25">
        <v>500</v>
      </c>
      <c r="R20" s="25">
        <v>4442</v>
      </c>
      <c r="S20" s="25">
        <v>5209</v>
      </c>
      <c r="T20" s="25">
        <v>9651</v>
      </c>
      <c r="U20" s="25">
        <v>6875</v>
      </c>
      <c r="V20" s="25">
        <v>13339</v>
      </c>
      <c r="W20" s="25">
        <v>20214</v>
      </c>
    </row>
    <row r="21" spans="1:23" ht="24.75" customHeight="1" x14ac:dyDescent="0.35">
      <c r="A21" s="7">
        <v>17</v>
      </c>
      <c r="B21" s="349" t="s">
        <v>28</v>
      </c>
      <c r="C21" s="25">
        <v>213</v>
      </c>
      <c r="D21" s="25">
        <v>139</v>
      </c>
      <c r="E21" s="25">
        <v>352</v>
      </c>
      <c r="F21" s="64">
        <v>2</v>
      </c>
      <c r="G21" s="64">
        <v>2</v>
      </c>
      <c r="H21" s="64">
        <v>4</v>
      </c>
      <c r="I21" s="25">
        <v>173</v>
      </c>
      <c r="J21" s="25">
        <v>129</v>
      </c>
      <c r="K21" s="25">
        <v>302</v>
      </c>
      <c r="L21" s="25">
        <v>3</v>
      </c>
      <c r="M21" s="25">
        <v>2</v>
      </c>
      <c r="N21" s="25">
        <v>5</v>
      </c>
      <c r="O21" s="25">
        <v>2</v>
      </c>
      <c r="P21" s="25" t="s">
        <v>121</v>
      </c>
      <c r="Q21" s="25">
        <v>2</v>
      </c>
      <c r="R21" s="25">
        <v>137</v>
      </c>
      <c r="S21" s="25">
        <v>48</v>
      </c>
      <c r="T21" s="25">
        <v>185</v>
      </c>
      <c r="U21" s="25">
        <v>66</v>
      </c>
      <c r="V21" s="25">
        <v>86</v>
      </c>
      <c r="W21" s="25">
        <v>152</v>
      </c>
    </row>
    <row r="22" spans="1:23" ht="24.75" customHeight="1" x14ac:dyDescent="0.35">
      <c r="A22" s="7">
        <v>18</v>
      </c>
      <c r="B22" s="349" t="s">
        <v>82</v>
      </c>
      <c r="C22" s="25">
        <v>34</v>
      </c>
      <c r="D22" s="25">
        <v>33</v>
      </c>
      <c r="E22" s="25">
        <v>67</v>
      </c>
      <c r="F22" s="25">
        <v>5</v>
      </c>
      <c r="G22" s="25">
        <v>4</v>
      </c>
      <c r="H22" s="25">
        <v>9</v>
      </c>
      <c r="I22" s="25">
        <v>15</v>
      </c>
      <c r="J22" s="25">
        <v>24</v>
      </c>
      <c r="K22" s="25">
        <v>39</v>
      </c>
      <c r="L22" s="25">
        <v>12</v>
      </c>
      <c r="M22" s="25">
        <v>1</v>
      </c>
      <c r="N22" s="25">
        <v>13</v>
      </c>
      <c r="O22" s="25" t="s">
        <v>121</v>
      </c>
      <c r="P22" s="25" t="s">
        <v>121</v>
      </c>
      <c r="Q22" s="25" t="s">
        <v>121</v>
      </c>
      <c r="R22" s="25">
        <v>23</v>
      </c>
      <c r="S22" s="25">
        <v>24</v>
      </c>
      <c r="T22" s="25">
        <v>47</v>
      </c>
      <c r="U22" s="25">
        <v>1</v>
      </c>
      <c r="V22" s="25">
        <v>2</v>
      </c>
      <c r="W22" s="25">
        <v>3</v>
      </c>
    </row>
    <row r="23" spans="1:23" ht="24.75" customHeight="1" x14ac:dyDescent="0.35">
      <c r="A23" s="7">
        <v>19</v>
      </c>
      <c r="B23" s="349" t="s">
        <v>29</v>
      </c>
      <c r="C23" s="25">
        <v>50979</v>
      </c>
      <c r="D23" s="25">
        <v>38861</v>
      </c>
      <c r="E23" s="25">
        <v>89840</v>
      </c>
      <c r="F23" s="25">
        <v>4482</v>
      </c>
      <c r="G23" s="25">
        <v>2655</v>
      </c>
      <c r="H23" s="25">
        <v>7137</v>
      </c>
      <c r="I23" s="25">
        <v>1415</v>
      </c>
      <c r="J23" s="25">
        <v>1124</v>
      </c>
      <c r="K23" s="25">
        <v>2539</v>
      </c>
      <c r="L23" s="25">
        <v>13261</v>
      </c>
      <c r="M23" s="25">
        <v>9321</v>
      </c>
      <c r="N23" s="25">
        <v>22582</v>
      </c>
      <c r="O23" s="25">
        <v>339</v>
      </c>
      <c r="P23" s="25">
        <v>184</v>
      </c>
      <c r="Q23" s="25">
        <v>523</v>
      </c>
      <c r="R23" s="25">
        <v>2205</v>
      </c>
      <c r="S23" s="25">
        <v>1661</v>
      </c>
      <c r="T23" s="25">
        <v>3866</v>
      </c>
      <c r="U23" s="25">
        <v>1664</v>
      </c>
      <c r="V23" s="25">
        <v>2366</v>
      </c>
      <c r="W23" s="25">
        <v>4030</v>
      </c>
    </row>
    <row r="24" spans="1:23" ht="24.75" customHeight="1" x14ac:dyDescent="0.35">
      <c r="A24" s="7">
        <v>20</v>
      </c>
      <c r="B24" s="349" t="s">
        <v>30</v>
      </c>
      <c r="C24" s="25">
        <v>101597</v>
      </c>
      <c r="D24" s="25">
        <v>84868</v>
      </c>
      <c r="E24" s="25">
        <v>186465</v>
      </c>
      <c r="F24" s="25">
        <v>12895</v>
      </c>
      <c r="G24" s="25">
        <v>9150</v>
      </c>
      <c r="H24" s="25">
        <v>22045</v>
      </c>
      <c r="I24" s="25">
        <v>2333</v>
      </c>
      <c r="J24" s="25">
        <v>1191</v>
      </c>
      <c r="K24" s="25">
        <v>3524</v>
      </c>
      <c r="L24" s="25">
        <v>24755</v>
      </c>
      <c r="M24" s="25">
        <v>18300</v>
      </c>
      <c r="N24" s="25">
        <v>43055</v>
      </c>
      <c r="O24" s="25">
        <v>672</v>
      </c>
      <c r="P24" s="25">
        <v>388</v>
      </c>
      <c r="Q24" s="25">
        <v>1060</v>
      </c>
      <c r="R24" s="25">
        <v>5260</v>
      </c>
      <c r="S24" s="25">
        <v>4160</v>
      </c>
      <c r="T24" s="25">
        <v>9420</v>
      </c>
      <c r="U24" s="25">
        <v>7634</v>
      </c>
      <c r="V24" s="25">
        <v>7383</v>
      </c>
      <c r="W24" s="25">
        <v>15017</v>
      </c>
    </row>
    <row r="25" spans="1:23" ht="24.75" customHeight="1" x14ac:dyDescent="0.35">
      <c r="A25" s="7">
        <v>21</v>
      </c>
      <c r="B25" s="349" t="s">
        <v>31</v>
      </c>
      <c r="C25" s="25">
        <v>3340</v>
      </c>
      <c r="D25" s="25">
        <v>3505</v>
      </c>
      <c r="E25" s="25">
        <v>6845</v>
      </c>
      <c r="F25" s="25">
        <v>249</v>
      </c>
      <c r="G25" s="25">
        <v>163</v>
      </c>
      <c r="H25" s="25">
        <v>412</v>
      </c>
      <c r="I25" s="25">
        <v>484</v>
      </c>
      <c r="J25" s="25">
        <v>547</v>
      </c>
      <c r="K25" s="25">
        <v>1031</v>
      </c>
      <c r="L25" s="25">
        <v>722</v>
      </c>
      <c r="M25" s="25">
        <v>737</v>
      </c>
      <c r="N25" s="25">
        <v>1459</v>
      </c>
      <c r="O25" s="25">
        <v>6</v>
      </c>
      <c r="P25" s="25">
        <v>10</v>
      </c>
      <c r="Q25" s="25">
        <v>16</v>
      </c>
      <c r="R25" s="25">
        <v>119</v>
      </c>
      <c r="S25" s="25">
        <v>41</v>
      </c>
      <c r="T25" s="25">
        <v>160</v>
      </c>
      <c r="U25" s="25">
        <v>703</v>
      </c>
      <c r="V25" s="25">
        <v>685</v>
      </c>
      <c r="W25" s="25">
        <v>1388</v>
      </c>
    </row>
    <row r="26" spans="1:23" ht="24.75" customHeight="1" x14ac:dyDescent="0.35">
      <c r="A26" s="7">
        <v>22</v>
      </c>
      <c r="B26" s="349" t="s">
        <v>32</v>
      </c>
      <c r="C26" s="25">
        <v>1796</v>
      </c>
      <c r="D26" s="25">
        <v>2417</v>
      </c>
      <c r="E26" s="25">
        <v>4213</v>
      </c>
      <c r="F26" s="25">
        <v>53</v>
      </c>
      <c r="G26" s="25">
        <v>39</v>
      </c>
      <c r="H26" s="25">
        <v>92</v>
      </c>
      <c r="I26" s="25">
        <v>1095</v>
      </c>
      <c r="J26" s="25">
        <v>1968</v>
      </c>
      <c r="K26" s="25">
        <v>3063</v>
      </c>
      <c r="L26" s="25">
        <v>91</v>
      </c>
      <c r="M26" s="25">
        <v>52</v>
      </c>
      <c r="N26" s="25">
        <v>143</v>
      </c>
      <c r="O26" s="25">
        <v>6</v>
      </c>
      <c r="P26" s="25">
        <v>7</v>
      </c>
      <c r="Q26" s="25">
        <v>13</v>
      </c>
      <c r="R26" s="25">
        <v>103</v>
      </c>
      <c r="S26" s="25">
        <v>59</v>
      </c>
      <c r="T26" s="25">
        <v>162</v>
      </c>
      <c r="U26" s="25">
        <v>1131</v>
      </c>
      <c r="V26" s="25">
        <v>1983</v>
      </c>
      <c r="W26" s="25">
        <v>3114</v>
      </c>
    </row>
    <row r="27" spans="1:23" ht="24.75" customHeight="1" x14ac:dyDescent="0.35">
      <c r="A27" s="7">
        <v>23</v>
      </c>
      <c r="B27" s="349" t="s">
        <v>33</v>
      </c>
      <c r="C27" s="25">
        <v>1157</v>
      </c>
      <c r="D27" s="25">
        <v>1134</v>
      </c>
      <c r="E27" s="25">
        <v>2291</v>
      </c>
      <c r="F27" s="25">
        <v>40</v>
      </c>
      <c r="G27" s="25">
        <v>10</v>
      </c>
      <c r="H27" s="25">
        <v>50</v>
      </c>
      <c r="I27" s="25">
        <v>883</v>
      </c>
      <c r="J27" s="25">
        <v>1079</v>
      </c>
      <c r="K27" s="25">
        <v>1962</v>
      </c>
      <c r="L27" s="25">
        <v>77</v>
      </c>
      <c r="M27" s="25">
        <v>13</v>
      </c>
      <c r="N27" s="25">
        <v>90</v>
      </c>
      <c r="O27" s="25">
        <v>3</v>
      </c>
      <c r="P27" s="25">
        <v>1</v>
      </c>
      <c r="Q27" s="25">
        <v>4</v>
      </c>
      <c r="R27" s="25">
        <v>12</v>
      </c>
      <c r="S27" s="25">
        <v>2</v>
      </c>
      <c r="T27" s="25">
        <v>14</v>
      </c>
      <c r="U27" s="25">
        <v>888</v>
      </c>
      <c r="V27" s="25">
        <v>1085</v>
      </c>
      <c r="W27" s="25">
        <v>1973</v>
      </c>
    </row>
    <row r="28" spans="1:23" ht="24.75" customHeight="1" x14ac:dyDescent="0.35">
      <c r="A28" s="7">
        <v>24</v>
      </c>
      <c r="B28" s="349" t="s">
        <v>34</v>
      </c>
      <c r="C28" s="25">
        <v>1182</v>
      </c>
      <c r="D28" s="25">
        <v>1690</v>
      </c>
      <c r="E28" s="25">
        <v>2872</v>
      </c>
      <c r="F28" s="25">
        <v>44</v>
      </c>
      <c r="G28" s="25">
        <v>16</v>
      </c>
      <c r="H28" s="25">
        <v>60</v>
      </c>
      <c r="I28" s="25">
        <v>835</v>
      </c>
      <c r="J28" s="25">
        <v>1569</v>
      </c>
      <c r="K28" s="25">
        <v>2404</v>
      </c>
      <c r="L28" s="25">
        <v>86</v>
      </c>
      <c r="M28" s="25">
        <v>42</v>
      </c>
      <c r="N28" s="25">
        <v>128</v>
      </c>
      <c r="O28" s="25">
        <v>8</v>
      </c>
      <c r="P28" s="25">
        <v>3</v>
      </c>
      <c r="Q28" s="25">
        <v>11</v>
      </c>
      <c r="R28" s="25">
        <v>17</v>
      </c>
      <c r="S28" s="25">
        <v>3</v>
      </c>
      <c r="T28" s="25">
        <v>20</v>
      </c>
      <c r="U28" s="25">
        <v>886</v>
      </c>
      <c r="V28" s="25">
        <v>1592</v>
      </c>
      <c r="W28" s="25">
        <v>2478</v>
      </c>
    </row>
    <row r="29" spans="1:23" ht="24.75" customHeight="1" x14ac:dyDescent="0.35">
      <c r="A29" s="7">
        <v>25</v>
      </c>
      <c r="B29" s="349" t="s">
        <v>35</v>
      </c>
      <c r="C29" s="25">
        <v>28754</v>
      </c>
      <c r="D29" s="25">
        <v>20607</v>
      </c>
      <c r="E29" s="25">
        <v>49361</v>
      </c>
      <c r="F29" s="25">
        <v>1870</v>
      </c>
      <c r="G29" s="25">
        <v>1242</v>
      </c>
      <c r="H29" s="25">
        <v>3112</v>
      </c>
      <c r="I29" s="25">
        <v>1014</v>
      </c>
      <c r="J29" s="25">
        <v>1013</v>
      </c>
      <c r="K29" s="25">
        <v>2027</v>
      </c>
      <c r="L29" s="25">
        <v>4794</v>
      </c>
      <c r="M29" s="25">
        <v>3065</v>
      </c>
      <c r="N29" s="25">
        <v>7859</v>
      </c>
      <c r="O29" s="25">
        <v>200</v>
      </c>
      <c r="P29" s="25">
        <v>97</v>
      </c>
      <c r="Q29" s="25">
        <v>297</v>
      </c>
      <c r="R29" s="25">
        <v>278</v>
      </c>
      <c r="S29" s="25">
        <v>197</v>
      </c>
      <c r="T29" s="25">
        <v>475</v>
      </c>
      <c r="U29" s="25">
        <v>335</v>
      </c>
      <c r="V29" s="25">
        <v>541</v>
      </c>
      <c r="W29" s="25">
        <v>876</v>
      </c>
    </row>
    <row r="30" spans="1:23" ht="24.75" customHeight="1" x14ac:dyDescent="0.35">
      <c r="A30" s="7">
        <v>26</v>
      </c>
      <c r="B30" s="349" t="s">
        <v>36</v>
      </c>
      <c r="C30" s="25">
        <v>4325</v>
      </c>
      <c r="D30" s="25">
        <v>3921</v>
      </c>
      <c r="E30" s="25">
        <v>8246</v>
      </c>
      <c r="F30" s="25">
        <v>510</v>
      </c>
      <c r="G30" s="25">
        <v>382</v>
      </c>
      <c r="H30" s="25">
        <v>892</v>
      </c>
      <c r="I30" s="25">
        <v>39</v>
      </c>
      <c r="J30" s="25">
        <v>19</v>
      </c>
      <c r="K30" s="25">
        <v>58</v>
      </c>
      <c r="L30" s="25">
        <v>2519</v>
      </c>
      <c r="M30" s="25">
        <v>2475</v>
      </c>
      <c r="N30" s="25">
        <v>4994</v>
      </c>
      <c r="O30" s="25">
        <v>48</v>
      </c>
      <c r="P30" s="25">
        <v>16</v>
      </c>
      <c r="Q30" s="25">
        <v>64</v>
      </c>
      <c r="R30" s="25">
        <v>130</v>
      </c>
      <c r="S30" s="25">
        <v>79</v>
      </c>
      <c r="T30" s="25">
        <v>209</v>
      </c>
      <c r="U30" s="25">
        <v>323</v>
      </c>
      <c r="V30" s="25">
        <v>374</v>
      </c>
      <c r="W30" s="25">
        <v>697</v>
      </c>
    </row>
    <row r="31" spans="1:23" ht="24.75" customHeight="1" x14ac:dyDescent="0.35">
      <c r="A31" s="7">
        <v>27</v>
      </c>
      <c r="B31" s="349" t="s">
        <v>37</v>
      </c>
      <c r="C31" s="25">
        <v>19757</v>
      </c>
      <c r="D31" s="25">
        <v>32082</v>
      </c>
      <c r="E31" s="25">
        <v>51839</v>
      </c>
      <c r="F31" s="25">
        <v>1695</v>
      </c>
      <c r="G31" s="25">
        <v>2724</v>
      </c>
      <c r="H31" s="25">
        <v>4419</v>
      </c>
      <c r="I31" s="25">
        <v>60</v>
      </c>
      <c r="J31" s="25">
        <v>35</v>
      </c>
      <c r="K31" s="25">
        <v>95</v>
      </c>
      <c r="L31" s="25">
        <v>1305</v>
      </c>
      <c r="M31" s="25">
        <v>1749</v>
      </c>
      <c r="N31" s="25">
        <v>3054</v>
      </c>
      <c r="O31" s="25">
        <v>124</v>
      </c>
      <c r="P31" s="25">
        <v>145</v>
      </c>
      <c r="Q31" s="25">
        <v>269</v>
      </c>
      <c r="R31" s="25">
        <v>741</v>
      </c>
      <c r="S31" s="25">
        <v>347</v>
      </c>
      <c r="T31" s="25">
        <v>1088</v>
      </c>
      <c r="U31" s="25">
        <v>7634</v>
      </c>
      <c r="V31" s="25">
        <v>16149</v>
      </c>
      <c r="W31" s="25">
        <v>23783</v>
      </c>
    </row>
    <row r="32" spans="1:23" ht="24.75" customHeight="1" x14ac:dyDescent="0.35">
      <c r="A32" s="7">
        <v>28</v>
      </c>
      <c r="B32" s="349" t="s">
        <v>38</v>
      </c>
      <c r="C32" s="25">
        <v>58910</v>
      </c>
      <c r="D32" s="25">
        <v>33010</v>
      </c>
      <c r="E32" s="25">
        <v>91920</v>
      </c>
      <c r="F32" s="25">
        <v>5977</v>
      </c>
      <c r="G32" s="25">
        <v>1798</v>
      </c>
      <c r="H32" s="25">
        <v>7775</v>
      </c>
      <c r="I32" s="25">
        <v>2283</v>
      </c>
      <c r="J32" s="25">
        <v>749</v>
      </c>
      <c r="K32" s="25">
        <v>3032</v>
      </c>
      <c r="L32" s="25">
        <v>20573</v>
      </c>
      <c r="M32" s="25">
        <v>9441</v>
      </c>
      <c r="N32" s="25">
        <v>30014</v>
      </c>
      <c r="O32" s="25">
        <v>338</v>
      </c>
      <c r="P32" s="25">
        <v>144</v>
      </c>
      <c r="Q32" s="25">
        <v>482</v>
      </c>
      <c r="R32" s="25">
        <v>1986</v>
      </c>
      <c r="S32" s="25">
        <v>794</v>
      </c>
      <c r="T32" s="25">
        <v>2780</v>
      </c>
      <c r="U32" s="25">
        <v>1167</v>
      </c>
      <c r="V32" s="25">
        <v>1389</v>
      </c>
      <c r="W32" s="25">
        <v>2556</v>
      </c>
    </row>
    <row r="33" spans="1:23" ht="24.75" customHeight="1" x14ac:dyDescent="0.35">
      <c r="A33" s="7">
        <v>29</v>
      </c>
      <c r="B33" s="349" t="s">
        <v>39</v>
      </c>
      <c r="C33" s="25">
        <v>958</v>
      </c>
      <c r="D33" s="25">
        <v>735</v>
      </c>
      <c r="E33" s="25">
        <v>1693</v>
      </c>
      <c r="F33" s="25">
        <v>54</v>
      </c>
      <c r="G33" s="25">
        <v>19</v>
      </c>
      <c r="H33" s="25">
        <v>73</v>
      </c>
      <c r="I33" s="25">
        <v>207</v>
      </c>
      <c r="J33" s="25">
        <v>273</v>
      </c>
      <c r="K33" s="25">
        <v>480</v>
      </c>
      <c r="L33" s="25">
        <v>196</v>
      </c>
      <c r="M33" s="25">
        <v>197</v>
      </c>
      <c r="N33" s="25">
        <v>393</v>
      </c>
      <c r="O33" s="25">
        <v>8</v>
      </c>
      <c r="P33" s="25">
        <v>3</v>
      </c>
      <c r="Q33" s="25">
        <v>11</v>
      </c>
      <c r="R33" s="25">
        <v>15</v>
      </c>
      <c r="S33" s="25">
        <v>4</v>
      </c>
      <c r="T33" s="25">
        <v>19</v>
      </c>
      <c r="U33" s="25">
        <v>215</v>
      </c>
      <c r="V33" s="25">
        <v>279</v>
      </c>
      <c r="W33" s="25">
        <v>494</v>
      </c>
    </row>
    <row r="34" spans="1:23" ht="24.75" customHeight="1" x14ac:dyDescent="0.35">
      <c r="A34" s="7">
        <v>30</v>
      </c>
      <c r="B34" s="349" t="s">
        <v>40</v>
      </c>
      <c r="C34" s="25">
        <v>103450</v>
      </c>
      <c r="D34" s="25">
        <v>115206</v>
      </c>
      <c r="E34" s="25">
        <v>218656</v>
      </c>
      <c r="F34" s="25">
        <v>13220</v>
      </c>
      <c r="G34" s="25">
        <v>12539</v>
      </c>
      <c r="H34" s="25">
        <v>25759</v>
      </c>
      <c r="I34" s="25">
        <v>346</v>
      </c>
      <c r="J34" s="25">
        <v>269</v>
      </c>
      <c r="K34" s="25">
        <v>615</v>
      </c>
      <c r="L34" s="25">
        <v>71466</v>
      </c>
      <c r="M34" s="25">
        <v>82146</v>
      </c>
      <c r="N34" s="25">
        <v>153612</v>
      </c>
      <c r="O34" s="25">
        <v>704</v>
      </c>
      <c r="P34" s="25">
        <v>670</v>
      </c>
      <c r="Q34" s="25">
        <v>1374</v>
      </c>
      <c r="R34" s="25">
        <v>3550</v>
      </c>
      <c r="S34" s="25">
        <v>3071</v>
      </c>
      <c r="T34" s="25">
        <v>6621</v>
      </c>
      <c r="U34" s="25">
        <v>10140</v>
      </c>
      <c r="V34" s="25">
        <v>17750</v>
      </c>
      <c r="W34" s="25">
        <v>27890</v>
      </c>
    </row>
    <row r="35" spans="1:23" ht="24.75" customHeight="1" x14ac:dyDescent="0.35">
      <c r="A35" s="7">
        <v>31</v>
      </c>
      <c r="B35" s="349" t="s">
        <v>41</v>
      </c>
      <c r="C35" s="25">
        <v>46360</v>
      </c>
      <c r="D35" s="25">
        <v>38208</v>
      </c>
      <c r="E35" s="25">
        <v>84568</v>
      </c>
      <c r="F35" s="25">
        <v>5153</v>
      </c>
      <c r="G35" s="25">
        <v>4443</v>
      </c>
      <c r="H35" s="25">
        <v>9596</v>
      </c>
      <c r="I35" s="25">
        <v>2168</v>
      </c>
      <c r="J35" s="25">
        <v>828</v>
      </c>
      <c r="K35" s="25">
        <v>2996</v>
      </c>
      <c r="L35" s="25">
        <v>19830</v>
      </c>
      <c r="M35" s="25">
        <v>15236</v>
      </c>
      <c r="N35" s="25">
        <v>35066</v>
      </c>
      <c r="O35" s="25">
        <v>275</v>
      </c>
      <c r="P35" s="25">
        <v>181</v>
      </c>
      <c r="Q35" s="25">
        <v>456</v>
      </c>
      <c r="R35" s="25">
        <v>4176</v>
      </c>
      <c r="S35" s="25">
        <v>3949</v>
      </c>
      <c r="T35" s="25">
        <v>8125</v>
      </c>
      <c r="U35" s="25">
        <v>1204</v>
      </c>
      <c r="V35" s="25">
        <v>2314</v>
      </c>
      <c r="W35" s="25">
        <v>3518</v>
      </c>
    </row>
    <row r="36" spans="1:23" ht="34.5" customHeight="1" x14ac:dyDescent="0.35">
      <c r="A36" s="7">
        <v>32</v>
      </c>
      <c r="B36" s="349" t="s">
        <v>58</v>
      </c>
      <c r="C36" s="25">
        <v>336</v>
      </c>
      <c r="D36" s="25">
        <v>317</v>
      </c>
      <c r="E36" s="25">
        <v>653</v>
      </c>
      <c r="F36" s="25">
        <v>32</v>
      </c>
      <c r="G36" s="25">
        <v>13</v>
      </c>
      <c r="H36" s="25">
        <v>45</v>
      </c>
      <c r="I36" s="25">
        <v>23</v>
      </c>
      <c r="J36" s="25">
        <v>30</v>
      </c>
      <c r="K36" s="25">
        <v>53</v>
      </c>
      <c r="L36" s="25">
        <v>73</v>
      </c>
      <c r="M36" s="25">
        <v>46</v>
      </c>
      <c r="N36" s="25">
        <v>119</v>
      </c>
      <c r="O36" s="25">
        <v>5</v>
      </c>
      <c r="P36" s="25">
        <v>1</v>
      </c>
      <c r="Q36" s="25">
        <v>6</v>
      </c>
      <c r="R36" s="25">
        <v>14</v>
      </c>
      <c r="S36" s="25">
        <v>16</v>
      </c>
      <c r="T36" s="25">
        <v>30</v>
      </c>
      <c r="U36" s="25">
        <v>11</v>
      </c>
      <c r="V36" s="25">
        <v>26</v>
      </c>
      <c r="W36" s="25">
        <v>37</v>
      </c>
    </row>
    <row r="37" spans="1:23" ht="24.75" customHeight="1" x14ac:dyDescent="0.35">
      <c r="A37" s="7">
        <v>33</v>
      </c>
      <c r="B37" s="350" t="s">
        <v>42</v>
      </c>
      <c r="C37" s="25">
        <v>1872</v>
      </c>
      <c r="D37" s="25">
        <v>1117</v>
      </c>
      <c r="E37" s="25">
        <v>2989</v>
      </c>
      <c r="F37" s="25">
        <v>267</v>
      </c>
      <c r="G37" s="25">
        <v>145</v>
      </c>
      <c r="H37" s="25">
        <v>412</v>
      </c>
      <c r="I37" s="25">
        <v>307</v>
      </c>
      <c r="J37" s="25">
        <v>202</v>
      </c>
      <c r="K37" s="25">
        <v>509</v>
      </c>
      <c r="L37" s="25">
        <v>243</v>
      </c>
      <c r="M37" s="25">
        <v>123</v>
      </c>
      <c r="N37" s="25">
        <v>366</v>
      </c>
      <c r="O37" s="25">
        <v>11</v>
      </c>
      <c r="P37" s="25">
        <v>5</v>
      </c>
      <c r="Q37" s="25">
        <v>16</v>
      </c>
      <c r="R37" s="25">
        <v>30</v>
      </c>
      <c r="S37" s="25">
        <v>10</v>
      </c>
      <c r="T37" s="25">
        <v>40</v>
      </c>
      <c r="U37" s="25">
        <v>130</v>
      </c>
      <c r="V37" s="25">
        <v>97</v>
      </c>
      <c r="W37" s="25">
        <v>227</v>
      </c>
    </row>
    <row r="38" spans="1:23" ht="24.75" customHeight="1" x14ac:dyDescent="0.35">
      <c r="A38" s="7">
        <v>34</v>
      </c>
      <c r="B38" s="349" t="s">
        <v>43</v>
      </c>
      <c r="C38" s="25">
        <v>141920</v>
      </c>
      <c r="D38" s="25">
        <v>67292</v>
      </c>
      <c r="E38" s="25">
        <v>209212</v>
      </c>
      <c r="F38" s="25">
        <v>16038</v>
      </c>
      <c r="G38" s="25">
        <v>4686</v>
      </c>
      <c r="H38" s="25">
        <v>20724</v>
      </c>
      <c r="I38" s="25">
        <v>397</v>
      </c>
      <c r="J38" s="25">
        <v>153</v>
      </c>
      <c r="K38" s="25">
        <v>550</v>
      </c>
      <c r="L38" s="25">
        <v>46654</v>
      </c>
      <c r="M38" s="25">
        <v>17087</v>
      </c>
      <c r="N38" s="25">
        <v>63741</v>
      </c>
      <c r="O38" s="25">
        <v>642</v>
      </c>
      <c r="P38" s="25">
        <v>239</v>
      </c>
      <c r="Q38" s="25">
        <v>881</v>
      </c>
      <c r="R38" s="25">
        <v>9384</v>
      </c>
      <c r="S38" s="25">
        <v>4261</v>
      </c>
      <c r="T38" s="25">
        <v>13645</v>
      </c>
      <c r="U38" s="25">
        <v>1402</v>
      </c>
      <c r="V38" s="25">
        <v>1786</v>
      </c>
      <c r="W38" s="25">
        <v>3188</v>
      </c>
    </row>
    <row r="39" spans="1:23" ht="24.75" customHeight="1" x14ac:dyDescent="0.35">
      <c r="A39" s="7">
        <v>35</v>
      </c>
      <c r="B39" s="349" t="s">
        <v>44</v>
      </c>
      <c r="C39" s="25">
        <v>11793</v>
      </c>
      <c r="D39" s="25">
        <v>8271</v>
      </c>
      <c r="E39" s="25">
        <v>20064</v>
      </c>
      <c r="F39" s="25">
        <v>977</v>
      </c>
      <c r="G39" s="25">
        <v>518</v>
      </c>
      <c r="H39" s="25">
        <v>1495</v>
      </c>
      <c r="I39" s="25">
        <v>140</v>
      </c>
      <c r="J39" s="25">
        <v>92</v>
      </c>
      <c r="K39" s="25">
        <v>232</v>
      </c>
      <c r="L39" s="25">
        <v>1558</v>
      </c>
      <c r="M39" s="25">
        <v>840</v>
      </c>
      <c r="N39" s="25">
        <v>2398</v>
      </c>
      <c r="O39" s="25">
        <v>72</v>
      </c>
      <c r="P39" s="25">
        <v>37</v>
      </c>
      <c r="Q39" s="25">
        <v>109</v>
      </c>
      <c r="R39" s="25">
        <v>465</v>
      </c>
      <c r="S39" s="25">
        <v>253</v>
      </c>
      <c r="T39" s="25">
        <v>718</v>
      </c>
      <c r="U39" s="25">
        <v>176</v>
      </c>
      <c r="V39" s="25">
        <v>258</v>
      </c>
      <c r="W39" s="25">
        <v>434</v>
      </c>
    </row>
    <row r="40" spans="1:23" ht="24.75" customHeight="1" x14ac:dyDescent="0.35">
      <c r="A40" s="7">
        <v>36</v>
      </c>
      <c r="B40" s="349" t="s">
        <v>45</v>
      </c>
      <c r="C40" s="25">
        <v>48960</v>
      </c>
      <c r="D40" s="25">
        <v>29243</v>
      </c>
      <c r="E40" s="25">
        <v>78203</v>
      </c>
      <c r="F40" s="25">
        <v>6385</v>
      </c>
      <c r="G40" s="25">
        <v>2617</v>
      </c>
      <c r="H40" s="25">
        <v>9002</v>
      </c>
      <c r="I40" s="25">
        <v>813</v>
      </c>
      <c r="J40" s="25">
        <v>611</v>
      </c>
      <c r="K40" s="25">
        <v>1424</v>
      </c>
      <c r="L40" s="25">
        <v>6100</v>
      </c>
      <c r="M40" s="25">
        <v>2269</v>
      </c>
      <c r="N40" s="25">
        <v>8369</v>
      </c>
      <c r="O40" s="25">
        <v>385</v>
      </c>
      <c r="P40" s="25">
        <v>124</v>
      </c>
      <c r="Q40" s="25">
        <v>509</v>
      </c>
      <c r="R40" s="25">
        <v>4968</v>
      </c>
      <c r="S40" s="25">
        <v>1630</v>
      </c>
      <c r="T40" s="25">
        <v>6598</v>
      </c>
      <c r="U40" s="25">
        <v>554</v>
      </c>
      <c r="V40" s="25">
        <v>597</v>
      </c>
      <c r="W40" s="25">
        <v>1151</v>
      </c>
    </row>
    <row r="41" spans="1:23" s="205" customFormat="1" ht="30.75" customHeight="1" x14ac:dyDescent="0.3">
      <c r="A41" s="799" t="s">
        <v>46</v>
      </c>
      <c r="B41" s="799"/>
      <c r="C41" s="41">
        <v>954107</v>
      </c>
      <c r="D41" s="41">
        <v>778187</v>
      </c>
      <c r="E41" s="41">
        <v>1732294</v>
      </c>
      <c r="F41" s="41">
        <v>100432</v>
      </c>
      <c r="G41" s="41">
        <v>66171</v>
      </c>
      <c r="H41" s="41">
        <v>166603</v>
      </c>
      <c r="I41" s="41">
        <v>26238</v>
      </c>
      <c r="J41" s="41">
        <v>22940</v>
      </c>
      <c r="K41" s="41">
        <v>49178</v>
      </c>
      <c r="L41" s="41">
        <v>315240</v>
      </c>
      <c r="M41" s="41">
        <v>249504</v>
      </c>
      <c r="N41" s="41">
        <v>564744</v>
      </c>
      <c r="O41" s="41">
        <v>6459</v>
      </c>
      <c r="P41" s="41">
        <v>3788</v>
      </c>
      <c r="Q41" s="41">
        <v>10247</v>
      </c>
      <c r="R41" s="41">
        <v>60375</v>
      </c>
      <c r="S41" s="41">
        <v>39145</v>
      </c>
      <c r="T41" s="41">
        <v>99520</v>
      </c>
      <c r="U41" s="41">
        <v>55237</v>
      </c>
      <c r="V41" s="41">
        <v>91878</v>
      </c>
      <c r="W41" s="41">
        <v>147115</v>
      </c>
    </row>
  </sheetData>
  <mergeCells count="12">
    <mergeCell ref="C1:K1"/>
    <mergeCell ref="L1:W1"/>
    <mergeCell ref="U2:W2"/>
    <mergeCell ref="A41:B41"/>
    <mergeCell ref="A2:A3"/>
    <mergeCell ref="B2:B3"/>
    <mergeCell ref="C2:E2"/>
    <mergeCell ref="F2:H2"/>
    <mergeCell ref="I2:K2"/>
    <mergeCell ref="L2:N2"/>
    <mergeCell ref="O2:Q2"/>
    <mergeCell ref="R2:T2"/>
  </mergeCells>
  <pageMargins left="0.27559055118110237" right="0.15748031496062992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2023-24&amp;RT-21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5557-C097-4668-B8FC-3164F6748E23}">
  <dimension ref="A1:W41"/>
  <sheetViews>
    <sheetView view="pageBreakPreview" zoomScaleSheetLayoutView="100" workbookViewId="0">
      <selection activeCell="B16" sqref="B16:M16"/>
    </sheetView>
  </sheetViews>
  <sheetFormatPr defaultColWidth="9.26953125" defaultRowHeight="14" x14ac:dyDescent="0.35"/>
  <cols>
    <col min="1" max="1" width="7.1796875" style="222" bestFit="1" customWidth="1"/>
    <col min="2" max="2" width="20.1796875" style="26" bestFit="1" customWidth="1"/>
    <col min="3" max="14" width="15" style="26" customWidth="1"/>
    <col min="15" max="19" width="10" style="26" customWidth="1"/>
    <col min="20" max="20" width="11.26953125" style="26" bestFit="1" customWidth="1"/>
    <col min="21" max="23" width="10" style="26" customWidth="1"/>
    <col min="24" max="16384" width="9.26953125" style="26"/>
  </cols>
  <sheetData>
    <row r="1" spans="1:23" s="1" customFormat="1" ht="35.25" customHeight="1" x14ac:dyDescent="0.35">
      <c r="A1" s="808" t="s">
        <v>1003</v>
      </c>
      <c r="B1" s="808"/>
      <c r="C1" s="808"/>
      <c r="D1" s="808"/>
      <c r="E1" s="808"/>
      <c r="F1" s="808"/>
      <c r="G1" s="808"/>
      <c r="H1" s="808"/>
      <c r="I1" s="805" t="str">
        <f>A1</f>
        <v>Table 22. States/UTs-Wise Distribution of Male and Female Teachers by Position 
(Based on Actual Responses)</v>
      </c>
      <c r="J1" s="805"/>
      <c r="K1" s="805"/>
      <c r="L1" s="805"/>
      <c r="M1" s="805"/>
      <c r="N1" s="805"/>
      <c r="O1" s="805" t="str">
        <f>I1</f>
        <v>Table 22. States/UTs-Wise Distribution of Male and Female Teachers by Position 
(Based on Actual Responses)</v>
      </c>
      <c r="P1" s="805"/>
      <c r="Q1" s="805"/>
      <c r="R1" s="805"/>
      <c r="S1" s="805"/>
      <c r="T1" s="805"/>
      <c r="U1" s="805"/>
      <c r="V1" s="805"/>
      <c r="W1" s="805"/>
    </row>
    <row r="2" spans="1:23" s="208" customFormat="1" ht="27.75" customHeight="1" x14ac:dyDescent="0.35">
      <c r="A2" s="736" t="s">
        <v>48</v>
      </c>
      <c r="B2" s="806" t="s">
        <v>885</v>
      </c>
      <c r="C2" s="806" t="s">
        <v>890</v>
      </c>
      <c r="D2" s="806"/>
      <c r="E2" s="806"/>
      <c r="F2" s="806" t="s">
        <v>891</v>
      </c>
      <c r="G2" s="807"/>
      <c r="H2" s="807"/>
      <c r="I2" s="806" t="s">
        <v>892</v>
      </c>
      <c r="J2" s="807"/>
      <c r="K2" s="807"/>
      <c r="L2" s="806" t="s">
        <v>893</v>
      </c>
      <c r="M2" s="807"/>
      <c r="N2" s="807"/>
      <c r="O2" s="806" t="s">
        <v>894</v>
      </c>
      <c r="P2" s="807"/>
      <c r="Q2" s="807"/>
      <c r="R2" s="800" t="s">
        <v>12</v>
      </c>
      <c r="S2" s="801"/>
      <c r="T2" s="802"/>
      <c r="U2" s="803" t="s">
        <v>895</v>
      </c>
      <c r="V2" s="804"/>
      <c r="W2" s="804"/>
    </row>
    <row r="3" spans="1:23" s="209" customFormat="1" ht="18" customHeight="1" x14ac:dyDescent="0.35">
      <c r="A3" s="736"/>
      <c r="B3" s="806"/>
      <c r="C3" s="12" t="s">
        <v>103</v>
      </c>
      <c r="D3" s="12" t="s">
        <v>104</v>
      </c>
      <c r="E3" s="12" t="s">
        <v>89</v>
      </c>
      <c r="F3" s="12" t="s">
        <v>103</v>
      </c>
      <c r="G3" s="12" t="s">
        <v>104</v>
      </c>
      <c r="H3" s="12" t="s">
        <v>89</v>
      </c>
      <c r="I3" s="12" t="s">
        <v>103</v>
      </c>
      <c r="J3" s="12" t="s">
        <v>104</v>
      </c>
      <c r="K3" s="12" t="s">
        <v>89</v>
      </c>
      <c r="L3" s="12" t="s">
        <v>103</v>
      </c>
      <c r="M3" s="12" t="s">
        <v>104</v>
      </c>
      <c r="N3" s="12" t="s">
        <v>89</v>
      </c>
      <c r="O3" s="12" t="s">
        <v>103</v>
      </c>
      <c r="P3" s="12" t="s">
        <v>104</v>
      </c>
      <c r="Q3" s="12" t="s">
        <v>89</v>
      </c>
      <c r="R3" s="12" t="s">
        <v>103</v>
      </c>
      <c r="S3" s="12" t="s">
        <v>104</v>
      </c>
      <c r="T3" s="12" t="s">
        <v>89</v>
      </c>
      <c r="U3" s="207" t="s">
        <v>103</v>
      </c>
      <c r="V3" s="207" t="s">
        <v>104</v>
      </c>
      <c r="W3" s="207" t="s">
        <v>89</v>
      </c>
    </row>
    <row r="4" spans="1:23" s="552" customFormat="1" ht="11.5" x14ac:dyDescent="0.35">
      <c r="A4" s="339">
        <v>1</v>
      </c>
      <c r="B4" s="339">
        <v>2</v>
      </c>
      <c r="C4" s="339">
        <v>3</v>
      </c>
      <c r="D4" s="339">
        <v>4</v>
      </c>
      <c r="E4" s="339">
        <v>5</v>
      </c>
      <c r="F4" s="339">
        <v>6</v>
      </c>
      <c r="G4" s="339">
        <v>7</v>
      </c>
      <c r="H4" s="339">
        <v>8</v>
      </c>
      <c r="I4" s="339">
        <v>9</v>
      </c>
      <c r="J4" s="339">
        <v>10</v>
      </c>
      <c r="K4" s="339">
        <v>11</v>
      </c>
      <c r="L4" s="339">
        <v>12</v>
      </c>
      <c r="M4" s="339">
        <v>13</v>
      </c>
      <c r="N4" s="339">
        <v>14</v>
      </c>
      <c r="O4" s="339">
        <v>15</v>
      </c>
      <c r="P4" s="339">
        <v>16</v>
      </c>
      <c r="Q4" s="339">
        <v>17</v>
      </c>
      <c r="R4" s="339">
        <v>18</v>
      </c>
      <c r="S4" s="339">
        <v>19</v>
      </c>
      <c r="T4" s="339">
        <v>20</v>
      </c>
      <c r="U4" s="339">
        <v>21</v>
      </c>
      <c r="V4" s="339">
        <v>22</v>
      </c>
      <c r="W4" s="339">
        <v>23</v>
      </c>
    </row>
    <row r="5" spans="1:23" ht="25.5" customHeight="1" x14ac:dyDescent="0.35">
      <c r="A5" s="7">
        <v>1</v>
      </c>
      <c r="B5" s="210" t="s">
        <v>56</v>
      </c>
      <c r="C5" s="211">
        <v>4</v>
      </c>
      <c r="D5" s="211"/>
      <c r="E5" s="211">
        <v>4</v>
      </c>
      <c r="F5" s="211">
        <v>1</v>
      </c>
      <c r="G5" s="211"/>
      <c r="H5" s="211">
        <v>1</v>
      </c>
      <c r="I5" s="211">
        <v>50</v>
      </c>
      <c r="J5" s="211">
        <v>34</v>
      </c>
      <c r="K5" s="211">
        <v>84</v>
      </c>
      <c r="L5" s="211"/>
      <c r="M5" s="211"/>
      <c r="N5" s="211"/>
      <c r="O5" s="211">
        <v>9</v>
      </c>
      <c r="P5" s="211">
        <v>41</v>
      </c>
      <c r="Q5" s="211">
        <v>50</v>
      </c>
      <c r="R5" s="211">
        <v>64</v>
      </c>
      <c r="S5" s="211">
        <v>75</v>
      </c>
      <c r="T5" s="211">
        <v>139</v>
      </c>
      <c r="U5" s="211"/>
      <c r="V5" s="211"/>
      <c r="W5" s="211"/>
    </row>
    <row r="6" spans="1:23" ht="24.75" customHeight="1" x14ac:dyDescent="0.35">
      <c r="A6" s="7">
        <v>2</v>
      </c>
      <c r="B6" s="212" t="s">
        <v>13</v>
      </c>
      <c r="C6" s="211">
        <v>7318</v>
      </c>
      <c r="D6" s="211">
        <v>2821</v>
      </c>
      <c r="E6" s="211">
        <v>10139</v>
      </c>
      <c r="F6" s="211">
        <v>6970</v>
      </c>
      <c r="G6" s="211">
        <v>3430</v>
      </c>
      <c r="H6" s="211">
        <v>10400</v>
      </c>
      <c r="I6" s="211">
        <v>45737</v>
      </c>
      <c r="J6" s="211">
        <v>31021</v>
      </c>
      <c r="K6" s="211">
        <v>76758</v>
      </c>
      <c r="L6" s="211">
        <v>1093</v>
      </c>
      <c r="M6" s="211">
        <v>5361</v>
      </c>
      <c r="N6" s="211">
        <v>6454</v>
      </c>
      <c r="O6" s="211">
        <v>2565</v>
      </c>
      <c r="P6" s="211">
        <v>1901</v>
      </c>
      <c r="Q6" s="211">
        <v>4466</v>
      </c>
      <c r="R6" s="211">
        <v>63742</v>
      </c>
      <c r="S6" s="211">
        <v>44612</v>
      </c>
      <c r="T6" s="211">
        <v>108354</v>
      </c>
      <c r="U6" s="211">
        <v>59</v>
      </c>
      <c r="V6" s="211">
        <v>78</v>
      </c>
      <c r="W6" s="211">
        <v>137</v>
      </c>
    </row>
    <row r="7" spans="1:23" ht="24.75" customHeight="1" x14ac:dyDescent="0.35">
      <c r="A7" s="7">
        <v>3</v>
      </c>
      <c r="B7" s="212" t="s">
        <v>14</v>
      </c>
      <c r="C7" s="211">
        <v>183</v>
      </c>
      <c r="D7" s="211">
        <v>50</v>
      </c>
      <c r="E7" s="211">
        <v>233</v>
      </c>
      <c r="F7" s="211">
        <v>197</v>
      </c>
      <c r="G7" s="211">
        <v>66</v>
      </c>
      <c r="H7" s="211">
        <v>263</v>
      </c>
      <c r="I7" s="211">
        <v>838</v>
      </c>
      <c r="J7" s="211">
        <v>771</v>
      </c>
      <c r="K7" s="211">
        <v>1609</v>
      </c>
      <c r="L7" s="211">
        <v>13</v>
      </c>
      <c r="M7" s="211">
        <v>87</v>
      </c>
      <c r="N7" s="211">
        <v>100</v>
      </c>
      <c r="O7" s="211">
        <v>70</v>
      </c>
      <c r="P7" s="211">
        <v>114</v>
      </c>
      <c r="Q7" s="211">
        <v>184</v>
      </c>
      <c r="R7" s="211">
        <v>1302</v>
      </c>
      <c r="S7" s="211">
        <v>1088</v>
      </c>
      <c r="T7" s="211">
        <v>2390</v>
      </c>
      <c r="U7" s="211">
        <v>1</v>
      </c>
      <c r="V7" s="211"/>
      <c r="W7" s="211">
        <v>1</v>
      </c>
    </row>
    <row r="8" spans="1:23" ht="24.75" customHeight="1" x14ac:dyDescent="0.35">
      <c r="A8" s="7">
        <v>4</v>
      </c>
      <c r="B8" s="210" t="s">
        <v>15</v>
      </c>
      <c r="C8" s="211">
        <v>1490</v>
      </c>
      <c r="D8" s="211">
        <v>591</v>
      </c>
      <c r="E8" s="211">
        <v>2081</v>
      </c>
      <c r="F8" s="211">
        <v>2106</v>
      </c>
      <c r="G8" s="211">
        <v>1195</v>
      </c>
      <c r="H8" s="211">
        <v>3301</v>
      </c>
      <c r="I8" s="211">
        <v>10221</v>
      </c>
      <c r="J8" s="211">
        <v>9117</v>
      </c>
      <c r="K8" s="211">
        <v>19338</v>
      </c>
      <c r="L8" s="211">
        <v>687</v>
      </c>
      <c r="M8" s="211">
        <v>1070</v>
      </c>
      <c r="N8" s="211">
        <v>1757</v>
      </c>
      <c r="O8" s="211">
        <v>709</v>
      </c>
      <c r="P8" s="211">
        <v>851</v>
      </c>
      <c r="Q8" s="211">
        <v>1560</v>
      </c>
      <c r="R8" s="211">
        <v>15236</v>
      </c>
      <c r="S8" s="211">
        <v>12847</v>
      </c>
      <c r="T8" s="211">
        <v>28083</v>
      </c>
      <c r="U8" s="211">
        <v>23</v>
      </c>
      <c r="V8" s="211">
        <v>23</v>
      </c>
      <c r="W8" s="211">
        <v>46</v>
      </c>
    </row>
    <row r="9" spans="1:23" ht="24.75" customHeight="1" x14ac:dyDescent="0.35">
      <c r="A9" s="7">
        <v>5</v>
      </c>
      <c r="B9" s="210" t="s">
        <v>16</v>
      </c>
      <c r="C9" s="211">
        <v>2458</v>
      </c>
      <c r="D9" s="211">
        <v>727</v>
      </c>
      <c r="E9" s="211">
        <v>3185</v>
      </c>
      <c r="F9" s="211">
        <v>2632</v>
      </c>
      <c r="G9" s="211">
        <v>676</v>
      </c>
      <c r="H9" s="211">
        <v>3308</v>
      </c>
      <c r="I9" s="211">
        <v>24215</v>
      </c>
      <c r="J9" s="211">
        <v>8236</v>
      </c>
      <c r="K9" s="211">
        <v>32451</v>
      </c>
      <c r="L9" s="211">
        <v>1811</v>
      </c>
      <c r="M9" s="211">
        <v>1969</v>
      </c>
      <c r="N9" s="211">
        <v>3780</v>
      </c>
      <c r="O9" s="211">
        <v>1468</v>
      </c>
      <c r="P9" s="211">
        <v>676</v>
      </c>
      <c r="Q9" s="211">
        <v>2144</v>
      </c>
      <c r="R9" s="211">
        <v>32783</v>
      </c>
      <c r="S9" s="211">
        <v>12371</v>
      </c>
      <c r="T9" s="211">
        <v>45154</v>
      </c>
      <c r="U9" s="211">
        <v>199</v>
      </c>
      <c r="V9" s="211">
        <v>87</v>
      </c>
      <c r="W9" s="211">
        <v>286</v>
      </c>
    </row>
    <row r="10" spans="1:23" ht="24.75" customHeight="1" x14ac:dyDescent="0.35">
      <c r="A10" s="7">
        <v>6</v>
      </c>
      <c r="B10" s="212" t="s">
        <v>17</v>
      </c>
      <c r="C10" s="211">
        <v>410</v>
      </c>
      <c r="D10" s="211">
        <v>342</v>
      </c>
      <c r="E10" s="211">
        <v>752</v>
      </c>
      <c r="F10" s="211">
        <v>280</v>
      </c>
      <c r="G10" s="211">
        <v>271</v>
      </c>
      <c r="H10" s="211">
        <v>551</v>
      </c>
      <c r="I10" s="211">
        <v>724</v>
      </c>
      <c r="J10" s="211">
        <v>1250</v>
      </c>
      <c r="K10" s="211">
        <v>1974</v>
      </c>
      <c r="L10" s="211">
        <v>13</v>
      </c>
      <c r="M10" s="211">
        <v>9</v>
      </c>
      <c r="N10" s="211">
        <v>22</v>
      </c>
      <c r="O10" s="211">
        <v>65</v>
      </c>
      <c r="P10" s="211">
        <v>240</v>
      </c>
      <c r="Q10" s="211">
        <v>305</v>
      </c>
      <c r="R10" s="211">
        <v>1494</v>
      </c>
      <c r="S10" s="211">
        <v>2116</v>
      </c>
      <c r="T10" s="211">
        <v>3610</v>
      </c>
      <c r="U10" s="211">
        <v>2</v>
      </c>
      <c r="V10" s="211">
        <v>4</v>
      </c>
      <c r="W10" s="211">
        <v>6</v>
      </c>
    </row>
    <row r="11" spans="1:23" ht="24.75" customHeight="1" x14ac:dyDescent="0.35">
      <c r="A11" s="7">
        <v>7</v>
      </c>
      <c r="B11" s="212" t="s">
        <v>18</v>
      </c>
      <c r="C11" s="213">
        <v>1312</v>
      </c>
      <c r="D11" s="211">
        <v>716</v>
      </c>
      <c r="E11" s="211">
        <v>2028</v>
      </c>
      <c r="F11" s="211">
        <v>966</v>
      </c>
      <c r="G11" s="211">
        <v>718</v>
      </c>
      <c r="H11" s="211">
        <v>1684</v>
      </c>
      <c r="I11" s="211">
        <v>8188</v>
      </c>
      <c r="J11" s="211">
        <v>7850</v>
      </c>
      <c r="K11" s="211">
        <v>16038</v>
      </c>
      <c r="L11" s="211">
        <v>623</v>
      </c>
      <c r="M11" s="211">
        <v>1857</v>
      </c>
      <c r="N11" s="211">
        <v>2480</v>
      </c>
      <c r="O11" s="211">
        <v>1845</v>
      </c>
      <c r="P11" s="211">
        <v>1830</v>
      </c>
      <c r="Q11" s="211">
        <v>3675</v>
      </c>
      <c r="R11" s="211">
        <v>12986</v>
      </c>
      <c r="S11" s="211">
        <v>13013</v>
      </c>
      <c r="T11" s="211">
        <v>25999</v>
      </c>
      <c r="U11" s="211">
        <v>52</v>
      </c>
      <c r="V11" s="211">
        <v>42</v>
      </c>
      <c r="W11" s="211">
        <v>94</v>
      </c>
    </row>
    <row r="12" spans="1:23" ht="24.75" customHeight="1" x14ac:dyDescent="0.35">
      <c r="A12" s="7">
        <v>8</v>
      </c>
      <c r="B12" s="212" t="s">
        <v>19</v>
      </c>
      <c r="C12" s="211">
        <v>2537</v>
      </c>
      <c r="D12" s="211">
        <v>1838</v>
      </c>
      <c r="E12" s="211">
        <v>4375</v>
      </c>
      <c r="F12" s="211">
        <v>1892</v>
      </c>
      <c r="G12" s="211">
        <v>2554</v>
      </c>
      <c r="H12" s="211">
        <v>4446</v>
      </c>
      <c r="I12" s="211">
        <v>6049</v>
      </c>
      <c r="J12" s="211">
        <v>7470</v>
      </c>
      <c r="K12" s="211">
        <v>13519</v>
      </c>
      <c r="L12" s="211">
        <v>80</v>
      </c>
      <c r="M12" s="211">
        <v>394</v>
      </c>
      <c r="N12" s="211">
        <v>474</v>
      </c>
      <c r="O12" s="211">
        <v>588</v>
      </c>
      <c r="P12" s="211">
        <v>667</v>
      </c>
      <c r="Q12" s="211">
        <v>1255</v>
      </c>
      <c r="R12" s="211">
        <v>11320</v>
      </c>
      <c r="S12" s="211">
        <v>13057</v>
      </c>
      <c r="T12" s="211">
        <v>24377</v>
      </c>
      <c r="U12" s="211">
        <v>174</v>
      </c>
      <c r="V12" s="211">
        <v>134</v>
      </c>
      <c r="W12" s="211">
        <v>308</v>
      </c>
    </row>
    <row r="13" spans="1:23" ht="24.75" customHeight="1" x14ac:dyDescent="0.35">
      <c r="A13" s="7">
        <v>9</v>
      </c>
      <c r="B13" s="212" t="s">
        <v>20</v>
      </c>
      <c r="C13" s="211">
        <v>246</v>
      </c>
      <c r="D13" s="211">
        <v>106</v>
      </c>
      <c r="E13" s="211">
        <v>352</v>
      </c>
      <c r="F13" s="211">
        <v>301</v>
      </c>
      <c r="G13" s="211">
        <v>290</v>
      </c>
      <c r="H13" s="211">
        <v>591</v>
      </c>
      <c r="I13" s="211">
        <v>1162</v>
      </c>
      <c r="J13" s="211">
        <v>1754</v>
      </c>
      <c r="K13" s="211">
        <v>2916</v>
      </c>
      <c r="L13" s="211">
        <v>28</v>
      </c>
      <c r="M13" s="211">
        <v>79</v>
      </c>
      <c r="N13" s="211">
        <v>107</v>
      </c>
      <c r="O13" s="211">
        <v>77</v>
      </c>
      <c r="P13" s="211">
        <v>108</v>
      </c>
      <c r="Q13" s="211">
        <v>185</v>
      </c>
      <c r="R13" s="211">
        <v>1839</v>
      </c>
      <c r="S13" s="211">
        <v>2397</v>
      </c>
      <c r="T13" s="211">
        <v>4236</v>
      </c>
      <c r="U13" s="211">
        <v>25</v>
      </c>
      <c r="V13" s="211">
        <v>60</v>
      </c>
      <c r="W13" s="211">
        <v>85</v>
      </c>
    </row>
    <row r="14" spans="1:23" ht="24.75" customHeight="1" x14ac:dyDescent="0.35">
      <c r="A14" s="7">
        <v>10</v>
      </c>
      <c r="B14" s="212" t="s">
        <v>21</v>
      </c>
      <c r="C14" s="211">
        <v>4318</v>
      </c>
      <c r="D14" s="211">
        <v>1918</v>
      </c>
      <c r="E14" s="211">
        <v>6236</v>
      </c>
      <c r="F14" s="211">
        <v>5287</v>
      </c>
      <c r="G14" s="211">
        <v>2815</v>
      </c>
      <c r="H14" s="211">
        <v>8102</v>
      </c>
      <c r="I14" s="211">
        <v>23218</v>
      </c>
      <c r="J14" s="211">
        <v>18095</v>
      </c>
      <c r="K14" s="211">
        <v>41313</v>
      </c>
      <c r="L14" s="211">
        <v>2480</v>
      </c>
      <c r="M14" s="211">
        <v>5671</v>
      </c>
      <c r="N14" s="211">
        <v>8151</v>
      </c>
      <c r="O14" s="211">
        <v>1259</v>
      </c>
      <c r="P14" s="211">
        <v>1673</v>
      </c>
      <c r="Q14" s="211">
        <v>2932</v>
      </c>
      <c r="R14" s="211">
        <v>37986</v>
      </c>
      <c r="S14" s="211">
        <v>31261</v>
      </c>
      <c r="T14" s="211">
        <v>69247</v>
      </c>
      <c r="U14" s="211">
        <v>1424</v>
      </c>
      <c r="V14" s="211">
        <v>1089</v>
      </c>
      <c r="W14" s="211">
        <v>2513</v>
      </c>
    </row>
    <row r="15" spans="1:23" ht="24.75" customHeight="1" x14ac:dyDescent="0.35">
      <c r="A15" s="7">
        <v>11</v>
      </c>
      <c r="B15" s="212" t="s">
        <v>22</v>
      </c>
      <c r="C15" s="211">
        <v>2701</v>
      </c>
      <c r="D15" s="211">
        <v>1414</v>
      </c>
      <c r="E15" s="211">
        <v>4115</v>
      </c>
      <c r="F15" s="211">
        <v>2232</v>
      </c>
      <c r="G15" s="211">
        <v>2191</v>
      </c>
      <c r="H15" s="211">
        <v>4423</v>
      </c>
      <c r="I15" s="211">
        <v>13936</v>
      </c>
      <c r="J15" s="211">
        <v>17074</v>
      </c>
      <c r="K15" s="211">
        <v>31010</v>
      </c>
      <c r="L15" s="211">
        <v>437</v>
      </c>
      <c r="M15" s="211">
        <v>1449</v>
      </c>
      <c r="N15" s="211">
        <v>1886</v>
      </c>
      <c r="O15" s="211">
        <v>978</v>
      </c>
      <c r="P15" s="211">
        <v>1860</v>
      </c>
      <c r="Q15" s="211">
        <v>2838</v>
      </c>
      <c r="R15" s="211">
        <v>20592</v>
      </c>
      <c r="S15" s="211">
        <v>24336</v>
      </c>
      <c r="T15" s="211">
        <v>44928</v>
      </c>
      <c r="U15" s="211">
        <v>308</v>
      </c>
      <c r="V15" s="211">
        <v>348</v>
      </c>
      <c r="W15" s="211">
        <v>656</v>
      </c>
    </row>
    <row r="16" spans="1:23" ht="24.75" customHeight="1" x14ac:dyDescent="0.35">
      <c r="A16" s="7">
        <v>12</v>
      </c>
      <c r="B16" s="212" t="s">
        <v>23</v>
      </c>
      <c r="C16" s="211">
        <v>752</v>
      </c>
      <c r="D16" s="211">
        <v>275</v>
      </c>
      <c r="E16" s="211">
        <v>1027</v>
      </c>
      <c r="F16" s="211">
        <v>731</v>
      </c>
      <c r="G16" s="211">
        <v>376</v>
      </c>
      <c r="H16" s="211">
        <v>1107</v>
      </c>
      <c r="I16" s="211">
        <v>3869</v>
      </c>
      <c r="J16" s="211">
        <v>4040</v>
      </c>
      <c r="K16" s="211">
        <v>7909</v>
      </c>
      <c r="L16" s="211">
        <v>109</v>
      </c>
      <c r="M16" s="211">
        <v>734</v>
      </c>
      <c r="N16" s="211">
        <v>843</v>
      </c>
      <c r="O16" s="211">
        <v>195</v>
      </c>
      <c r="P16" s="211">
        <v>226</v>
      </c>
      <c r="Q16" s="211">
        <v>421</v>
      </c>
      <c r="R16" s="211">
        <v>5679</v>
      </c>
      <c r="S16" s="211">
        <v>5668</v>
      </c>
      <c r="T16" s="211">
        <v>11347</v>
      </c>
      <c r="U16" s="211">
        <v>23</v>
      </c>
      <c r="V16" s="211">
        <v>17</v>
      </c>
      <c r="W16" s="211">
        <v>40</v>
      </c>
    </row>
    <row r="17" spans="1:23" ht="24.75" customHeight="1" x14ac:dyDescent="0.35">
      <c r="A17" s="7">
        <v>13</v>
      </c>
      <c r="B17" s="212" t="s">
        <v>24</v>
      </c>
      <c r="C17" s="211">
        <v>917</v>
      </c>
      <c r="D17" s="211">
        <v>369</v>
      </c>
      <c r="E17" s="211">
        <v>1286</v>
      </c>
      <c r="F17" s="211">
        <v>724</v>
      </c>
      <c r="G17" s="211">
        <v>437</v>
      </c>
      <c r="H17" s="211">
        <v>1161</v>
      </c>
      <c r="I17" s="211">
        <v>4048</v>
      </c>
      <c r="J17" s="211">
        <v>2979</v>
      </c>
      <c r="K17" s="211">
        <v>7027</v>
      </c>
      <c r="L17" s="211">
        <v>332</v>
      </c>
      <c r="M17" s="211">
        <v>709</v>
      </c>
      <c r="N17" s="211">
        <v>1041</v>
      </c>
      <c r="O17" s="211">
        <v>896</v>
      </c>
      <c r="P17" s="211">
        <v>563</v>
      </c>
      <c r="Q17" s="211">
        <v>1459</v>
      </c>
      <c r="R17" s="211">
        <v>6938</v>
      </c>
      <c r="S17" s="211">
        <v>5078</v>
      </c>
      <c r="T17" s="211">
        <v>12016</v>
      </c>
      <c r="U17" s="211">
        <v>21</v>
      </c>
      <c r="V17" s="211">
        <v>21</v>
      </c>
      <c r="W17" s="211">
        <v>42</v>
      </c>
    </row>
    <row r="18" spans="1:23" ht="24.75" customHeight="1" x14ac:dyDescent="0.35">
      <c r="A18" s="7">
        <v>14</v>
      </c>
      <c r="B18" s="212" t="s">
        <v>25</v>
      </c>
      <c r="C18" s="211">
        <v>1050</v>
      </c>
      <c r="D18" s="211">
        <v>365</v>
      </c>
      <c r="E18" s="211">
        <v>1415</v>
      </c>
      <c r="F18" s="211">
        <v>961</v>
      </c>
      <c r="G18" s="211">
        <v>320</v>
      </c>
      <c r="H18" s="211">
        <v>1281</v>
      </c>
      <c r="I18" s="211">
        <v>8179</v>
      </c>
      <c r="J18" s="211">
        <v>4280</v>
      </c>
      <c r="K18" s="211">
        <v>12459</v>
      </c>
      <c r="L18" s="211">
        <v>530</v>
      </c>
      <c r="M18" s="211">
        <v>1245</v>
      </c>
      <c r="N18" s="211">
        <v>1775</v>
      </c>
      <c r="O18" s="211">
        <v>682</v>
      </c>
      <c r="P18" s="211">
        <v>464</v>
      </c>
      <c r="Q18" s="211">
        <v>1146</v>
      </c>
      <c r="R18" s="211">
        <v>11468</v>
      </c>
      <c r="S18" s="211">
        <v>6712</v>
      </c>
      <c r="T18" s="211">
        <v>18180</v>
      </c>
      <c r="U18" s="211">
        <v>66</v>
      </c>
      <c r="V18" s="211">
        <v>38</v>
      </c>
      <c r="W18" s="211">
        <v>104</v>
      </c>
    </row>
    <row r="19" spans="1:23" ht="24.75" customHeight="1" x14ac:dyDescent="0.35">
      <c r="A19" s="7">
        <v>15</v>
      </c>
      <c r="B19" s="212" t="s">
        <v>26</v>
      </c>
      <c r="C19" s="211">
        <v>12937</v>
      </c>
      <c r="D19" s="211">
        <v>6115</v>
      </c>
      <c r="E19" s="211">
        <v>19052</v>
      </c>
      <c r="F19" s="211">
        <v>9887</v>
      </c>
      <c r="G19" s="211">
        <v>7058</v>
      </c>
      <c r="H19" s="211">
        <v>16945</v>
      </c>
      <c r="I19" s="211">
        <v>43482</v>
      </c>
      <c r="J19" s="211">
        <v>46935</v>
      </c>
      <c r="K19" s="211">
        <v>90417</v>
      </c>
      <c r="L19" s="211">
        <v>6176</v>
      </c>
      <c r="M19" s="211">
        <v>11227</v>
      </c>
      <c r="N19" s="211">
        <v>17403</v>
      </c>
      <c r="O19" s="211">
        <v>5914</v>
      </c>
      <c r="P19" s="211">
        <v>5418</v>
      </c>
      <c r="Q19" s="211">
        <v>11332</v>
      </c>
      <c r="R19" s="211">
        <v>78938</v>
      </c>
      <c r="S19" s="211">
        <v>77224</v>
      </c>
      <c r="T19" s="211">
        <v>156162</v>
      </c>
      <c r="U19" s="211">
        <v>542</v>
      </c>
      <c r="V19" s="211">
        <v>471</v>
      </c>
      <c r="W19" s="211">
        <v>1013</v>
      </c>
    </row>
    <row r="20" spans="1:23" ht="24.75" customHeight="1" x14ac:dyDescent="0.35">
      <c r="A20" s="7">
        <v>16</v>
      </c>
      <c r="B20" s="212" t="s">
        <v>27</v>
      </c>
      <c r="C20" s="211">
        <v>3386</v>
      </c>
      <c r="D20" s="211">
        <v>2519</v>
      </c>
      <c r="E20" s="211">
        <v>5905</v>
      </c>
      <c r="F20" s="211">
        <v>2914</v>
      </c>
      <c r="G20" s="211">
        <v>3137</v>
      </c>
      <c r="H20" s="211">
        <v>6051</v>
      </c>
      <c r="I20" s="211">
        <v>15643</v>
      </c>
      <c r="J20" s="211">
        <v>32429</v>
      </c>
      <c r="K20" s="211">
        <v>48072</v>
      </c>
      <c r="L20" s="211">
        <v>976</v>
      </c>
      <c r="M20" s="211">
        <v>2493</v>
      </c>
      <c r="N20" s="211">
        <v>3469</v>
      </c>
      <c r="O20" s="211">
        <v>1070</v>
      </c>
      <c r="P20" s="211">
        <v>3065</v>
      </c>
      <c r="Q20" s="211">
        <v>4135</v>
      </c>
      <c r="R20" s="211">
        <v>24047</v>
      </c>
      <c r="S20" s="211">
        <v>43676</v>
      </c>
      <c r="T20" s="211">
        <v>67723</v>
      </c>
      <c r="U20" s="211">
        <v>58</v>
      </c>
      <c r="V20" s="211">
        <v>33</v>
      </c>
      <c r="W20" s="211">
        <v>91</v>
      </c>
    </row>
    <row r="21" spans="1:23" ht="24.75" customHeight="1" x14ac:dyDescent="0.35">
      <c r="A21" s="7">
        <v>17</v>
      </c>
      <c r="B21" s="214" t="s">
        <v>28</v>
      </c>
      <c r="C21" s="211">
        <v>9</v>
      </c>
      <c r="D21" s="211">
        <v>8</v>
      </c>
      <c r="E21" s="211">
        <v>17</v>
      </c>
      <c r="F21" s="211">
        <v>4</v>
      </c>
      <c r="G21" s="211"/>
      <c r="H21" s="211">
        <v>4</v>
      </c>
      <c r="I21" s="211">
        <v>144</v>
      </c>
      <c r="J21" s="211">
        <v>93</v>
      </c>
      <c r="K21" s="211">
        <v>237</v>
      </c>
      <c r="L21" s="211">
        <v>10</v>
      </c>
      <c r="M21" s="211">
        <v>9</v>
      </c>
      <c r="N21" s="211">
        <v>19</v>
      </c>
      <c r="O21" s="211">
        <v>46</v>
      </c>
      <c r="P21" s="211">
        <v>29</v>
      </c>
      <c r="Q21" s="211">
        <v>75</v>
      </c>
      <c r="R21" s="211">
        <v>213</v>
      </c>
      <c r="S21" s="211">
        <v>139</v>
      </c>
      <c r="T21" s="211">
        <v>352</v>
      </c>
      <c r="U21" s="211"/>
      <c r="V21" s="211"/>
      <c r="W21" s="211"/>
    </row>
    <row r="22" spans="1:23" ht="24.75" customHeight="1" x14ac:dyDescent="0.35">
      <c r="A22" s="7">
        <v>18</v>
      </c>
      <c r="B22" s="212" t="s">
        <v>82</v>
      </c>
      <c r="C22" s="211">
        <v>2</v>
      </c>
      <c r="D22" s="211">
        <v>4</v>
      </c>
      <c r="E22" s="211">
        <v>6</v>
      </c>
      <c r="F22" s="211"/>
      <c r="G22" s="211">
        <v>1</v>
      </c>
      <c r="H22" s="211">
        <v>1</v>
      </c>
      <c r="I22" s="211">
        <v>32</v>
      </c>
      <c r="J22" s="211">
        <v>24</v>
      </c>
      <c r="K22" s="211">
        <v>56</v>
      </c>
      <c r="L22" s="211"/>
      <c r="M22" s="211">
        <v>3</v>
      </c>
      <c r="N22" s="211">
        <v>3</v>
      </c>
      <c r="O22" s="211"/>
      <c r="P22" s="211">
        <v>1</v>
      </c>
      <c r="Q22" s="211">
        <v>1</v>
      </c>
      <c r="R22" s="211">
        <v>34</v>
      </c>
      <c r="S22" s="211">
        <v>33</v>
      </c>
      <c r="T22" s="211">
        <v>67</v>
      </c>
      <c r="U22" s="211"/>
      <c r="V22" s="211"/>
      <c r="W22" s="211"/>
    </row>
    <row r="23" spans="1:23" ht="24.75" customHeight="1" x14ac:dyDescent="0.35">
      <c r="A23" s="7">
        <v>19</v>
      </c>
      <c r="B23" s="212" t="s">
        <v>29</v>
      </c>
      <c r="C23" s="211">
        <v>6164</v>
      </c>
      <c r="D23" s="211">
        <v>3311</v>
      </c>
      <c r="E23" s="211">
        <v>9475</v>
      </c>
      <c r="F23" s="211">
        <v>5106</v>
      </c>
      <c r="G23" s="211">
        <v>3152</v>
      </c>
      <c r="H23" s="211">
        <v>8258</v>
      </c>
      <c r="I23" s="211">
        <v>33234</v>
      </c>
      <c r="J23" s="211">
        <v>24329</v>
      </c>
      <c r="K23" s="211">
        <v>57563</v>
      </c>
      <c r="L23" s="211">
        <v>2534</v>
      </c>
      <c r="M23" s="211">
        <v>4626</v>
      </c>
      <c r="N23" s="211">
        <v>7160</v>
      </c>
      <c r="O23" s="211">
        <v>3668</v>
      </c>
      <c r="P23" s="211">
        <v>3204</v>
      </c>
      <c r="Q23" s="211">
        <v>6872</v>
      </c>
      <c r="R23" s="211">
        <v>50979</v>
      </c>
      <c r="S23" s="211">
        <v>38861</v>
      </c>
      <c r="T23" s="211">
        <v>89840</v>
      </c>
      <c r="U23" s="211">
        <v>273</v>
      </c>
      <c r="V23" s="211">
        <v>239</v>
      </c>
      <c r="W23" s="211">
        <v>512</v>
      </c>
    </row>
    <row r="24" spans="1:23" ht="24.75" customHeight="1" x14ac:dyDescent="0.35">
      <c r="A24" s="7">
        <v>20</v>
      </c>
      <c r="B24" s="212" t="s">
        <v>30</v>
      </c>
      <c r="C24" s="211">
        <v>12811</v>
      </c>
      <c r="D24" s="211">
        <v>5590</v>
      </c>
      <c r="E24" s="211">
        <v>18401</v>
      </c>
      <c r="F24" s="211">
        <v>12770</v>
      </c>
      <c r="G24" s="211">
        <v>6744</v>
      </c>
      <c r="H24" s="211">
        <v>19514</v>
      </c>
      <c r="I24" s="211">
        <v>64988</v>
      </c>
      <c r="J24" s="211">
        <v>58012</v>
      </c>
      <c r="K24" s="211">
        <v>123000</v>
      </c>
      <c r="L24" s="211">
        <v>3537</v>
      </c>
      <c r="M24" s="211">
        <v>6376</v>
      </c>
      <c r="N24" s="211">
        <v>9913</v>
      </c>
      <c r="O24" s="211">
        <v>5213</v>
      </c>
      <c r="P24" s="211">
        <v>5913</v>
      </c>
      <c r="Q24" s="211">
        <v>11126</v>
      </c>
      <c r="R24" s="211">
        <v>101597</v>
      </c>
      <c r="S24" s="211">
        <v>84868</v>
      </c>
      <c r="T24" s="211">
        <v>186465</v>
      </c>
      <c r="U24" s="211">
        <v>2278</v>
      </c>
      <c r="V24" s="211">
        <v>2233</v>
      </c>
      <c r="W24" s="211">
        <v>4511</v>
      </c>
    </row>
    <row r="25" spans="1:23" ht="24.75" customHeight="1" x14ac:dyDescent="0.35">
      <c r="A25" s="7">
        <v>21</v>
      </c>
      <c r="B25" s="212" t="s">
        <v>31</v>
      </c>
      <c r="C25" s="211">
        <v>341</v>
      </c>
      <c r="D25" s="211">
        <v>168</v>
      </c>
      <c r="E25" s="211">
        <v>509</v>
      </c>
      <c r="F25" s="211">
        <v>427</v>
      </c>
      <c r="G25" s="211">
        <v>281</v>
      </c>
      <c r="H25" s="211">
        <v>708</v>
      </c>
      <c r="I25" s="211">
        <v>2332</v>
      </c>
      <c r="J25" s="211">
        <v>2635</v>
      </c>
      <c r="K25" s="211">
        <v>4967</v>
      </c>
      <c r="L25" s="211">
        <v>52</v>
      </c>
      <c r="M25" s="211">
        <v>275</v>
      </c>
      <c r="N25" s="211">
        <v>327</v>
      </c>
      <c r="O25" s="211">
        <v>140</v>
      </c>
      <c r="P25" s="211">
        <v>134</v>
      </c>
      <c r="Q25" s="211">
        <v>274</v>
      </c>
      <c r="R25" s="211">
        <v>3340</v>
      </c>
      <c r="S25" s="211">
        <v>3505</v>
      </c>
      <c r="T25" s="211">
        <v>6845</v>
      </c>
      <c r="U25" s="211">
        <v>48</v>
      </c>
      <c r="V25" s="211">
        <v>12</v>
      </c>
      <c r="W25" s="211">
        <v>60</v>
      </c>
    </row>
    <row r="26" spans="1:23" ht="24.75" customHeight="1" x14ac:dyDescent="0.35">
      <c r="A26" s="7">
        <v>22</v>
      </c>
      <c r="B26" s="212" t="s">
        <v>32</v>
      </c>
      <c r="C26" s="211">
        <v>209</v>
      </c>
      <c r="D26" s="211">
        <v>119</v>
      </c>
      <c r="E26" s="211">
        <v>328</v>
      </c>
      <c r="F26" s="211">
        <v>254</v>
      </c>
      <c r="G26" s="211">
        <v>224</v>
      </c>
      <c r="H26" s="211">
        <v>478</v>
      </c>
      <c r="I26" s="211">
        <v>1241</v>
      </c>
      <c r="J26" s="211">
        <v>1881</v>
      </c>
      <c r="K26" s="211">
        <v>3122</v>
      </c>
      <c r="L26" s="211">
        <v>38</v>
      </c>
      <c r="M26" s="211">
        <v>116</v>
      </c>
      <c r="N26" s="211">
        <v>154</v>
      </c>
      <c r="O26" s="211">
        <v>54</v>
      </c>
      <c r="P26" s="211">
        <v>76</v>
      </c>
      <c r="Q26" s="211">
        <v>130</v>
      </c>
      <c r="R26" s="211">
        <v>1796</v>
      </c>
      <c r="S26" s="211">
        <v>2417</v>
      </c>
      <c r="T26" s="211">
        <v>4213</v>
      </c>
      <c r="U26" s="211"/>
      <c r="V26" s="211">
        <v>1</v>
      </c>
      <c r="W26" s="211">
        <v>1</v>
      </c>
    </row>
    <row r="27" spans="1:23" ht="24.75" customHeight="1" x14ac:dyDescent="0.35">
      <c r="A27" s="7">
        <v>23</v>
      </c>
      <c r="B27" s="212" t="s">
        <v>33</v>
      </c>
      <c r="C27" s="211">
        <v>160</v>
      </c>
      <c r="D27" s="211">
        <v>63</v>
      </c>
      <c r="E27" s="211">
        <v>223</v>
      </c>
      <c r="F27" s="211">
        <v>222</v>
      </c>
      <c r="G27" s="211">
        <v>205</v>
      </c>
      <c r="H27" s="211">
        <v>427</v>
      </c>
      <c r="I27" s="211">
        <v>564</v>
      </c>
      <c r="J27" s="211">
        <v>573</v>
      </c>
      <c r="K27" s="211">
        <v>1137</v>
      </c>
      <c r="L27" s="211">
        <v>53</v>
      </c>
      <c r="M27" s="211">
        <v>145</v>
      </c>
      <c r="N27" s="211">
        <v>198</v>
      </c>
      <c r="O27" s="211">
        <v>149</v>
      </c>
      <c r="P27" s="211">
        <v>142</v>
      </c>
      <c r="Q27" s="211">
        <v>291</v>
      </c>
      <c r="R27" s="211">
        <v>1157</v>
      </c>
      <c r="S27" s="211">
        <v>1134</v>
      </c>
      <c r="T27" s="211">
        <v>2291</v>
      </c>
      <c r="U27" s="211">
        <v>9</v>
      </c>
      <c r="V27" s="211">
        <v>6</v>
      </c>
      <c r="W27" s="211">
        <v>15</v>
      </c>
    </row>
    <row r="28" spans="1:23" ht="24.75" customHeight="1" x14ac:dyDescent="0.35">
      <c r="A28" s="7">
        <v>24</v>
      </c>
      <c r="B28" s="212" t="s">
        <v>34</v>
      </c>
      <c r="C28" s="211">
        <v>127</v>
      </c>
      <c r="D28" s="211">
        <v>65</v>
      </c>
      <c r="E28" s="211">
        <v>192</v>
      </c>
      <c r="F28" s="211">
        <v>90</v>
      </c>
      <c r="G28" s="211">
        <v>90</v>
      </c>
      <c r="H28" s="211">
        <v>180</v>
      </c>
      <c r="I28" s="211">
        <v>880</v>
      </c>
      <c r="J28" s="211">
        <v>1384</v>
      </c>
      <c r="K28" s="211">
        <v>2264</v>
      </c>
      <c r="L28" s="211">
        <v>57</v>
      </c>
      <c r="M28" s="211">
        <v>111</v>
      </c>
      <c r="N28" s="211">
        <v>168</v>
      </c>
      <c r="O28" s="211">
        <v>23</v>
      </c>
      <c r="P28" s="211">
        <v>34</v>
      </c>
      <c r="Q28" s="211">
        <v>57</v>
      </c>
      <c r="R28" s="211">
        <v>1182</v>
      </c>
      <c r="S28" s="211">
        <v>1690</v>
      </c>
      <c r="T28" s="211">
        <v>2872</v>
      </c>
      <c r="U28" s="211">
        <v>5</v>
      </c>
      <c r="V28" s="211">
        <v>6</v>
      </c>
      <c r="W28" s="211">
        <v>11</v>
      </c>
    </row>
    <row r="29" spans="1:23" ht="24.75" customHeight="1" x14ac:dyDescent="0.35">
      <c r="A29" s="7">
        <v>25</v>
      </c>
      <c r="B29" s="212" t="s">
        <v>35</v>
      </c>
      <c r="C29" s="211">
        <v>2890</v>
      </c>
      <c r="D29" s="211">
        <v>1107</v>
      </c>
      <c r="E29" s="211">
        <v>3997</v>
      </c>
      <c r="F29" s="211">
        <v>2962</v>
      </c>
      <c r="G29" s="211">
        <v>1293</v>
      </c>
      <c r="H29" s="211">
        <v>4255</v>
      </c>
      <c r="I29" s="211">
        <v>19933</v>
      </c>
      <c r="J29" s="211">
        <v>13681</v>
      </c>
      <c r="K29" s="211">
        <v>33614</v>
      </c>
      <c r="L29" s="211">
        <v>1530</v>
      </c>
      <c r="M29" s="211">
        <v>3181</v>
      </c>
      <c r="N29" s="211">
        <v>4711</v>
      </c>
      <c r="O29" s="211">
        <v>1282</v>
      </c>
      <c r="P29" s="211">
        <v>1276</v>
      </c>
      <c r="Q29" s="211">
        <v>2558</v>
      </c>
      <c r="R29" s="211">
        <v>28754</v>
      </c>
      <c r="S29" s="211">
        <v>20607</v>
      </c>
      <c r="T29" s="211">
        <v>49361</v>
      </c>
      <c r="U29" s="211">
        <v>157</v>
      </c>
      <c r="V29" s="211">
        <v>69</v>
      </c>
      <c r="W29" s="211">
        <v>226</v>
      </c>
    </row>
    <row r="30" spans="1:23" ht="24.75" customHeight="1" x14ac:dyDescent="0.35">
      <c r="A30" s="7">
        <v>26</v>
      </c>
      <c r="B30" s="215" t="s">
        <v>36</v>
      </c>
      <c r="C30" s="211">
        <v>867</v>
      </c>
      <c r="D30" s="211">
        <v>437</v>
      </c>
      <c r="E30" s="211">
        <v>1304</v>
      </c>
      <c r="F30" s="211">
        <v>575</v>
      </c>
      <c r="G30" s="211">
        <v>383</v>
      </c>
      <c r="H30" s="211">
        <v>958</v>
      </c>
      <c r="I30" s="211">
        <v>2329</v>
      </c>
      <c r="J30" s="211">
        <v>2292</v>
      </c>
      <c r="K30" s="211">
        <v>4621</v>
      </c>
      <c r="L30" s="211">
        <v>476</v>
      </c>
      <c r="M30" s="211">
        <v>708</v>
      </c>
      <c r="N30" s="211">
        <v>1184</v>
      </c>
      <c r="O30" s="211">
        <v>76</v>
      </c>
      <c r="P30" s="211">
        <v>101</v>
      </c>
      <c r="Q30" s="211">
        <v>177</v>
      </c>
      <c r="R30" s="211">
        <v>4325</v>
      </c>
      <c r="S30" s="211">
        <v>3921</v>
      </c>
      <c r="T30" s="211">
        <v>8246</v>
      </c>
      <c r="U30" s="211">
        <v>2</v>
      </c>
      <c r="V30" s="211"/>
      <c r="W30" s="211">
        <v>2</v>
      </c>
    </row>
    <row r="31" spans="1:23" ht="24.75" customHeight="1" x14ac:dyDescent="0.35">
      <c r="A31" s="7">
        <v>27</v>
      </c>
      <c r="B31" s="212" t="s">
        <v>37</v>
      </c>
      <c r="C31" s="211">
        <v>2756</v>
      </c>
      <c r="D31" s="211">
        <v>1837</v>
      </c>
      <c r="E31" s="211">
        <v>4593</v>
      </c>
      <c r="F31" s="211">
        <v>2320</v>
      </c>
      <c r="G31" s="211">
        <v>2183</v>
      </c>
      <c r="H31" s="211">
        <v>4503</v>
      </c>
      <c r="I31" s="211">
        <v>13337</v>
      </c>
      <c r="J31" s="211">
        <v>21978</v>
      </c>
      <c r="K31" s="211">
        <v>35315</v>
      </c>
      <c r="L31" s="211">
        <v>613</v>
      </c>
      <c r="M31" s="211">
        <v>4313</v>
      </c>
      <c r="N31" s="211">
        <v>4926</v>
      </c>
      <c r="O31" s="211">
        <v>599</v>
      </c>
      <c r="P31" s="211">
        <v>1514</v>
      </c>
      <c r="Q31" s="211">
        <v>2113</v>
      </c>
      <c r="R31" s="211">
        <v>19757</v>
      </c>
      <c r="S31" s="211">
        <v>32082</v>
      </c>
      <c r="T31" s="211">
        <v>51839</v>
      </c>
      <c r="U31" s="211">
        <v>132</v>
      </c>
      <c r="V31" s="211">
        <v>257</v>
      </c>
      <c r="W31" s="211">
        <v>389</v>
      </c>
    </row>
    <row r="32" spans="1:23" ht="24.75" customHeight="1" x14ac:dyDescent="0.35">
      <c r="A32" s="7">
        <v>28</v>
      </c>
      <c r="B32" s="216" t="s">
        <v>38</v>
      </c>
      <c r="C32" s="211">
        <v>6724</v>
      </c>
      <c r="D32" s="211">
        <v>2940</v>
      </c>
      <c r="E32" s="211">
        <v>9664</v>
      </c>
      <c r="F32" s="211">
        <v>4489</v>
      </c>
      <c r="G32" s="211">
        <v>2543</v>
      </c>
      <c r="H32" s="211">
        <v>7032</v>
      </c>
      <c r="I32" s="211">
        <v>43189</v>
      </c>
      <c r="J32" s="211">
        <v>25308</v>
      </c>
      <c r="K32" s="211">
        <v>68497</v>
      </c>
      <c r="L32" s="211">
        <v>3358</v>
      </c>
      <c r="M32" s="211">
        <v>1526</v>
      </c>
      <c r="N32" s="211">
        <v>4884</v>
      </c>
      <c r="O32" s="211">
        <v>982</v>
      </c>
      <c r="P32" s="211">
        <v>597</v>
      </c>
      <c r="Q32" s="211">
        <v>1579</v>
      </c>
      <c r="R32" s="211">
        <v>58910</v>
      </c>
      <c r="S32" s="211">
        <v>33010</v>
      </c>
      <c r="T32" s="211">
        <v>91920</v>
      </c>
      <c r="U32" s="211">
        <v>168</v>
      </c>
      <c r="V32" s="211">
        <v>96</v>
      </c>
      <c r="W32" s="211">
        <v>264</v>
      </c>
    </row>
    <row r="33" spans="1:23" ht="24.75" customHeight="1" x14ac:dyDescent="0.35">
      <c r="A33" s="7">
        <v>29</v>
      </c>
      <c r="B33" s="217" t="s">
        <v>39</v>
      </c>
      <c r="C33" s="211">
        <v>95</v>
      </c>
      <c r="D33" s="211">
        <v>39</v>
      </c>
      <c r="E33" s="211">
        <v>134</v>
      </c>
      <c r="F33" s="211">
        <v>125</v>
      </c>
      <c r="G33" s="211">
        <v>54</v>
      </c>
      <c r="H33" s="211">
        <v>179</v>
      </c>
      <c r="I33" s="211">
        <v>711</v>
      </c>
      <c r="J33" s="211">
        <v>561</v>
      </c>
      <c r="K33" s="211">
        <v>1272</v>
      </c>
      <c r="L33" s="211">
        <v>15</v>
      </c>
      <c r="M33" s="211">
        <v>68</v>
      </c>
      <c r="N33" s="211">
        <v>83</v>
      </c>
      <c r="O33" s="211">
        <v>12</v>
      </c>
      <c r="P33" s="211">
        <v>13</v>
      </c>
      <c r="Q33" s="211">
        <v>25</v>
      </c>
      <c r="R33" s="211">
        <v>958</v>
      </c>
      <c r="S33" s="211">
        <v>735</v>
      </c>
      <c r="T33" s="211">
        <v>1693</v>
      </c>
      <c r="U33" s="211"/>
      <c r="V33" s="211"/>
      <c r="W33" s="211"/>
    </row>
    <row r="34" spans="1:23" ht="24.75" customHeight="1" x14ac:dyDescent="0.35">
      <c r="A34" s="7">
        <v>30</v>
      </c>
      <c r="B34" s="218" t="s">
        <v>40</v>
      </c>
      <c r="C34" s="211">
        <v>12039</v>
      </c>
      <c r="D34" s="211">
        <v>6993</v>
      </c>
      <c r="E34" s="211">
        <v>19032</v>
      </c>
      <c r="F34" s="211">
        <v>13151</v>
      </c>
      <c r="G34" s="211">
        <v>10838</v>
      </c>
      <c r="H34" s="211">
        <v>23989</v>
      </c>
      <c r="I34" s="211">
        <v>71165</v>
      </c>
      <c r="J34" s="211">
        <v>84783</v>
      </c>
      <c r="K34" s="211">
        <v>155948</v>
      </c>
      <c r="L34" s="211">
        <v>3152</v>
      </c>
      <c r="M34" s="211">
        <v>7863</v>
      </c>
      <c r="N34" s="211">
        <v>11015</v>
      </c>
      <c r="O34" s="211">
        <v>3621</v>
      </c>
      <c r="P34" s="211">
        <v>4532</v>
      </c>
      <c r="Q34" s="211">
        <v>8153</v>
      </c>
      <c r="R34" s="211">
        <v>103450</v>
      </c>
      <c r="S34" s="211">
        <v>115206</v>
      </c>
      <c r="T34" s="211">
        <v>218656</v>
      </c>
      <c r="U34" s="211">
        <v>322</v>
      </c>
      <c r="V34" s="211">
        <v>197</v>
      </c>
      <c r="W34" s="211">
        <v>519</v>
      </c>
    </row>
    <row r="35" spans="1:23" ht="24.75" customHeight="1" x14ac:dyDescent="0.35">
      <c r="A35" s="7">
        <v>31</v>
      </c>
      <c r="B35" s="219" t="s">
        <v>41</v>
      </c>
      <c r="C35" s="211">
        <v>5511</v>
      </c>
      <c r="D35" s="211">
        <v>2161</v>
      </c>
      <c r="E35" s="211">
        <v>7672</v>
      </c>
      <c r="F35" s="211">
        <v>5435</v>
      </c>
      <c r="G35" s="211">
        <v>3210</v>
      </c>
      <c r="H35" s="211">
        <v>8645</v>
      </c>
      <c r="I35" s="211">
        <v>32393</v>
      </c>
      <c r="J35" s="211">
        <v>28474</v>
      </c>
      <c r="K35" s="211">
        <v>60867</v>
      </c>
      <c r="L35" s="211">
        <v>1378</v>
      </c>
      <c r="M35" s="211">
        <v>3008</v>
      </c>
      <c r="N35" s="211">
        <v>4386</v>
      </c>
      <c r="O35" s="211">
        <v>1580</v>
      </c>
      <c r="P35" s="211">
        <v>1327</v>
      </c>
      <c r="Q35" s="211">
        <v>2907</v>
      </c>
      <c r="R35" s="211">
        <v>46360</v>
      </c>
      <c r="S35" s="211">
        <v>38208</v>
      </c>
      <c r="T35" s="211">
        <v>84568</v>
      </c>
      <c r="U35" s="211">
        <v>63</v>
      </c>
      <c r="V35" s="211">
        <v>28</v>
      </c>
      <c r="W35" s="211">
        <v>91</v>
      </c>
    </row>
    <row r="36" spans="1:23" ht="30" x14ac:dyDescent="0.35">
      <c r="A36" s="7">
        <v>32</v>
      </c>
      <c r="B36" s="219" t="s">
        <v>58</v>
      </c>
      <c r="C36" s="211">
        <v>23</v>
      </c>
      <c r="D36" s="211">
        <v>15</v>
      </c>
      <c r="E36" s="211">
        <v>38</v>
      </c>
      <c r="F36" s="211">
        <v>34</v>
      </c>
      <c r="G36" s="211">
        <v>23</v>
      </c>
      <c r="H36" s="211">
        <v>57</v>
      </c>
      <c r="I36" s="211">
        <v>230</v>
      </c>
      <c r="J36" s="211">
        <v>187</v>
      </c>
      <c r="K36" s="211">
        <v>417</v>
      </c>
      <c r="L36" s="211">
        <v>13</v>
      </c>
      <c r="M36" s="211">
        <v>58</v>
      </c>
      <c r="N36" s="211">
        <v>71</v>
      </c>
      <c r="O36" s="211">
        <v>19</v>
      </c>
      <c r="P36" s="211">
        <v>16</v>
      </c>
      <c r="Q36" s="211">
        <v>35</v>
      </c>
      <c r="R36" s="211">
        <v>336</v>
      </c>
      <c r="S36" s="211">
        <v>317</v>
      </c>
      <c r="T36" s="211">
        <v>653</v>
      </c>
      <c r="U36" s="211">
        <v>17</v>
      </c>
      <c r="V36" s="211">
        <v>18</v>
      </c>
      <c r="W36" s="211">
        <v>35</v>
      </c>
    </row>
    <row r="37" spans="1:23" ht="24.75" customHeight="1" x14ac:dyDescent="0.35">
      <c r="A37" s="7">
        <v>33</v>
      </c>
      <c r="B37" s="218" t="s">
        <v>42</v>
      </c>
      <c r="C37" s="211">
        <v>167</v>
      </c>
      <c r="D37" s="211">
        <v>43</v>
      </c>
      <c r="E37" s="211">
        <v>210</v>
      </c>
      <c r="F37" s="211">
        <v>255</v>
      </c>
      <c r="G37" s="211">
        <v>98</v>
      </c>
      <c r="H37" s="211">
        <v>353</v>
      </c>
      <c r="I37" s="211">
        <v>984</v>
      </c>
      <c r="J37" s="211">
        <v>518</v>
      </c>
      <c r="K37" s="211">
        <v>1502</v>
      </c>
      <c r="L37" s="211">
        <v>177</v>
      </c>
      <c r="M37" s="211">
        <v>258</v>
      </c>
      <c r="N37" s="211">
        <v>435</v>
      </c>
      <c r="O37" s="211">
        <v>243</v>
      </c>
      <c r="P37" s="211">
        <v>157</v>
      </c>
      <c r="Q37" s="211">
        <v>400</v>
      </c>
      <c r="R37" s="211">
        <v>1872</v>
      </c>
      <c r="S37" s="211">
        <v>1117</v>
      </c>
      <c r="T37" s="211">
        <v>2989</v>
      </c>
      <c r="U37" s="211">
        <v>46</v>
      </c>
      <c r="V37" s="211">
        <v>43</v>
      </c>
      <c r="W37" s="211">
        <v>89</v>
      </c>
    </row>
    <row r="38" spans="1:23" ht="24.75" customHeight="1" x14ac:dyDescent="0.35">
      <c r="A38" s="7">
        <v>34</v>
      </c>
      <c r="B38" s="212" t="s">
        <v>43</v>
      </c>
      <c r="C38" s="211">
        <v>15378</v>
      </c>
      <c r="D38" s="211">
        <v>5288</v>
      </c>
      <c r="E38" s="211">
        <v>20666</v>
      </c>
      <c r="F38" s="211">
        <v>11196</v>
      </c>
      <c r="G38" s="211">
        <v>5266</v>
      </c>
      <c r="H38" s="211">
        <v>16462</v>
      </c>
      <c r="I38" s="211">
        <v>101466</v>
      </c>
      <c r="J38" s="211">
        <v>47288</v>
      </c>
      <c r="K38" s="211">
        <v>148754</v>
      </c>
      <c r="L38" s="211">
        <v>4173</v>
      </c>
      <c r="M38" s="211">
        <v>5727</v>
      </c>
      <c r="N38" s="211">
        <v>9900</v>
      </c>
      <c r="O38" s="211">
        <v>9468</v>
      </c>
      <c r="P38" s="211">
        <v>3529</v>
      </c>
      <c r="Q38" s="211">
        <v>12997</v>
      </c>
      <c r="R38" s="211">
        <v>141920</v>
      </c>
      <c r="S38" s="211">
        <v>67292</v>
      </c>
      <c r="T38" s="211">
        <v>209212</v>
      </c>
      <c r="U38" s="211">
        <v>239</v>
      </c>
      <c r="V38" s="211">
        <v>194</v>
      </c>
      <c r="W38" s="211">
        <v>433</v>
      </c>
    </row>
    <row r="39" spans="1:23" ht="24.75" customHeight="1" x14ac:dyDescent="0.35">
      <c r="A39" s="7">
        <v>35</v>
      </c>
      <c r="B39" s="212" t="s">
        <v>44</v>
      </c>
      <c r="C39" s="211">
        <v>1919</v>
      </c>
      <c r="D39" s="211">
        <v>709</v>
      </c>
      <c r="E39" s="211">
        <v>2628</v>
      </c>
      <c r="F39" s="211">
        <v>1272</v>
      </c>
      <c r="G39" s="211">
        <v>765</v>
      </c>
      <c r="H39" s="211">
        <v>2037</v>
      </c>
      <c r="I39" s="211">
        <v>7530</v>
      </c>
      <c r="J39" s="211">
        <v>5594</v>
      </c>
      <c r="K39" s="211">
        <v>13124</v>
      </c>
      <c r="L39" s="211">
        <v>394</v>
      </c>
      <c r="M39" s="211">
        <v>692</v>
      </c>
      <c r="N39" s="211">
        <v>1086</v>
      </c>
      <c r="O39" s="211">
        <v>654</v>
      </c>
      <c r="P39" s="211">
        <v>496</v>
      </c>
      <c r="Q39" s="211">
        <v>1150</v>
      </c>
      <c r="R39" s="211">
        <v>11793</v>
      </c>
      <c r="S39" s="211">
        <v>8271</v>
      </c>
      <c r="T39" s="211">
        <v>20064</v>
      </c>
      <c r="U39" s="211">
        <v>24</v>
      </c>
      <c r="V39" s="211">
        <v>15</v>
      </c>
      <c r="W39" s="211">
        <v>39</v>
      </c>
    </row>
    <row r="40" spans="1:23" ht="24.75" customHeight="1" x14ac:dyDescent="0.35">
      <c r="A40" s="7">
        <v>36</v>
      </c>
      <c r="B40" s="212" t="s">
        <v>45</v>
      </c>
      <c r="C40" s="211">
        <v>4858</v>
      </c>
      <c r="D40" s="211">
        <v>1427</v>
      </c>
      <c r="E40" s="211">
        <v>6285</v>
      </c>
      <c r="F40" s="211">
        <v>4890</v>
      </c>
      <c r="G40" s="211">
        <v>2787</v>
      </c>
      <c r="H40" s="211">
        <v>7677</v>
      </c>
      <c r="I40" s="211">
        <v>29922</v>
      </c>
      <c r="J40" s="211">
        <v>15267</v>
      </c>
      <c r="K40" s="211">
        <v>45189</v>
      </c>
      <c r="L40" s="211">
        <v>1319</v>
      </c>
      <c r="M40" s="211">
        <v>3199</v>
      </c>
      <c r="N40" s="211">
        <v>4518</v>
      </c>
      <c r="O40" s="211">
        <v>7445</v>
      </c>
      <c r="P40" s="211">
        <v>6280</v>
      </c>
      <c r="Q40" s="211">
        <v>13725</v>
      </c>
      <c r="R40" s="211">
        <v>48960</v>
      </c>
      <c r="S40" s="211">
        <v>29243</v>
      </c>
      <c r="T40" s="211">
        <v>78203</v>
      </c>
      <c r="U40" s="211">
        <v>526</v>
      </c>
      <c r="V40" s="211">
        <v>283</v>
      </c>
      <c r="W40" s="211">
        <v>809</v>
      </c>
    </row>
    <row r="41" spans="1:23" s="221" customFormat="1" ht="24.75" customHeight="1" x14ac:dyDescent="0.35">
      <c r="A41" s="659" t="s">
        <v>46</v>
      </c>
      <c r="B41" s="659"/>
      <c r="C41" s="220">
        <v>115069</v>
      </c>
      <c r="D41" s="220">
        <v>52490</v>
      </c>
      <c r="E41" s="220">
        <v>167559</v>
      </c>
      <c r="F41" s="220">
        <v>103658</v>
      </c>
      <c r="G41" s="220">
        <v>65674</v>
      </c>
      <c r="H41" s="220">
        <v>169332</v>
      </c>
      <c r="I41" s="220">
        <v>636163</v>
      </c>
      <c r="J41" s="220">
        <v>528197</v>
      </c>
      <c r="K41" s="220">
        <v>1164360</v>
      </c>
      <c r="L41" s="220">
        <v>38267</v>
      </c>
      <c r="M41" s="220">
        <v>76616</v>
      </c>
      <c r="N41" s="220">
        <v>114883</v>
      </c>
      <c r="O41" s="220">
        <v>53664</v>
      </c>
      <c r="P41" s="220">
        <v>49068</v>
      </c>
      <c r="Q41" s="220">
        <v>102732</v>
      </c>
      <c r="R41" s="220">
        <v>954107</v>
      </c>
      <c r="S41" s="220">
        <v>778187</v>
      </c>
      <c r="T41" s="220">
        <v>1732294</v>
      </c>
      <c r="U41" s="220">
        <v>7286</v>
      </c>
      <c r="V41" s="220">
        <v>6142</v>
      </c>
      <c r="W41" s="220">
        <v>13428</v>
      </c>
    </row>
  </sheetData>
  <mergeCells count="13">
    <mergeCell ref="R2:T2"/>
    <mergeCell ref="U2:W2"/>
    <mergeCell ref="A41:B41"/>
    <mergeCell ref="I1:N1"/>
    <mergeCell ref="O1:W1"/>
    <mergeCell ref="A2:A3"/>
    <mergeCell ref="B2:B3"/>
    <mergeCell ref="C2:E2"/>
    <mergeCell ref="F2:H2"/>
    <mergeCell ref="I2:K2"/>
    <mergeCell ref="L2:N2"/>
    <mergeCell ref="O2:Q2"/>
    <mergeCell ref="A1:H1"/>
  </mergeCells>
  <pageMargins left="0.43307086614173229" right="0.15748031496062992" top="0.39370078740157483" bottom="0.39370078740157483" header="0.31496062992125984" footer="0.19685039370078741"/>
  <pageSetup paperSize="9" scale="80" firstPageNumber="2" orientation="portrait" r:id="rId1"/>
  <headerFooter>
    <oddFooter>&amp;L&amp;"Arial,Italic"&amp;9AISHE 2023-24&amp;RT-22</oddFooter>
  </headerFooter>
  <colBreaks count="2" manualBreakCount="2">
    <brk id="8" max="41" man="1"/>
    <brk id="14" max="41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8100-0344-4B53-A66E-404E68F0FB54}">
  <dimension ref="A1:W41"/>
  <sheetViews>
    <sheetView view="pageBreakPreview" topLeftCell="C1" zoomScaleSheetLayoutView="100" workbookViewId="0">
      <selection activeCell="B16" sqref="B16:M16"/>
    </sheetView>
  </sheetViews>
  <sheetFormatPr defaultColWidth="9.26953125" defaultRowHeight="14" x14ac:dyDescent="0.35"/>
  <cols>
    <col min="1" max="1" width="7.1796875" style="234" bestFit="1" customWidth="1"/>
    <col min="2" max="2" width="22" style="26" customWidth="1"/>
    <col min="3" max="7" width="15" style="26" customWidth="1"/>
    <col min="8" max="8" width="15.81640625" style="26" customWidth="1"/>
    <col min="9" max="14" width="15" style="26" customWidth="1"/>
    <col min="15" max="19" width="10.1796875" style="26" customWidth="1"/>
    <col min="20" max="20" width="11" style="26" customWidth="1"/>
    <col min="21" max="23" width="10.1796875" style="26" customWidth="1"/>
    <col min="24" max="16384" width="9.26953125" style="231"/>
  </cols>
  <sheetData>
    <row r="1" spans="1:23" s="224" customFormat="1" ht="38.25" customHeight="1" x14ac:dyDescent="0.35">
      <c r="A1" s="223"/>
      <c r="B1" s="206"/>
      <c r="C1" s="814" t="s">
        <v>1004</v>
      </c>
      <c r="D1" s="814"/>
      <c r="E1" s="814"/>
      <c r="F1" s="814"/>
      <c r="G1" s="814"/>
      <c r="H1" s="814"/>
      <c r="I1" s="814" t="str">
        <f>C1</f>
        <v>Table 22a. States/UTs-Wise Number of Teachers in Universities &amp; It's Colleges at different post 
(Based on Actual Response)</v>
      </c>
      <c r="J1" s="814"/>
      <c r="K1" s="814"/>
      <c r="L1" s="814"/>
      <c r="M1" s="814"/>
      <c r="N1" s="814"/>
      <c r="O1" s="814" t="str">
        <f>I1</f>
        <v>Table 22a. States/UTs-Wise Number of Teachers in Universities &amp; It's Colleges at different post 
(Based on Actual Response)</v>
      </c>
      <c r="P1" s="814"/>
      <c r="Q1" s="814"/>
      <c r="R1" s="814"/>
      <c r="S1" s="814"/>
      <c r="T1" s="814"/>
      <c r="U1" s="814"/>
      <c r="V1" s="814"/>
      <c r="W1" s="814"/>
    </row>
    <row r="2" spans="1:23" s="225" customFormat="1" ht="17.25" customHeight="1" x14ac:dyDescent="0.35">
      <c r="A2" s="815" t="s">
        <v>48</v>
      </c>
      <c r="B2" s="816" t="s">
        <v>885</v>
      </c>
      <c r="C2" s="816" t="s">
        <v>890</v>
      </c>
      <c r="D2" s="816"/>
      <c r="E2" s="816"/>
      <c r="F2" s="816" t="s">
        <v>891</v>
      </c>
      <c r="G2" s="817"/>
      <c r="H2" s="817"/>
      <c r="I2" s="816" t="s">
        <v>892</v>
      </c>
      <c r="J2" s="817"/>
      <c r="K2" s="817"/>
      <c r="L2" s="816" t="s">
        <v>893</v>
      </c>
      <c r="M2" s="817"/>
      <c r="N2" s="817"/>
      <c r="O2" s="816" t="s">
        <v>894</v>
      </c>
      <c r="P2" s="817"/>
      <c r="Q2" s="817"/>
      <c r="R2" s="809" t="s">
        <v>12</v>
      </c>
      <c r="S2" s="810"/>
      <c r="T2" s="811"/>
      <c r="U2" s="812" t="s">
        <v>895</v>
      </c>
      <c r="V2" s="813"/>
      <c r="W2" s="813"/>
    </row>
    <row r="3" spans="1:23" s="228" customFormat="1" ht="14.25" customHeight="1" x14ac:dyDescent="0.35">
      <c r="A3" s="815"/>
      <c r="B3" s="816"/>
      <c r="C3" s="226" t="s">
        <v>103</v>
      </c>
      <c r="D3" s="226" t="s">
        <v>104</v>
      </c>
      <c r="E3" s="226" t="s">
        <v>89</v>
      </c>
      <c r="F3" s="226" t="s">
        <v>103</v>
      </c>
      <c r="G3" s="226" t="s">
        <v>104</v>
      </c>
      <c r="H3" s="226" t="s">
        <v>89</v>
      </c>
      <c r="I3" s="226" t="s">
        <v>103</v>
      </c>
      <c r="J3" s="226" t="s">
        <v>104</v>
      </c>
      <c r="K3" s="226" t="s">
        <v>89</v>
      </c>
      <c r="L3" s="226" t="s">
        <v>103</v>
      </c>
      <c r="M3" s="226" t="s">
        <v>104</v>
      </c>
      <c r="N3" s="226" t="s">
        <v>89</v>
      </c>
      <c r="O3" s="226" t="s">
        <v>103</v>
      </c>
      <c r="P3" s="226" t="s">
        <v>104</v>
      </c>
      <c r="Q3" s="226" t="s">
        <v>89</v>
      </c>
      <c r="R3" s="226" t="s">
        <v>103</v>
      </c>
      <c r="S3" s="226" t="s">
        <v>104</v>
      </c>
      <c r="T3" s="226" t="s">
        <v>89</v>
      </c>
      <c r="U3" s="227" t="s">
        <v>103</v>
      </c>
      <c r="V3" s="227" t="s">
        <v>104</v>
      </c>
      <c r="W3" s="227" t="s">
        <v>89</v>
      </c>
    </row>
    <row r="4" spans="1:23" s="319" customFormat="1" ht="19.5" customHeight="1" x14ac:dyDescent="0.35">
      <c r="A4" s="318">
        <v>1</v>
      </c>
      <c r="B4" s="318">
        <v>2</v>
      </c>
      <c r="C4" s="318">
        <v>3</v>
      </c>
      <c r="D4" s="318">
        <v>4</v>
      </c>
      <c r="E4" s="318">
        <v>5</v>
      </c>
      <c r="F4" s="318">
        <v>6</v>
      </c>
      <c r="G4" s="318">
        <v>7</v>
      </c>
      <c r="H4" s="318">
        <v>8</v>
      </c>
      <c r="I4" s="318">
        <v>9</v>
      </c>
      <c r="J4" s="318">
        <v>10</v>
      </c>
      <c r="K4" s="318">
        <v>11</v>
      </c>
      <c r="L4" s="318">
        <v>12</v>
      </c>
      <c r="M4" s="318">
        <v>13</v>
      </c>
      <c r="N4" s="318">
        <v>14</v>
      </c>
      <c r="O4" s="318">
        <v>15</v>
      </c>
      <c r="P4" s="318">
        <v>16</v>
      </c>
      <c r="Q4" s="318">
        <v>17</v>
      </c>
      <c r="R4" s="318">
        <v>18</v>
      </c>
      <c r="S4" s="318">
        <v>19</v>
      </c>
      <c r="T4" s="318">
        <v>20</v>
      </c>
      <c r="U4" s="318">
        <v>21</v>
      </c>
      <c r="V4" s="318">
        <v>22</v>
      </c>
      <c r="W4" s="318">
        <v>23</v>
      </c>
    </row>
    <row r="5" spans="1:23" ht="22.5" customHeight="1" x14ac:dyDescent="0.35">
      <c r="A5" s="229">
        <v>1</v>
      </c>
      <c r="B5" s="210" t="s">
        <v>56</v>
      </c>
      <c r="C5" s="230">
        <v>4</v>
      </c>
      <c r="D5" s="230"/>
      <c r="E5" s="230">
        <v>4</v>
      </c>
      <c r="F5" s="230">
        <v>1</v>
      </c>
      <c r="G5" s="230"/>
      <c r="H5" s="230">
        <v>1</v>
      </c>
      <c r="I5" s="230">
        <v>33</v>
      </c>
      <c r="J5" s="230">
        <v>17</v>
      </c>
      <c r="K5" s="230">
        <v>50</v>
      </c>
      <c r="L5" s="230"/>
      <c r="M5" s="230"/>
      <c r="N5" s="230"/>
      <c r="O5" s="230">
        <v>9</v>
      </c>
      <c r="P5" s="230">
        <v>41</v>
      </c>
      <c r="Q5" s="230">
        <v>50</v>
      </c>
      <c r="R5" s="230">
        <v>47</v>
      </c>
      <c r="S5" s="230">
        <v>58</v>
      </c>
      <c r="T5" s="230">
        <v>105</v>
      </c>
      <c r="U5" s="230"/>
      <c r="V5" s="230"/>
      <c r="W5" s="230"/>
    </row>
    <row r="6" spans="1:23" ht="24.75" customHeight="1" x14ac:dyDescent="0.35">
      <c r="A6" s="229">
        <v>2</v>
      </c>
      <c r="B6" s="212" t="s">
        <v>13</v>
      </c>
      <c r="C6" s="230">
        <v>6108</v>
      </c>
      <c r="D6" s="230">
        <v>2088</v>
      </c>
      <c r="E6" s="230">
        <v>8196</v>
      </c>
      <c r="F6" s="230">
        <v>6004</v>
      </c>
      <c r="G6" s="230">
        <v>2970</v>
      </c>
      <c r="H6" s="230">
        <v>8974</v>
      </c>
      <c r="I6" s="230">
        <v>40098</v>
      </c>
      <c r="J6" s="230">
        <v>27467</v>
      </c>
      <c r="K6" s="230">
        <v>67565</v>
      </c>
      <c r="L6" s="230">
        <v>801</v>
      </c>
      <c r="M6" s="230">
        <v>2715</v>
      </c>
      <c r="N6" s="230">
        <v>3516</v>
      </c>
      <c r="O6" s="230">
        <v>1775</v>
      </c>
      <c r="P6" s="230">
        <v>1323</v>
      </c>
      <c r="Q6" s="230">
        <v>3098</v>
      </c>
      <c r="R6" s="230">
        <v>54820</v>
      </c>
      <c r="S6" s="230">
        <v>36609</v>
      </c>
      <c r="T6" s="230">
        <v>91429</v>
      </c>
      <c r="U6" s="230">
        <v>34</v>
      </c>
      <c r="V6" s="230">
        <v>46</v>
      </c>
      <c r="W6" s="230">
        <v>80</v>
      </c>
    </row>
    <row r="7" spans="1:23" ht="24.75" customHeight="1" x14ac:dyDescent="0.35">
      <c r="A7" s="229">
        <v>3</v>
      </c>
      <c r="B7" s="212" t="s">
        <v>14</v>
      </c>
      <c r="C7" s="230">
        <v>32</v>
      </c>
      <c r="D7" s="230">
        <v>11</v>
      </c>
      <c r="E7" s="230">
        <v>43</v>
      </c>
      <c r="F7" s="230">
        <v>74</v>
      </c>
      <c r="G7" s="230">
        <v>22</v>
      </c>
      <c r="H7" s="230">
        <v>96</v>
      </c>
      <c r="I7" s="230">
        <v>361</v>
      </c>
      <c r="J7" s="230">
        <v>382</v>
      </c>
      <c r="K7" s="230">
        <v>743</v>
      </c>
      <c r="L7" s="230">
        <v>10</v>
      </c>
      <c r="M7" s="230">
        <v>38</v>
      </c>
      <c r="N7" s="230">
        <v>48</v>
      </c>
      <c r="O7" s="230">
        <v>39</v>
      </c>
      <c r="P7" s="230">
        <v>84</v>
      </c>
      <c r="Q7" s="230">
        <v>123</v>
      </c>
      <c r="R7" s="230">
        <v>517</v>
      </c>
      <c r="S7" s="230">
        <v>537</v>
      </c>
      <c r="T7" s="230">
        <v>1054</v>
      </c>
      <c r="U7" s="230">
        <v>1</v>
      </c>
      <c r="V7" s="230"/>
      <c r="W7" s="230">
        <v>1</v>
      </c>
    </row>
    <row r="8" spans="1:23" ht="24.75" customHeight="1" x14ac:dyDescent="0.35">
      <c r="A8" s="229">
        <v>4</v>
      </c>
      <c r="B8" s="210" t="s">
        <v>15</v>
      </c>
      <c r="C8" s="230">
        <v>763</v>
      </c>
      <c r="D8" s="230">
        <v>340</v>
      </c>
      <c r="E8" s="230">
        <v>1103</v>
      </c>
      <c r="F8" s="230">
        <v>1584</v>
      </c>
      <c r="G8" s="230">
        <v>968</v>
      </c>
      <c r="H8" s="230">
        <v>2552</v>
      </c>
      <c r="I8" s="230">
        <v>8091</v>
      </c>
      <c r="J8" s="230">
        <v>7340</v>
      </c>
      <c r="K8" s="230">
        <v>15431</v>
      </c>
      <c r="L8" s="230">
        <v>501</v>
      </c>
      <c r="M8" s="230">
        <v>506</v>
      </c>
      <c r="N8" s="230">
        <v>1007</v>
      </c>
      <c r="O8" s="230">
        <v>587</v>
      </c>
      <c r="P8" s="230">
        <v>678</v>
      </c>
      <c r="Q8" s="230">
        <v>1265</v>
      </c>
      <c r="R8" s="230">
        <v>11538</v>
      </c>
      <c r="S8" s="230">
        <v>9846</v>
      </c>
      <c r="T8" s="230">
        <v>21384</v>
      </c>
      <c r="U8" s="230">
        <v>12</v>
      </c>
      <c r="V8" s="230">
        <v>14</v>
      </c>
      <c r="W8" s="230">
        <v>26</v>
      </c>
    </row>
    <row r="9" spans="1:23" ht="24.75" customHeight="1" x14ac:dyDescent="0.35">
      <c r="A9" s="229">
        <v>5</v>
      </c>
      <c r="B9" s="210" t="s">
        <v>16</v>
      </c>
      <c r="C9" s="230">
        <v>1578</v>
      </c>
      <c r="D9" s="230">
        <v>429</v>
      </c>
      <c r="E9" s="230">
        <v>2007</v>
      </c>
      <c r="F9" s="230">
        <v>2017</v>
      </c>
      <c r="G9" s="230">
        <v>504</v>
      </c>
      <c r="H9" s="230">
        <v>2521</v>
      </c>
      <c r="I9" s="230">
        <v>20295</v>
      </c>
      <c r="J9" s="230">
        <v>6989</v>
      </c>
      <c r="K9" s="230">
        <v>27284</v>
      </c>
      <c r="L9" s="230">
        <v>897</v>
      </c>
      <c r="M9" s="230">
        <v>992</v>
      </c>
      <c r="N9" s="230">
        <v>1889</v>
      </c>
      <c r="O9" s="230">
        <v>1234</v>
      </c>
      <c r="P9" s="230">
        <v>608</v>
      </c>
      <c r="Q9" s="230">
        <v>1842</v>
      </c>
      <c r="R9" s="230">
        <v>26180</v>
      </c>
      <c r="S9" s="230">
        <v>9595</v>
      </c>
      <c r="T9" s="230">
        <v>35775</v>
      </c>
      <c r="U9" s="230">
        <v>159</v>
      </c>
      <c r="V9" s="230">
        <v>73</v>
      </c>
      <c r="W9" s="230">
        <v>232</v>
      </c>
    </row>
    <row r="10" spans="1:23" ht="24.75" customHeight="1" x14ac:dyDescent="0.35">
      <c r="A10" s="229">
        <v>6</v>
      </c>
      <c r="B10" s="212" t="s">
        <v>17</v>
      </c>
      <c r="C10" s="230">
        <v>78</v>
      </c>
      <c r="D10" s="230">
        <v>88</v>
      </c>
      <c r="E10" s="230">
        <v>166</v>
      </c>
      <c r="F10" s="230">
        <v>109</v>
      </c>
      <c r="G10" s="230">
        <v>178</v>
      </c>
      <c r="H10" s="230">
        <v>287</v>
      </c>
      <c r="I10" s="230">
        <v>297</v>
      </c>
      <c r="J10" s="230">
        <v>813</v>
      </c>
      <c r="K10" s="230">
        <v>1110</v>
      </c>
      <c r="L10" s="230">
        <v>13</v>
      </c>
      <c r="M10" s="230">
        <v>8</v>
      </c>
      <c r="N10" s="230">
        <v>21</v>
      </c>
      <c r="O10" s="230">
        <v>60</v>
      </c>
      <c r="P10" s="230">
        <v>214</v>
      </c>
      <c r="Q10" s="230">
        <v>274</v>
      </c>
      <c r="R10" s="230">
        <v>557</v>
      </c>
      <c r="S10" s="230">
        <v>1301</v>
      </c>
      <c r="T10" s="230">
        <v>1858</v>
      </c>
      <c r="U10" s="230"/>
      <c r="V10" s="230"/>
      <c r="W10" s="230"/>
    </row>
    <row r="11" spans="1:23" ht="24.75" customHeight="1" x14ac:dyDescent="0.35">
      <c r="A11" s="229">
        <v>7</v>
      </c>
      <c r="B11" s="212" t="s">
        <v>18</v>
      </c>
      <c r="C11" s="213">
        <v>921</v>
      </c>
      <c r="D11" s="230">
        <v>518</v>
      </c>
      <c r="E11" s="230">
        <v>1439</v>
      </c>
      <c r="F11" s="230">
        <v>627</v>
      </c>
      <c r="G11" s="230">
        <v>562</v>
      </c>
      <c r="H11" s="230">
        <v>1189</v>
      </c>
      <c r="I11" s="230">
        <v>6695</v>
      </c>
      <c r="J11" s="230">
        <v>6754</v>
      </c>
      <c r="K11" s="230">
        <v>13449</v>
      </c>
      <c r="L11" s="230">
        <v>585</v>
      </c>
      <c r="M11" s="230">
        <v>1644</v>
      </c>
      <c r="N11" s="230">
        <v>2229</v>
      </c>
      <c r="O11" s="230">
        <v>1640</v>
      </c>
      <c r="P11" s="230">
        <v>1613</v>
      </c>
      <c r="Q11" s="230">
        <v>3253</v>
      </c>
      <c r="R11" s="230">
        <v>10500</v>
      </c>
      <c r="S11" s="230">
        <v>11112</v>
      </c>
      <c r="T11" s="230">
        <v>21612</v>
      </c>
      <c r="U11" s="230">
        <v>32</v>
      </c>
      <c r="V11" s="230">
        <v>21</v>
      </c>
      <c r="W11" s="230">
        <v>53</v>
      </c>
    </row>
    <row r="12" spans="1:23" ht="24.75" customHeight="1" x14ac:dyDescent="0.35">
      <c r="A12" s="229">
        <v>8</v>
      </c>
      <c r="B12" s="212" t="s">
        <v>19</v>
      </c>
      <c r="C12" s="230">
        <v>839</v>
      </c>
      <c r="D12" s="230">
        <v>997</v>
      </c>
      <c r="E12" s="230">
        <v>1836</v>
      </c>
      <c r="F12" s="230">
        <v>1043</v>
      </c>
      <c r="G12" s="230">
        <v>2112</v>
      </c>
      <c r="H12" s="230">
        <v>3155</v>
      </c>
      <c r="I12" s="230">
        <v>3484</v>
      </c>
      <c r="J12" s="230">
        <v>5412</v>
      </c>
      <c r="K12" s="230">
        <v>8896</v>
      </c>
      <c r="L12" s="230">
        <v>65</v>
      </c>
      <c r="M12" s="230">
        <v>216</v>
      </c>
      <c r="N12" s="230">
        <v>281</v>
      </c>
      <c r="O12" s="230">
        <v>219</v>
      </c>
      <c r="P12" s="230">
        <v>333</v>
      </c>
      <c r="Q12" s="230">
        <v>552</v>
      </c>
      <c r="R12" s="230">
        <v>5699</v>
      </c>
      <c r="S12" s="230">
        <v>9130</v>
      </c>
      <c r="T12" s="230">
        <v>14829</v>
      </c>
      <c r="U12" s="230">
        <v>49</v>
      </c>
      <c r="V12" s="230">
        <v>60</v>
      </c>
      <c r="W12" s="230">
        <v>109</v>
      </c>
    </row>
    <row r="13" spans="1:23" ht="24.75" customHeight="1" x14ac:dyDescent="0.35">
      <c r="A13" s="229">
        <v>9</v>
      </c>
      <c r="B13" s="212" t="s">
        <v>20</v>
      </c>
      <c r="C13" s="230">
        <v>132</v>
      </c>
      <c r="D13" s="230">
        <v>71</v>
      </c>
      <c r="E13" s="230">
        <v>203</v>
      </c>
      <c r="F13" s="230">
        <v>184</v>
      </c>
      <c r="G13" s="230">
        <v>262</v>
      </c>
      <c r="H13" s="230">
        <v>446</v>
      </c>
      <c r="I13" s="230">
        <v>729</v>
      </c>
      <c r="J13" s="230">
        <v>1461</v>
      </c>
      <c r="K13" s="230">
        <v>2190</v>
      </c>
      <c r="L13" s="230">
        <v>19</v>
      </c>
      <c r="M13" s="230">
        <v>53</v>
      </c>
      <c r="N13" s="230">
        <v>72</v>
      </c>
      <c r="O13" s="230">
        <v>45</v>
      </c>
      <c r="P13" s="230">
        <v>86</v>
      </c>
      <c r="Q13" s="230">
        <v>131</v>
      </c>
      <c r="R13" s="230">
        <v>1125</v>
      </c>
      <c r="S13" s="230">
        <v>1973</v>
      </c>
      <c r="T13" s="230">
        <v>3098</v>
      </c>
      <c r="U13" s="230">
        <v>16</v>
      </c>
      <c r="V13" s="230">
        <v>40</v>
      </c>
      <c r="W13" s="230">
        <v>56</v>
      </c>
    </row>
    <row r="14" spans="1:23" ht="24.75" customHeight="1" x14ac:dyDescent="0.35">
      <c r="A14" s="229">
        <v>10</v>
      </c>
      <c r="B14" s="212" t="s">
        <v>21</v>
      </c>
      <c r="C14" s="230">
        <v>2523</v>
      </c>
      <c r="D14" s="230">
        <v>1080</v>
      </c>
      <c r="E14" s="230">
        <v>3603</v>
      </c>
      <c r="F14" s="230">
        <v>3746</v>
      </c>
      <c r="G14" s="230">
        <v>2042</v>
      </c>
      <c r="H14" s="230">
        <v>5788</v>
      </c>
      <c r="I14" s="230">
        <v>15637</v>
      </c>
      <c r="J14" s="230">
        <v>11552</v>
      </c>
      <c r="K14" s="230">
        <v>27189</v>
      </c>
      <c r="L14" s="230">
        <v>1539</v>
      </c>
      <c r="M14" s="230">
        <v>3190</v>
      </c>
      <c r="N14" s="230">
        <v>4729</v>
      </c>
      <c r="O14" s="230">
        <v>885</v>
      </c>
      <c r="P14" s="230">
        <v>1084</v>
      </c>
      <c r="Q14" s="230">
        <v>1969</v>
      </c>
      <c r="R14" s="230">
        <v>25116</v>
      </c>
      <c r="S14" s="230">
        <v>19638</v>
      </c>
      <c r="T14" s="230">
        <v>44754</v>
      </c>
      <c r="U14" s="230">
        <v>786</v>
      </c>
      <c r="V14" s="230">
        <v>690</v>
      </c>
      <c r="W14" s="230">
        <v>1476</v>
      </c>
    </row>
    <row r="15" spans="1:23" ht="24.75" customHeight="1" x14ac:dyDescent="0.35">
      <c r="A15" s="229">
        <v>11</v>
      </c>
      <c r="B15" s="212" t="s">
        <v>22</v>
      </c>
      <c r="C15" s="230">
        <v>1238</v>
      </c>
      <c r="D15" s="230">
        <v>705</v>
      </c>
      <c r="E15" s="230">
        <v>1943</v>
      </c>
      <c r="F15" s="230">
        <v>1325</v>
      </c>
      <c r="G15" s="230">
        <v>1372</v>
      </c>
      <c r="H15" s="230">
        <v>2697</v>
      </c>
      <c r="I15" s="230">
        <v>9099</v>
      </c>
      <c r="J15" s="230">
        <v>12336</v>
      </c>
      <c r="K15" s="230">
        <v>21435</v>
      </c>
      <c r="L15" s="230">
        <v>210</v>
      </c>
      <c r="M15" s="230">
        <v>746</v>
      </c>
      <c r="N15" s="230">
        <v>956</v>
      </c>
      <c r="O15" s="230">
        <v>621</v>
      </c>
      <c r="P15" s="230">
        <v>1453</v>
      </c>
      <c r="Q15" s="230">
        <v>2074</v>
      </c>
      <c r="R15" s="230">
        <v>12623</v>
      </c>
      <c r="S15" s="230">
        <v>16801</v>
      </c>
      <c r="T15" s="230">
        <v>29424</v>
      </c>
      <c r="U15" s="230">
        <v>130</v>
      </c>
      <c r="V15" s="230">
        <v>189</v>
      </c>
      <c r="W15" s="230">
        <v>319</v>
      </c>
    </row>
    <row r="16" spans="1:23" ht="24.75" customHeight="1" x14ac:dyDescent="0.35">
      <c r="A16" s="229">
        <v>12</v>
      </c>
      <c r="B16" s="212" t="s">
        <v>23</v>
      </c>
      <c r="C16" s="230">
        <v>288</v>
      </c>
      <c r="D16" s="230">
        <v>138</v>
      </c>
      <c r="E16" s="230">
        <v>426</v>
      </c>
      <c r="F16" s="230">
        <v>390</v>
      </c>
      <c r="G16" s="230">
        <v>244</v>
      </c>
      <c r="H16" s="230">
        <v>634</v>
      </c>
      <c r="I16" s="230">
        <v>2267</v>
      </c>
      <c r="J16" s="230">
        <v>2613</v>
      </c>
      <c r="K16" s="230">
        <v>4880</v>
      </c>
      <c r="L16" s="230">
        <v>48</v>
      </c>
      <c r="M16" s="230">
        <v>452</v>
      </c>
      <c r="N16" s="230">
        <v>500</v>
      </c>
      <c r="O16" s="230">
        <v>112</v>
      </c>
      <c r="P16" s="230">
        <v>144</v>
      </c>
      <c r="Q16" s="230">
        <v>256</v>
      </c>
      <c r="R16" s="230">
        <v>3116</v>
      </c>
      <c r="S16" s="230">
        <v>3604</v>
      </c>
      <c r="T16" s="230">
        <v>6720</v>
      </c>
      <c r="U16" s="230">
        <v>11</v>
      </c>
      <c r="V16" s="230">
        <v>13</v>
      </c>
      <c r="W16" s="230">
        <v>24</v>
      </c>
    </row>
    <row r="17" spans="1:23" ht="24.75" customHeight="1" x14ac:dyDescent="0.35">
      <c r="A17" s="229">
        <v>13</v>
      </c>
      <c r="B17" s="212" t="s">
        <v>24</v>
      </c>
      <c r="C17" s="230">
        <v>409</v>
      </c>
      <c r="D17" s="230">
        <v>203</v>
      </c>
      <c r="E17" s="230">
        <v>612</v>
      </c>
      <c r="F17" s="230">
        <v>521</v>
      </c>
      <c r="G17" s="230">
        <v>362</v>
      </c>
      <c r="H17" s="230">
        <v>883</v>
      </c>
      <c r="I17" s="230">
        <v>2469</v>
      </c>
      <c r="J17" s="230">
        <v>2241</v>
      </c>
      <c r="K17" s="230">
        <v>4710</v>
      </c>
      <c r="L17" s="230">
        <v>147</v>
      </c>
      <c r="M17" s="230">
        <v>317</v>
      </c>
      <c r="N17" s="230">
        <v>464</v>
      </c>
      <c r="O17" s="230">
        <v>631</v>
      </c>
      <c r="P17" s="230">
        <v>346</v>
      </c>
      <c r="Q17" s="230">
        <v>977</v>
      </c>
      <c r="R17" s="230">
        <v>4184</v>
      </c>
      <c r="S17" s="230">
        <v>3470</v>
      </c>
      <c r="T17" s="230">
        <v>7654</v>
      </c>
      <c r="U17" s="230">
        <v>7</v>
      </c>
      <c r="V17" s="230">
        <v>1</v>
      </c>
      <c r="W17" s="230">
        <v>8</v>
      </c>
    </row>
    <row r="18" spans="1:23" ht="24.75" customHeight="1" x14ac:dyDescent="0.35">
      <c r="A18" s="229">
        <v>14</v>
      </c>
      <c r="B18" s="212" t="s">
        <v>25</v>
      </c>
      <c r="C18" s="230">
        <v>463</v>
      </c>
      <c r="D18" s="230">
        <v>126</v>
      </c>
      <c r="E18" s="230">
        <v>589</v>
      </c>
      <c r="F18" s="230">
        <v>352</v>
      </c>
      <c r="G18" s="230">
        <v>117</v>
      </c>
      <c r="H18" s="230">
        <v>469</v>
      </c>
      <c r="I18" s="230">
        <v>5484</v>
      </c>
      <c r="J18" s="230">
        <v>2851</v>
      </c>
      <c r="K18" s="230">
        <v>8335</v>
      </c>
      <c r="L18" s="230">
        <v>171</v>
      </c>
      <c r="M18" s="230">
        <v>300</v>
      </c>
      <c r="N18" s="230">
        <v>471</v>
      </c>
      <c r="O18" s="230">
        <v>483</v>
      </c>
      <c r="P18" s="230">
        <v>337</v>
      </c>
      <c r="Q18" s="230">
        <v>820</v>
      </c>
      <c r="R18" s="230">
        <v>6978</v>
      </c>
      <c r="S18" s="230">
        <v>3737</v>
      </c>
      <c r="T18" s="230">
        <v>10715</v>
      </c>
      <c r="U18" s="230">
        <v>25</v>
      </c>
      <c r="V18" s="230">
        <v>6</v>
      </c>
      <c r="W18" s="230">
        <v>31</v>
      </c>
    </row>
    <row r="19" spans="1:23" ht="24.75" customHeight="1" x14ac:dyDescent="0.35">
      <c r="A19" s="229">
        <v>15</v>
      </c>
      <c r="B19" s="212" t="s">
        <v>26</v>
      </c>
      <c r="C19" s="230">
        <v>8408</v>
      </c>
      <c r="D19" s="230">
        <v>4102</v>
      </c>
      <c r="E19" s="230">
        <v>12510</v>
      </c>
      <c r="F19" s="230">
        <v>6988</v>
      </c>
      <c r="G19" s="230">
        <v>5080</v>
      </c>
      <c r="H19" s="230">
        <v>12068</v>
      </c>
      <c r="I19" s="230">
        <v>30925</v>
      </c>
      <c r="J19" s="230">
        <v>35048</v>
      </c>
      <c r="K19" s="230">
        <v>65973</v>
      </c>
      <c r="L19" s="230">
        <v>3869</v>
      </c>
      <c r="M19" s="230">
        <v>6921</v>
      </c>
      <c r="N19" s="230">
        <v>10790</v>
      </c>
      <c r="O19" s="230">
        <v>4744</v>
      </c>
      <c r="P19" s="230">
        <v>4273</v>
      </c>
      <c r="Q19" s="230">
        <v>9017</v>
      </c>
      <c r="R19" s="230">
        <v>55324</v>
      </c>
      <c r="S19" s="230">
        <v>55791</v>
      </c>
      <c r="T19" s="230">
        <v>111115</v>
      </c>
      <c r="U19" s="230">
        <v>390</v>
      </c>
      <c r="V19" s="230">
        <v>367</v>
      </c>
      <c r="W19" s="230">
        <v>757</v>
      </c>
    </row>
    <row r="20" spans="1:23" ht="24.75" customHeight="1" x14ac:dyDescent="0.35">
      <c r="A20" s="229">
        <v>16</v>
      </c>
      <c r="B20" s="212" t="s">
        <v>27</v>
      </c>
      <c r="C20" s="230">
        <v>2609</v>
      </c>
      <c r="D20" s="230">
        <v>1986</v>
      </c>
      <c r="E20" s="230">
        <v>4595</v>
      </c>
      <c r="F20" s="230">
        <v>2465</v>
      </c>
      <c r="G20" s="230">
        <v>2894</v>
      </c>
      <c r="H20" s="230">
        <v>5359</v>
      </c>
      <c r="I20" s="230">
        <v>12803</v>
      </c>
      <c r="J20" s="230">
        <v>28816</v>
      </c>
      <c r="K20" s="230">
        <v>41619</v>
      </c>
      <c r="L20" s="230">
        <v>507</v>
      </c>
      <c r="M20" s="230">
        <v>1318</v>
      </c>
      <c r="N20" s="230">
        <v>1825</v>
      </c>
      <c r="O20" s="230">
        <v>809</v>
      </c>
      <c r="P20" s="230">
        <v>2553</v>
      </c>
      <c r="Q20" s="230">
        <v>3362</v>
      </c>
      <c r="R20" s="230">
        <v>19237</v>
      </c>
      <c r="S20" s="230">
        <v>37591</v>
      </c>
      <c r="T20" s="230">
        <v>56828</v>
      </c>
      <c r="U20" s="230">
        <v>44</v>
      </c>
      <c r="V20" s="230">
        <v>24</v>
      </c>
      <c r="W20" s="230">
        <v>68</v>
      </c>
    </row>
    <row r="21" spans="1:23" ht="24.75" customHeight="1" x14ac:dyDescent="0.35">
      <c r="A21" s="229">
        <v>17</v>
      </c>
      <c r="B21" s="214" t="s">
        <v>28</v>
      </c>
      <c r="C21" s="230">
        <v>4</v>
      </c>
      <c r="D21" s="230">
        <v>3</v>
      </c>
      <c r="E21" s="230">
        <v>7</v>
      </c>
      <c r="F21" s="230"/>
      <c r="G21" s="230"/>
      <c r="H21" s="230"/>
      <c r="I21" s="230">
        <v>60</v>
      </c>
      <c r="J21" s="230">
        <v>49</v>
      </c>
      <c r="K21" s="230">
        <v>109</v>
      </c>
      <c r="L21" s="230"/>
      <c r="M21" s="230"/>
      <c r="N21" s="230"/>
      <c r="O21" s="230">
        <v>35</v>
      </c>
      <c r="P21" s="230">
        <v>9</v>
      </c>
      <c r="Q21" s="230">
        <v>44</v>
      </c>
      <c r="R21" s="230">
        <v>99</v>
      </c>
      <c r="S21" s="230">
        <v>61</v>
      </c>
      <c r="T21" s="230">
        <v>160</v>
      </c>
      <c r="U21" s="230"/>
      <c r="V21" s="230"/>
      <c r="W21" s="230"/>
    </row>
    <row r="22" spans="1:23" ht="24.75" customHeight="1" x14ac:dyDescent="0.35">
      <c r="A22" s="229">
        <v>18</v>
      </c>
      <c r="B22" s="212" t="s">
        <v>82</v>
      </c>
      <c r="C22" s="230">
        <v>2</v>
      </c>
      <c r="D22" s="230">
        <v>4</v>
      </c>
      <c r="E22" s="230">
        <v>6</v>
      </c>
      <c r="F22" s="230"/>
      <c r="G22" s="230">
        <v>1</v>
      </c>
      <c r="H22" s="230">
        <v>1</v>
      </c>
      <c r="I22" s="230">
        <v>32</v>
      </c>
      <c r="J22" s="230">
        <v>24</v>
      </c>
      <c r="K22" s="230">
        <v>56</v>
      </c>
      <c r="L22" s="230"/>
      <c r="M22" s="230">
        <v>3</v>
      </c>
      <c r="N22" s="230">
        <v>3</v>
      </c>
      <c r="O22" s="230"/>
      <c r="P22" s="230">
        <v>1</v>
      </c>
      <c r="Q22" s="230">
        <v>1</v>
      </c>
      <c r="R22" s="230">
        <v>34</v>
      </c>
      <c r="S22" s="230">
        <v>33</v>
      </c>
      <c r="T22" s="230">
        <v>67</v>
      </c>
      <c r="U22" s="230"/>
      <c r="V22" s="230"/>
      <c r="W22" s="230"/>
    </row>
    <row r="23" spans="1:23" ht="24.75" customHeight="1" x14ac:dyDescent="0.35">
      <c r="A23" s="229">
        <v>19</v>
      </c>
      <c r="B23" s="212" t="s">
        <v>29</v>
      </c>
      <c r="C23" s="230">
        <v>3792</v>
      </c>
      <c r="D23" s="230">
        <v>2245</v>
      </c>
      <c r="E23" s="230">
        <v>6037</v>
      </c>
      <c r="F23" s="230">
        <v>3255</v>
      </c>
      <c r="G23" s="230">
        <v>2160</v>
      </c>
      <c r="H23" s="230">
        <v>5415</v>
      </c>
      <c r="I23" s="230">
        <v>22751</v>
      </c>
      <c r="J23" s="230">
        <v>17842</v>
      </c>
      <c r="K23" s="230">
        <v>40593</v>
      </c>
      <c r="L23" s="230">
        <v>1408</v>
      </c>
      <c r="M23" s="230">
        <v>2685</v>
      </c>
      <c r="N23" s="230">
        <v>4093</v>
      </c>
      <c r="O23" s="230">
        <v>2921</v>
      </c>
      <c r="P23" s="230">
        <v>2618</v>
      </c>
      <c r="Q23" s="230">
        <v>5539</v>
      </c>
      <c r="R23" s="230">
        <v>34229</v>
      </c>
      <c r="S23" s="230">
        <v>27660</v>
      </c>
      <c r="T23" s="230">
        <v>61889</v>
      </c>
      <c r="U23" s="230">
        <v>102</v>
      </c>
      <c r="V23" s="230">
        <v>110</v>
      </c>
      <c r="W23" s="230">
        <v>212</v>
      </c>
    </row>
    <row r="24" spans="1:23" ht="26.25" customHeight="1" x14ac:dyDescent="0.35">
      <c r="A24" s="229">
        <v>20</v>
      </c>
      <c r="B24" s="212" t="s">
        <v>30</v>
      </c>
      <c r="C24" s="230">
        <v>8585</v>
      </c>
      <c r="D24" s="230">
        <v>3484</v>
      </c>
      <c r="E24" s="230">
        <v>12069</v>
      </c>
      <c r="F24" s="230">
        <v>9941</v>
      </c>
      <c r="G24" s="230">
        <v>5030</v>
      </c>
      <c r="H24" s="230">
        <v>14971</v>
      </c>
      <c r="I24" s="230">
        <v>48200</v>
      </c>
      <c r="J24" s="230">
        <v>42878</v>
      </c>
      <c r="K24" s="230">
        <v>91078</v>
      </c>
      <c r="L24" s="230">
        <v>1727</v>
      </c>
      <c r="M24" s="230">
        <v>2506</v>
      </c>
      <c r="N24" s="230">
        <v>4233</v>
      </c>
      <c r="O24" s="230">
        <v>4596</v>
      </c>
      <c r="P24" s="230">
        <v>5239</v>
      </c>
      <c r="Q24" s="230">
        <v>9835</v>
      </c>
      <c r="R24" s="230">
        <v>74655</v>
      </c>
      <c r="S24" s="230">
        <v>60728</v>
      </c>
      <c r="T24" s="230">
        <v>135383</v>
      </c>
      <c r="U24" s="230">
        <v>1606</v>
      </c>
      <c r="V24" s="230">
        <v>1591</v>
      </c>
      <c r="W24" s="230">
        <v>3197</v>
      </c>
    </row>
    <row r="25" spans="1:23" ht="24.75" customHeight="1" x14ac:dyDescent="0.35">
      <c r="A25" s="229">
        <v>21</v>
      </c>
      <c r="B25" s="212" t="s">
        <v>31</v>
      </c>
      <c r="C25" s="230">
        <v>139</v>
      </c>
      <c r="D25" s="230">
        <v>77</v>
      </c>
      <c r="E25" s="230">
        <v>216</v>
      </c>
      <c r="F25" s="230">
        <v>334</v>
      </c>
      <c r="G25" s="230">
        <v>243</v>
      </c>
      <c r="H25" s="230">
        <v>577</v>
      </c>
      <c r="I25" s="230">
        <v>1959</v>
      </c>
      <c r="J25" s="230">
        <v>2296</v>
      </c>
      <c r="K25" s="230">
        <v>4255</v>
      </c>
      <c r="L25" s="230">
        <v>40</v>
      </c>
      <c r="M25" s="230">
        <v>153</v>
      </c>
      <c r="N25" s="230">
        <v>193</v>
      </c>
      <c r="O25" s="230">
        <v>46</v>
      </c>
      <c r="P25" s="230">
        <v>66</v>
      </c>
      <c r="Q25" s="230">
        <v>112</v>
      </c>
      <c r="R25" s="230">
        <v>2521</v>
      </c>
      <c r="S25" s="230">
        <v>2836</v>
      </c>
      <c r="T25" s="230">
        <v>5357</v>
      </c>
      <c r="U25" s="230">
        <v>3</v>
      </c>
      <c r="V25" s="230">
        <v>1</v>
      </c>
      <c r="W25" s="230">
        <v>4</v>
      </c>
    </row>
    <row r="26" spans="1:23" ht="24.75" customHeight="1" x14ac:dyDescent="0.35">
      <c r="A26" s="229">
        <v>22</v>
      </c>
      <c r="B26" s="212" t="s">
        <v>32</v>
      </c>
      <c r="C26" s="230">
        <v>65</v>
      </c>
      <c r="D26" s="230">
        <v>53</v>
      </c>
      <c r="E26" s="230">
        <v>118</v>
      </c>
      <c r="F26" s="230">
        <v>133</v>
      </c>
      <c r="G26" s="230">
        <v>158</v>
      </c>
      <c r="H26" s="230">
        <v>291</v>
      </c>
      <c r="I26" s="230">
        <v>879</v>
      </c>
      <c r="J26" s="230">
        <v>1461</v>
      </c>
      <c r="K26" s="230">
        <v>2340</v>
      </c>
      <c r="L26" s="230">
        <v>2</v>
      </c>
      <c r="M26" s="230">
        <v>16</v>
      </c>
      <c r="N26" s="230">
        <v>18</v>
      </c>
      <c r="O26" s="230">
        <v>38</v>
      </c>
      <c r="P26" s="230">
        <v>59</v>
      </c>
      <c r="Q26" s="230">
        <v>97</v>
      </c>
      <c r="R26" s="230">
        <v>1117</v>
      </c>
      <c r="S26" s="230">
        <v>1747</v>
      </c>
      <c r="T26" s="230">
        <v>2864</v>
      </c>
      <c r="U26" s="230"/>
      <c r="V26" s="230"/>
      <c r="W26" s="230"/>
    </row>
    <row r="27" spans="1:23" ht="24.75" customHeight="1" x14ac:dyDescent="0.35">
      <c r="A27" s="229">
        <v>23</v>
      </c>
      <c r="B27" s="212" t="s">
        <v>33</v>
      </c>
      <c r="C27" s="230">
        <v>68</v>
      </c>
      <c r="D27" s="230">
        <v>23</v>
      </c>
      <c r="E27" s="230">
        <v>91</v>
      </c>
      <c r="F27" s="230">
        <v>189</v>
      </c>
      <c r="G27" s="230">
        <v>193</v>
      </c>
      <c r="H27" s="230">
        <v>382</v>
      </c>
      <c r="I27" s="230">
        <v>326</v>
      </c>
      <c r="J27" s="230">
        <v>367</v>
      </c>
      <c r="K27" s="230">
        <v>693</v>
      </c>
      <c r="L27" s="230">
        <v>27</v>
      </c>
      <c r="M27" s="230">
        <v>73</v>
      </c>
      <c r="N27" s="230">
        <v>100</v>
      </c>
      <c r="O27" s="230">
        <v>121</v>
      </c>
      <c r="P27" s="230">
        <v>125</v>
      </c>
      <c r="Q27" s="230">
        <v>246</v>
      </c>
      <c r="R27" s="230">
        <v>731</v>
      </c>
      <c r="S27" s="230">
        <v>781</v>
      </c>
      <c r="T27" s="230">
        <v>1512</v>
      </c>
      <c r="U27" s="230"/>
      <c r="V27" s="230"/>
      <c r="W27" s="230"/>
    </row>
    <row r="28" spans="1:23" ht="24.75" customHeight="1" x14ac:dyDescent="0.35">
      <c r="A28" s="229">
        <v>24</v>
      </c>
      <c r="B28" s="212" t="s">
        <v>34</v>
      </c>
      <c r="C28" s="230">
        <v>44</v>
      </c>
      <c r="D28" s="230">
        <v>27</v>
      </c>
      <c r="E28" s="230">
        <v>71</v>
      </c>
      <c r="F28" s="230">
        <v>38</v>
      </c>
      <c r="G28" s="230">
        <v>63</v>
      </c>
      <c r="H28" s="230">
        <v>101</v>
      </c>
      <c r="I28" s="230">
        <v>627</v>
      </c>
      <c r="J28" s="230">
        <v>1089</v>
      </c>
      <c r="K28" s="230">
        <v>1716</v>
      </c>
      <c r="L28" s="230">
        <v>18</v>
      </c>
      <c r="M28" s="230">
        <v>48</v>
      </c>
      <c r="N28" s="230">
        <v>66</v>
      </c>
      <c r="O28" s="230">
        <v>18</v>
      </c>
      <c r="P28" s="230">
        <v>25</v>
      </c>
      <c r="Q28" s="230">
        <v>43</v>
      </c>
      <c r="R28" s="230">
        <v>749</v>
      </c>
      <c r="S28" s="230">
        <v>1258</v>
      </c>
      <c r="T28" s="230">
        <v>2007</v>
      </c>
      <c r="U28" s="230">
        <v>4</v>
      </c>
      <c r="V28" s="230">
        <v>6</v>
      </c>
      <c r="W28" s="230">
        <v>10</v>
      </c>
    </row>
    <row r="29" spans="1:23" ht="24.75" customHeight="1" x14ac:dyDescent="0.35">
      <c r="A29" s="229">
        <v>25</v>
      </c>
      <c r="B29" s="212" t="s">
        <v>35</v>
      </c>
      <c r="C29" s="230">
        <v>1432</v>
      </c>
      <c r="D29" s="230">
        <v>537</v>
      </c>
      <c r="E29" s="230">
        <v>1969</v>
      </c>
      <c r="F29" s="230">
        <v>1872</v>
      </c>
      <c r="G29" s="230">
        <v>869</v>
      </c>
      <c r="H29" s="230">
        <v>2741</v>
      </c>
      <c r="I29" s="230">
        <v>13318</v>
      </c>
      <c r="J29" s="230">
        <v>9876</v>
      </c>
      <c r="K29" s="230">
        <v>23194</v>
      </c>
      <c r="L29" s="230">
        <v>924</v>
      </c>
      <c r="M29" s="230">
        <v>1208</v>
      </c>
      <c r="N29" s="230">
        <v>2132</v>
      </c>
      <c r="O29" s="230">
        <v>704</v>
      </c>
      <c r="P29" s="230">
        <v>837</v>
      </c>
      <c r="Q29" s="230">
        <v>1541</v>
      </c>
      <c r="R29" s="230">
        <v>18327</v>
      </c>
      <c r="S29" s="230">
        <v>13369</v>
      </c>
      <c r="T29" s="230">
        <v>31696</v>
      </c>
      <c r="U29" s="230">
        <v>77</v>
      </c>
      <c r="V29" s="230">
        <v>42</v>
      </c>
      <c r="W29" s="230">
        <v>119</v>
      </c>
    </row>
    <row r="30" spans="1:23" ht="24.75" customHeight="1" x14ac:dyDescent="0.35">
      <c r="A30" s="229">
        <v>26</v>
      </c>
      <c r="B30" s="215" t="s">
        <v>36</v>
      </c>
      <c r="C30" s="230">
        <v>320</v>
      </c>
      <c r="D30" s="230">
        <v>186</v>
      </c>
      <c r="E30" s="230">
        <v>506</v>
      </c>
      <c r="F30" s="230">
        <v>298</v>
      </c>
      <c r="G30" s="230">
        <v>220</v>
      </c>
      <c r="H30" s="230">
        <v>518</v>
      </c>
      <c r="I30" s="230">
        <v>1500</v>
      </c>
      <c r="J30" s="230">
        <v>1612</v>
      </c>
      <c r="K30" s="230">
        <v>3112</v>
      </c>
      <c r="L30" s="230">
        <v>121</v>
      </c>
      <c r="M30" s="230">
        <v>278</v>
      </c>
      <c r="N30" s="230">
        <v>399</v>
      </c>
      <c r="O30" s="230">
        <v>51</v>
      </c>
      <c r="P30" s="230">
        <v>85</v>
      </c>
      <c r="Q30" s="230">
        <v>136</v>
      </c>
      <c r="R30" s="230">
        <v>2291</v>
      </c>
      <c r="S30" s="230">
        <v>2381</v>
      </c>
      <c r="T30" s="230">
        <v>4672</v>
      </c>
      <c r="U30" s="230">
        <v>1</v>
      </c>
      <c r="V30" s="230"/>
      <c r="W30" s="230">
        <v>1</v>
      </c>
    </row>
    <row r="31" spans="1:23" ht="24.75" customHeight="1" x14ac:dyDescent="0.35">
      <c r="A31" s="229">
        <v>27</v>
      </c>
      <c r="B31" s="212" t="s">
        <v>37</v>
      </c>
      <c r="C31" s="230">
        <v>990</v>
      </c>
      <c r="D31" s="230">
        <v>909</v>
      </c>
      <c r="E31" s="230">
        <v>1899</v>
      </c>
      <c r="F31" s="230">
        <v>1005</v>
      </c>
      <c r="G31" s="230">
        <v>1290</v>
      </c>
      <c r="H31" s="230">
        <v>2295</v>
      </c>
      <c r="I31" s="230">
        <v>6855</v>
      </c>
      <c r="J31" s="230">
        <v>14887</v>
      </c>
      <c r="K31" s="230">
        <v>21742</v>
      </c>
      <c r="L31" s="230">
        <v>305</v>
      </c>
      <c r="M31" s="230">
        <v>2565</v>
      </c>
      <c r="N31" s="230">
        <v>2870</v>
      </c>
      <c r="O31" s="230">
        <v>434</v>
      </c>
      <c r="P31" s="230">
        <v>1260</v>
      </c>
      <c r="Q31" s="230">
        <v>1694</v>
      </c>
      <c r="R31" s="230">
        <v>9699</v>
      </c>
      <c r="S31" s="230">
        <v>21140</v>
      </c>
      <c r="T31" s="230">
        <v>30839</v>
      </c>
      <c r="U31" s="230">
        <v>110</v>
      </c>
      <c r="V31" s="230">
        <v>229</v>
      </c>
      <c r="W31" s="230">
        <v>339</v>
      </c>
    </row>
    <row r="32" spans="1:23" ht="24.75" customHeight="1" x14ac:dyDescent="0.35">
      <c r="A32" s="229">
        <v>28</v>
      </c>
      <c r="B32" s="216" t="s">
        <v>38</v>
      </c>
      <c r="C32" s="230">
        <v>4221</v>
      </c>
      <c r="D32" s="230">
        <v>2001</v>
      </c>
      <c r="E32" s="230">
        <v>6222</v>
      </c>
      <c r="F32" s="230">
        <v>2685</v>
      </c>
      <c r="G32" s="230">
        <v>1606</v>
      </c>
      <c r="H32" s="230">
        <v>4291</v>
      </c>
      <c r="I32" s="230">
        <v>32690</v>
      </c>
      <c r="J32" s="230">
        <v>18870</v>
      </c>
      <c r="K32" s="230">
        <v>51560</v>
      </c>
      <c r="L32" s="230">
        <v>2070</v>
      </c>
      <c r="M32" s="230">
        <v>999</v>
      </c>
      <c r="N32" s="230">
        <v>3069</v>
      </c>
      <c r="O32" s="230">
        <v>598</v>
      </c>
      <c r="P32" s="230">
        <v>303</v>
      </c>
      <c r="Q32" s="230">
        <v>901</v>
      </c>
      <c r="R32" s="230">
        <v>42297</v>
      </c>
      <c r="S32" s="230">
        <v>23796</v>
      </c>
      <c r="T32" s="230">
        <v>66093</v>
      </c>
      <c r="U32" s="230">
        <v>33</v>
      </c>
      <c r="V32" s="230">
        <v>17</v>
      </c>
      <c r="W32" s="230">
        <v>50</v>
      </c>
    </row>
    <row r="33" spans="1:23" ht="24.75" customHeight="1" x14ac:dyDescent="0.35">
      <c r="A33" s="229">
        <v>29</v>
      </c>
      <c r="B33" s="217" t="s">
        <v>39</v>
      </c>
      <c r="C33" s="230">
        <v>14</v>
      </c>
      <c r="D33" s="230">
        <v>3</v>
      </c>
      <c r="E33" s="230">
        <v>17</v>
      </c>
      <c r="F33" s="230">
        <v>24</v>
      </c>
      <c r="G33" s="230">
        <v>16</v>
      </c>
      <c r="H33" s="230">
        <v>40</v>
      </c>
      <c r="I33" s="230">
        <v>300</v>
      </c>
      <c r="J33" s="230">
        <v>268</v>
      </c>
      <c r="K33" s="230">
        <v>568</v>
      </c>
      <c r="L33" s="230"/>
      <c r="M33" s="230">
        <v>10</v>
      </c>
      <c r="N33" s="230">
        <v>10</v>
      </c>
      <c r="O33" s="230">
        <v>7</v>
      </c>
      <c r="P33" s="230">
        <v>7</v>
      </c>
      <c r="Q33" s="230">
        <v>14</v>
      </c>
      <c r="R33" s="230">
        <v>345</v>
      </c>
      <c r="S33" s="230">
        <v>304</v>
      </c>
      <c r="T33" s="230">
        <v>649</v>
      </c>
      <c r="U33" s="230"/>
      <c r="V33" s="230"/>
      <c r="W33" s="230"/>
    </row>
    <row r="34" spans="1:23" ht="24.75" customHeight="1" x14ac:dyDescent="0.35">
      <c r="A34" s="229">
        <v>30</v>
      </c>
      <c r="B34" s="218" t="s">
        <v>40</v>
      </c>
      <c r="C34" s="230">
        <v>7742</v>
      </c>
      <c r="D34" s="230">
        <v>4979</v>
      </c>
      <c r="E34" s="230">
        <v>12721</v>
      </c>
      <c r="F34" s="230">
        <v>9581</v>
      </c>
      <c r="G34" s="230">
        <v>8727</v>
      </c>
      <c r="H34" s="230">
        <v>18308</v>
      </c>
      <c r="I34" s="230">
        <v>49813</v>
      </c>
      <c r="J34" s="230">
        <v>68278</v>
      </c>
      <c r="K34" s="230">
        <v>118091</v>
      </c>
      <c r="L34" s="230">
        <v>2558</v>
      </c>
      <c r="M34" s="230">
        <v>6591</v>
      </c>
      <c r="N34" s="230">
        <v>9149</v>
      </c>
      <c r="O34" s="230">
        <v>3032</v>
      </c>
      <c r="P34" s="230">
        <v>4029</v>
      </c>
      <c r="Q34" s="230">
        <v>7061</v>
      </c>
      <c r="R34" s="230">
        <v>72932</v>
      </c>
      <c r="S34" s="230">
        <v>92762</v>
      </c>
      <c r="T34" s="230">
        <v>165694</v>
      </c>
      <c r="U34" s="230">
        <v>206</v>
      </c>
      <c r="V34" s="230">
        <v>158</v>
      </c>
      <c r="W34" s="230">
        <v>364</v>
      </c>
    </row>
    <row r="35" spans="1:23" ht="24.75" customHeight="1" x14ac:dyDescent="0.35">
      <c r="A35" s="229">
        <v>31</v>
      </c>
      <c r="B35" s="219" t="s">
        <v>41</v>
      </c>
      <c r="C35" s="230">
        <v>4087</v>
      </c>
      <c r="D35" s="230">
        <v>1661</v>
      </c>
      <c r="E35" s="230">
        <v>5748</v>
      </c>
      <c r="F35" s="230">
        <v>4224</v>
      </c>
      <c r="G35" s="230">
        <v>2605</v>
      </c>
      <c r="H35" s="230">
        <v>6829</v>
      </c>
      <c r="I35" s="230">
        <v>26464</v>
      </c>
      <c r="J35" s="230">
        <v>23795</v>
      </c>
      <c r="K35" s="230">
        <v>50259</v>
      </c>
      <c r="L35" s="230">
        <v>1013</v>
      </c>
      <c r="M35" s="230">
        <v>2217</v>
      </c>
      <c r="N35" s="230">
        <v>3230</v>
      </c>
      <c r="O35" s="230">
        <v>939</v>
      </c>
      <c r="P35" s="230">
        <v>969</v>
      </c>
      <c r="Q35" s="230">
        <v>1908</v>
      </c>
      <c r="R35" s="230">
        <v>36779</v>
      </c>
      <c r="S35" s="230">
        <v>31267</v>
      </c>
      <c r="T35" s="230">
        <v>68046</v>
      </c>
      <c r="U35" s="230">
        <v>52</v>
      </c>
      <c r="V35" s="230">
        <v>20</v>
      </c>
      <c r="W35" s="230">
        <v>72</v>
      </c>
    </row>
    <row r="36" spans="1:23" ht="30" x14ac:dyDescent="0.35">
      <c r="A36" s="229">
        <v>32</v>
      </c>
      <c r="B36" s="219" t="s">
        <v>58</v>
      </c>
      <c r="C36" s="230">
        <v>20</v>
      </c>
      <c r="D36" s="230">
        <v>14</v>
      </c>
      <c r="E36" s="230">
        <v>34</v>
      </c>
      <c r="F36" s="230">
        <v>32</v>
      </c>
      <c r="G36" s="230">
        <v>21</v>
      </c>
      <c r="H36" s="230">
        <v>53</v>
      </c>
      <c r="I36" s="230">
        <v>223</v>
      </c>
      <c r="J36" s="230">
        <v>180</v>
      </c>
      <c r="K36" s="230">
        <v>403</v>
      </c>
      <c r="L36" s="230">
        <v>13</v>
      </c>
      <c r="M36" s="230">
        <v>58</v>
      </c>
      <c r="N36" s="230">
        <v>71</v>
      </c>
      <c r="O36" s="230">
        <v>18</v>
      </c>
      <c r="P36" s="230">
        <v>15</v>
      </c>
      <c r="Q36" s="230">
        <v>33</v>
      </c>
      <c r="R36" s="230">
        <v>318</v>
      </c>
      <c r="S36" s="230">
        <v>300</v>
      </c>
      <c r="T36" s="230">
        <v>618</v>
      </c>
      <c r="U36" s="230">
        <v>12</v>
      </c>
      <c r="V36" s="230">
        <v>12</v>
      </c>
      <c r="W36" s="230">
        <v>24</v>
      </c>
    </row>
    <row r="37" spans="1:23" ht="24.75" customHeight="1" x14ac:dyDescent="0.35">
      <c r="A37" s="229">
        <v>33</v>
      </c>
      <c r="B37" s="218" t="s">
        <v>42</v>
      </c>
      <c r="C37" s="230">
        <v>94</v>
      </c>
      <c r="D37" s="230">
        <v>28</v>
      </c>
      <c r="E37" s="230">
        <v>122</v>
      </c>
      <c r="F37" s="230">
        <v>186</v>
      </c>
      <c r="G37" s="230">
        <v>76</v>
      </c>
      <c r="H37" s="230">
        <v>262</v>
      </c>
      <c r="I37" s="230">
        <v>640</v>
      </c>
      <c r="J37" s="230">
        <v>364</v>
      </c>
      <c r="K37" s="230">
        <v>1004</v>
      </c>
      <c r="L37" s="230">
        <v>162</v>
      </c>
      <c r="M37" s="230">
        <v>173</v>
      </c>
      <c r="N37" s="230">
        <v>335</v>
      </c>
      <c r="O37" s="230">
        <v>200</v>
      </c>
      <c r="P37" s="230">
        <v>138</v>
      </c>
      <c r="Q37" s="230">
        <v>338</v>
      </c>
      <c r="R37" s="230">
        <v>1326</v>
      </c>
      <c r="S37" s="230">
        <v>822</v>
      </c>
      <c r="T37" s="230">
        <v>2148</v>
      </c>
      <c r="U37" s="230">
        <v>44</v>
      </c>
      <c r="V37" s="230">
        <v>43</v>
      </c>
      <c r="W37" s="230">
        <v>87</v>
      </c>
    </row>
    <row r="38" spans="1:23" ht="24.75" customHeight="1" x14ac:dyDescent="0.35">
      <c r="A38" s="229">
        <v>34</v>
      </c>
      <c r="B38" s="212" t="s">
        <v>43</v>
      </c>
      <c r="C38" s="230">
        <v>9454</v>
      </c>
      <c r="D38" s="230">
        <v>3446</v>
      </c>
      <c r="E38" s="230">
        <v>12900</v>
      </c>
      <c r="F38" s="230">
        <v>7664</v>
      </c>
      <c r="G38" s="230">
        <v>3735</v>
      </c>
      <c r="H38" s="230">
        <v>11399</v>
      </c>
      <c r="I38" s="230">
        <v>80682</v>
      </c>
      <c r="J38" s="230">
        <v>37043</v>
      </c>
      <c r="K38" s="230">
        <v>117725</v>
      </c>
      <c r="L38" s="230">
        <v>1953</v>
      </c>
      <c r="M38" s="230">
        <v>2532</v>
      </c>
      <c r="N38" s="230">
        <v>4485</v>
      </c>
      <c r="O38" s="230">
        <v>8198</v>
      </c>
      <c r="P38" s="230">
        <v>3047</v>
      </c>
      <c r="Q38" s="230">
        <v>11245</v>
      </c>
      <c r="R38" s="230">
        <v>108067</v>
      </c>
      <c r="S38" s="230">
        <v>49865</v>
      </c>
      <c r="T38" s="230">
        <v>157932</v>
      </c>
      <c r="U38" s="230">
        <v>116</v>
      </c>
      <c r="V38" s="230">
        <v>62</v>
      </c>
      <c r="W38" s="230">
        <v>178</v>
      </c>
    </row>
    <row r="39" spans="1:23" ht="24.75" customHeight="1" x14ac:dyDescent="0.35">
      <c r="A39" s="229">
        <v>35</v>
      </c>
      <c r="B39" s="212" t="s">
        <v>44</v>
      </c>
      <c r="C39" s="230">
        <v>617</v>
      </c>
      <c r="D39" s="230">
        <v>290</v>
      </c>
      <c r="E39" s="230">
        <v>907</v>
      </c>
      <c r="F39" s="230">
        <v>483</v>
      </c>
      <c r="G39" s="230">
        <v>360</v>
      </c>
      <c r="H39" s="230">
        <v>843</v>
      </c>
      <c r="I39" s="230">
        <v>3619</v>
      </c>
      <c r="J39" s="230">
        <v>3039</v>
      </c>
      <c r="K39" s="230">
        <v>6658</v>
      </c>
      <c r="L39" s="230">
        <v>145</v>
      </c>
      <c r="M39" s="230">
        <v>382</v>
      </c>
      <c r="N39" s="230">
        <v>527</v>
      </c>
      <c r="O39" s="230">
        <v>402</v>
      </c>
      <c r="P39" s="230">
        <v>330</v>
      </c>
      <c r="Q39" s="230">
        <v>732</v>
      </c>
      <c r="R39" s="230">
        <v>5270</v>
      </c>
      <c r="S39" s="230">
        <v>4410</v>
      </c>
      <c r="T39" s="230">
        <v>9680</v>
      </c>
      <c r="U39" s="230">
        <v>4</v>
      </c>
      <c r="V39" s="230">
        <v>9</v>
      </c>
      <c r="W39" s="230">
        <v>13</v>
      </c>
    </row>
    <row r="40" spans="1:23" ht="24.75" customHeight="1" x14ac:dyDescent="0.35">
      <c r="A40" s="229">
        <v>36</v>
      </c>
      <c r="B40" s="212" t="s">
        <v>45</v>
      </c>
      <c r="C40" s="230">
        <v>2341</v>
      </c>
      <c r="D40" s="230">
        <v>752</v>
      </c>
      <c r="E40" s="230">
        <v>3093</v>
      </c>
      <c r="F40" s="230">
        <v>3635</v>
      </c>
      <c r="G40" s="230">
        <v>2364</v>
      </c>
      <c r="H40" s="230">
        <v>5999</v>
      </c>
      <c r="I40" s="230">
        <v>21083</v>
      </c>
      <c r="J40" s="230">
        <v>11574</v>
      </c>
      <c r="K40" s="230">
        <v>32657</v>
      </c>
      <c r="L40" s="230">
        <v>944</v>
      </c>
      <c r="M40" s="230">
        <v>1693</v>
      </c>
      <c r="N40" s="230">
        <v>2637</v>
      </c>
      <c r="O40" s="230">
        <v>6866</v>
      </c>
      <c r="P40" s="230">
        <v>5924</v>
      </c>
      <c r="Q40" s="230">
        <v>12790</v>
      </c>
      <c r="R40" s="230">
        <v>35257</v>
      </c>
      <c r="S40" s="230">
        <v>22555</v>
      </c>
      <c r="T40" s="230">
        <v>57812</v>
      </c>
      <c r="U40" s="230">
        <v>388</v>
      </c>
      <c r="V40" s="230">
        <v>248</v>
      </c>
      <c r="W40" s="230">
        <v>636</v>
      </c>
    </row>
    <row r="41" spans="1:23" s="233" customFormat="1" ht="24.75" customHeight="1" x14ac:dyDescent="0.35">
      <c r="A41" s="659" t="s">
        <v>46</v>
      </c>
      <c r="B41" s="659"/>
      <c r="C41" s="232">
        <v>70424</v>
      </c>
      <c r="D41" s="232">
        <v>33604</v>
      </c>
      <c r="E41" s="232">
        <v>104028</v>
      </c>
      <c r="F41" s="232">
        <v>73009</v>
      </c>
      <c r="G41" s="232">
        <v>49426</v>
      </c>
      <c r="H41" s="232">
        <v>122435</v>
      </c>
      <c r="I41" s="232">
        <v>470788</v>
      </c>
      <c r="J41" s="232">
        <v>407884</v>
      </c>
      <c r="K41" s="232">
        <v>878672</v>
      </c>
      <c r="L41" s="232">
        <v>22812</v>
      </c>
      <c r="M41" s="232">
        <v>43606</v>
      </c>
      <c r="N41" s="232">
        <v>66418</v>
      </c>
      <c r="O41" s="232">
        <v>43117</v>
      </c>
      <c r="P41" s="232">
        <v>40256</v>
      </c>
      <c r="Q41" s="232">
        <v>83373</v>
      </c>
      <c r="R41" s="232">
        <v>684604</v>
      </c>
      <c r="S41" s="232">
        <v>578868</v>
      </c>
      <c r="T41" s="232">
        <v>1263472</v>
      </c>
      <c r="U41" s="232">
        <v>4454</v>
      </c>
      <c r="V41" s="232">
        <v>4092</v>
      </c>
      <c r="W41" s="232">
        <v>8546</v>
      </c>
    </row>
  </sheetData>
  <mergeCells count="13">
    <mergeCell ref="R2:T2"/>
    <mergeCell ref="U2:W2"/>
    <mergeCell ref="A41:B41"/>
    <mergeCell ref="C1:H1"/>
    <mergeCell ref="I1:N1"/>
    <mergeCell ref="O1:W1"/>
    <mergeCell ref="A2:A3"/>
    <mergeCell ref="B2:B3"/>
    <mergeCell ref="C2:E2"/>
    <mergeCell ref="F2:H2"/>
    <mergeCell ref="I2:K2"/>
    <mergeCell ref="L2:N2"/>
    <mergeCell ref="O2:Q2"/>
  </mergeCells>
  <pageMargins left="0.39370078740157483" right="0.15748031496062992" top="0.39370078740157483" bottom="0.39370078740157483" header="0.31496062992125984" footer="0.19685039370078741"/>
  <pageSetup paperSize="9" scale="80" firstPageNumber="2" orientation="portrait" r:id="rId1"/>
  <headerFooter>
    <oddFooter>&amp;L&amp;"Arial,Italic"&amp;9AISHE 2023-24&amp;RT-22a</oddFooter>
  </headerFooter>
  <colBreaks count="2" manualBreakCount="2">
    <brk id="8" max="39" man="1"/>
    <brk id="14" max="39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B66F-A595-43F8-9A56-13770CFBC2FE}">
  <dimension ref="A1:W39"/>
  <sheetViews>
    <sheetView showZeros="0" view="pageBreakPreview" zoomScaleSheetLayoutView="100" workbookViewId="0">
      <selection activeCell="B16" sqref="B16:M16"/>
    </sheetView>
  </sheetViews>
  <sheetFormatPr defaultColWidth="9.26953125" defaultRowHeight="13" x14ac:dyDescent="0.35"/>
  <cols>
    <col min="1" max="1" width="4.453125" style="235" customWidth="1"/>
    <col min="2" max="2" width="17" style="235" customWidth="1"/>
    <col min="3" max="11" width="9.453125" style="246" customWidth="1"/>
    <col min="12" max="12" width="6.26953125" style="246" bestFit="1" customWidth="1"/>
    <col min="13" max="13" width="6.54296875" style="246" bestFit="1" customWidth="1"/>
    <col min="14" max="14" width="7.26953125" style="246" bestFit="1" customWidth="1"/>
    <col min="15" max="15" width="6.26953125" style="246" bestFit="1" customWidth="1"/>
    <col min="16" max="16" width="6.54296875" style="246" bestFit="1" customWidth="1"/>
    <col min="17" max="17" width="7.26953125" style="246" bestFit="1" customWidth="1"/>
    <col min="18" max="20" width="8.7265625" style="246" bestFit="1" customWidth="1"/>
    <col min="21" max="21" width="6.26953125" style="246" bestFit="1" customWidth="1"/>
    <col min="22" max="22" width="6.54296875" style="246" bestFit="1" customWidth="1"/>
    <col min="23" max="23" width="6.26953125" style="246" bestFit="1" customWidth="1"/>
    <col min="24" max="16384" width="9.26953125" style="235"/>
  </cols>
  <sheetData>
    <row r="1" spans="1:23" ht="33.75" customHeight="1" x14ac:dyDescent="0.35">
      <c r="B1" s="236"/>
      <c r="C1" s="814" t="s">
        <v>1005</v>
      </c>
      <c r="D1" s="814"/>
      <c r="E1" s="814"/>
      <c r="F1" s="814"/>
      <c r="G1" s="814"/>
      <c r="H1" s="814"/>
      <c r="I1" s="814"/>
      <c r="J1" s="814"/>
      <c r="K1" s="814"/>
      <c r="L1" s="814" t="str">
        <f>C1</f>
        <v>Table 22b. States/UTs-wsie Number of Teachers in Universities teaching departments and it's Constituent Units/Off-campus Centres (Based on Actual Response)</v>
      </c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</row>
    <row r="2" spans="1:23" s="239" customFormat="1" x14ac:dyDescent="0.35">
      <c r="A2" s="822" t="s">
        <v>84</v>
      </c>
      <c r="B2" s="823" t="s">
        <v>885</v>
      </c>
      <c r="C2" s="824" t="s">
        <v>890</v>
      </c>
      <c r="D2" s="824"/>
      <c r="E2" s="824"/>
      <c r="F2" s="824" t="s">
        <v>891</v>
      </c>
      <c r="G2" s="825"/>
      <c r="H2" s="825"/>
      <c r="I2" s="824" t="s">
        <v>892</v>
      </c>
      <c r="J2" s="825"/>
      <c r="K2" s="825"/>
      <c r="L2" s="824" t="s">
        <v>893</v>
      </c>
      <c r="M2" s="825"/>
      <c r="N2" s="825"/>
      <c r="O2" s="824" t="s">
        <v>896</v>
      </c>
      <c r="P2" s="825"/>
      <c r="Q2" s="825"/>
      <c r="R2" s="826" t="s">
        <v>12</v>
      </c>
      <c r="S2" s="827"/>
      <c r="T2" s="828"/>
      <c r="U2" s="818" t="s">
        <v>895</v>
      </c>
      <c r="V2" s="819"/>
      <c r="W2" s="819"/>
    </row>
    <row r="3" spans="1:23" s="239" customFormat="1" x14ac:dyDescent="0.35">
      <c r="A3" s="822"/>
      <c r="B3" s="823"/>
      <c r="C3" s="237" t="s">
        <v>103</v>
      </c>
      <c r="D3" s="237" t="s">
        <v>104</v>
      </c>
      <c r="E3" s="237" t="s">
        <v>89</v>
      </c>
      <c r="F3" s="237" t="s">
        <v>103</v>
      </c>
      <c r="G3" s="237" t="s">
        <v>104</v>
      </c>
      <c r="H3" s="237" t="s">
        <v>89</v>
      </c>
      <c r="I3" s="237" t="s">
        <v>103</v>
      </c>
      <c r="J3" s="237" t="s">
        <v>104</v>
      </c>
      <c r="K3" s="237" t="s">
        <v>89</v>
      </c>
      <c r="L3" s="237" t="s">
        <v>103</v>
      </c>
      <c r="M3" s="237" t="s">
        <v>104</v>
      </c>
      <c r="N3" s="237" t="s">
        <v>89</v>
      </c>
      <c r="O3" s="237" t="s">
        <v>103</v>
      </c>
      <c r="P3" s="237" t="s">
        <v>104</v>
      </c>
      <c r="Q3" s="237" t="s">
        <v>89</v>
      </c>
      <c r="R3" s="237" t="s">
        <v>103</v>
      </c>
      <c r="S3" s="237" t="s">
        <v>104</v>
      </c>
      <c r="T3" s="237" t="s">
        <v>89</v>
      </c>
      <c r="U3" s="238" t="s">
        <v>103</v>
      </c>
      <c r="V3" s="238" t="s">
        <v>104</v>
      </c>
      <c r="W3" s="238" t="s">
        <v>89</v>
      </c>
    </row>
    <row r="4" spans="1:23" s="240" customFormat="1" ht="12" customHeight="1" x14ac:dyDescent="0.35">
      <c r="A4" s="362">
        <v>1</v>
      </c>
      <c r="B4" s="362">
        <v>2</v>
      </c>
      <c r="C4" s="362">
        <v>3</v>
      </c>
      <c r="D4" s="362">
        <v>4</v>
      </c>
      <c r="E4" s="362">
        <v>5</v>
      </c>
      <c r="F4" s="362">
        <v>6</v>
      </c>
      <c r="G4" s="362">
        <v>7</v>
      </c>
      <c r="H4" s="362">
        <v>8</v>
      </c>
      <c r="I4" s="362">
        <v>9</v>
      </c>
      <c r="J4" s="362">
        <v>10</v>
      </c>
      <c r="K4" s="362">
        <v>11</v>
      </c>
      <c r="L4" s="362">
        <v>12</v>
      </c>
      <c r="M4" s="362">
        <v>13</v>
      </c>
      <c r="N4" s="362">
        <v>14</v>
      </c>
      <c r="O4" s="362">
        <v>15</v>
      </c>
      <c r="P4" s="362">
        <v>16</v>
      </c>
      <c r="Q4" s="362">
        <v>17</v>
      </c>
      <c r="R4" s="362">
        <v>18</v>
      </c>
      <c r="S4" s="362">
        <v>19</v>
      </c>
      <c r="T4" s="362">
        <v>20</v>
      </c>
      <c r="U4" s="362">
        <v>21</v>
      </c>
      <c r="V4" s="362">
        <v>22</v>
      </c>
      <c r="W4" s="362">
        <v>23</v>
      </c>
    </row>
    <row r="5" spans="1:23" ht="22.5" customHeight="1" x14ac:dyDescent="0.35">
      <c r="A5" s="241">
        <v>1</v>
      </c>
      <c r="B5" s="242" t="s">
        <v>13</v>
      </c>
      <c r="C5" s="243">
        <v>990</v>
      </c>
      <c r="D5" s="243">
        <v>381</v>
      </c>
      <c r="E5" s="243">
        <v>1371</v>
      </c>
      <c r="F5" s="243">
        <v>894</v>
      </c>
      <c r="G5" s="243">
        <v>382</v>
      </c>
      <c r="H5" s="243">
        <v>1276</v>
      </c>
      <c r="I5" s="243">
        <v>3043</v>
      </c>
      <c r="J5" s="243">
        <v>1801</v>
      </c>
      <c r="K5" s="243">
        <v>4844</v>
      </c>
      <c r="L5" s="243">
        <v>42</v>
      </c>
      <c r="M5" s="243">
        <v>80</v>
      </c>
      <c r="N5" s="243">
        <v>122</v>
      </c>
      <c r="O5" s="243">
        <v>670</v>
      </c>
      <c r="P5" s="243">
        <v>483</v>
      </c>
      <c r="Q5" s="243">
        <v>1153</v>
      </c>
      <c r="R5" s="243">
        <v>5663</v>
      </c>
      <c r="S5" s="243">
        <v>3159</v>
      </c>
      <c r="T5" s="243">
        <v>8822</v>
      </c>
      <c r="U5" s="243">
        <v>24</v>
      </c>
      <c r="V5" s="243">
        <v>32</v>
      </c>
      <c r="W5" s="243">
        <v>56</v>
      </c>
    </row>
    <row r="6" spans="1:23" ht="22.5" customHeight="1" x14ac:dyDescent="0.35">
      <c r="A6" s="241">
        <v>2</v>
      </c>
      <c r="B6" s="242" t="s">
        <v>14</v>
      </c>
      <c r="C6" s="243">
        <v>143</v>
      </c>
      <c r="D6" s="243">
        <v>33</v>
      </c>
      <c r="E6" s="243">
        <v>176</v>
      </c>
      <c r="F6" s="243">
        <v>123</v>
      </c>
      <c r="G6" s="243">
        <v>44</v>
      </c>
      <c r="H6" s="243">
        <v>167</v>
      </c>
      <c r="I6" s="243">
        <v>441</v>
      </c>
      <c r="J6" s="243">
        <v>344</v>
      </c>
      <c r="K6" s="243">
        <v>785</v>
      </c>
      <c r="L6" s="243"/>
      <c r="M6" s="243">
        <v>21</v>
      </c>
      <c r="N6" s="243">
        <v>21</v>
      </c>
      <c r="O6" s="243">
        <v>24</v>
      </c>
      <c r="P6" s="243">
        <v>24</v>
      </c>
      <c r="Q6" s="243">
        <v>48</v>
      </c>
      <c r="R6" s="243">
        <v>731</v>
      </c>
      <c r="S6" s="243">
        <v>466</v>
      </c>
      <c r="T6" s="243">
        <v>1197</v>
      </c>
      <c r="U6" s="243"/>
      <c r="V6" s="243"/>
      <c r="W6" s="243"/>
    </row>
    <row r="7" spans="1:23" ht="22.5" customHeight="1" x14ac:dyDescent="0.35">
      <c r="A7" s="241">
        <v>3</v>
      </c>
      <c r="B7" s="242" t="s">
        <v>15</v>
      </c>
      <c r="C7" s="243">
        <v>685</v>
      </c>
      <c r="D7" s="243">
        <v>167</v>
      </c>
      <c r="E7" s="243">
        <v>852</v>
      </c>
      <c r="F7" s="243">
        <v>521</v>
      </c>
      <c r="G7" s="243">
        <v>216</v>
      </c>
      <c r="H7" s="243">
        <v>737</v>
      </c>
      <c r="I7" s="243">
        <v>1688</v>
      </c>
      <c r="J7" s="243">
        <v>1338</v>
      </c>
      <c r="K7" s="243">
        <v>3026</v>
      </c>
      <c r="L7" s="243">
        <v>11</v>
      </c>
      <c r="M7" s="243">
        <v>33</v>
      </c>
      <c r="N7" s="243">
        <v>44</v>
      </c>
      <c r="O7" s="243">
        <v>45</v>
      </c>
      <c r="P7" s="243">
        <v>57</v>
      </c>
      <c r="Q7" s="243">
        <v>102</v>
      </c>
      <c r="R7" s="243">
        <v>2953</v>
      </c>
      <c r="S7" s="243">
        <v>1812</v>
      </c>
      <c r="T7" s="243">
        <v>4765</v>
      </c>
      <c r="U7" s="243">
        <v>3</v>
      </c>
      <c r="V7" s="243">
        <v>1</v>
      </c>
      <c r="W7" s="243">
        <v>4</v>
      </c>
    </row>
    <row r="8" spans="1:23" ht="22.5" customHeight="1" x14ac:dyDescent="0.35">
      <c r="A8" s="241">
        <v>4</v>
      </c>
      <c r="B8" s="242" t="s">
        <v>16</v>
      </c>
      <c r="C8" s="243">
        <v>718</v>
      </c>
      <c r="D8" s="243">
        <v>168</v>
      </c>
      <c r="E8" s="243">
        <v>886</v>
      </c>
      <c r="F8" s="243">
        <v>567</v>
      </c>
      <c r="G8" s="243">
        <v>152</v>
      </c>
      <c r="H8" s="243">
        <v>719</v>
      </c>
      <c r="I8" s="243">
        <v>1981</v>
      </c>
      <c r="J8" s="243">
        <v>619</v>
      </c>
      <c r="K8" s="243">
        <v>2600</v>
      </c>
      <c r="L8" s="243">
        <v>364</v>
      </c>
      <c r="M8" s="243">
        <v>253</v>
      </c>
      <c r="N8" s="243">
        <v>617</v>
      </c>
      <c r="O8" s="243">
        <v>101</v>
      </c>
      <c r="P8" s="243">
        <v>46</v>
      </c>
      <c r="Q8" s="243">
        <v>147</v>
      </c>
      <c r="R8" s="243">
        <v>3764</v>
      </c>
      <c r="S8" s="243">
        <v>1248</v>
      </c>
      <c r="T8" s="243">
        <v>5012</v>
      </c>
      <c r="U8" s="243">
        <v>33</v>
      </c>
      <c r="V8" s="243">
        <v>10</v>
      </c>
      <c r="W8" s="243">
        <v>43</v>
      </c>
    </row>
    <row r="9" spans="1:23" ht="22.5" customHeight="1" x14ac:dyDescent="0.35">
      <c r="A9" s="241">
        <v>5</v>
      </c>
      <c r="B9" s="242" t="s">
        <v>17</v>
      </c>
      <c r="C9" s="243">
        <v>323</v>
      </c>
      <c r="D9" s="243">
        <v>248</v>
      </c>
      <c r="E9" s="243">
        <v>571</v>
      </c>
      <c r="F9" s="243">
        <v>171</v>
      </c>
      <c r="G9" s="243">
        <v>93</v>
      </c>
      <c r="H9" s="243">
        <v>264</v>
      </c>
      <c r="I9" s="243">
        <v>347</v>
      </c>
      <c r="J9" s="243">
        <v>367</v>
      </c>
      <c r="K9" s="243">
        <v>714</v>
      </c>
      <c r="L9" s="243"/>
      <c r="M9" s="243">
        <v>1</v>
      </c>
      <c r="N9" s="243">
        <v>1</v>
      </c>
      <c r="O9" s="243"/>
      <c r="P9" s="243"/>
      <c r="Q9" s="243"/>
      <c r="R9" s="243">
        <v>843</v>
      </c>
      <c r="S9" s="243">
        <v>713</v>
      </c>
      <c r="T9" s="243">
        <v>1556</v>
      </c>
      <c r="U9" s="243">
        <v>2</v>
      </c>
      <c r="V9" s="243">
        <v>4</v>
      </c>
      <c r="W9" s="243">
        <v>6</v>
      </c>
    </row>
    <row r="10" spans="1:23" ht="22.5" customHeight="1" x14ac:dyDescent="0.35">
      <c r="A10" s="241">
        <v>6</v>
      </c>
      <c r="B10" s="242" t="s">
        <v>18</v>
      </c>
      <c r="C10" s="243">
        <v>368</v>
      </c>
      <c r="D10" s="243">
        <v>153</v>
      </c>
      <c r="E10" s="243">
        <v>521</v>
      </c>
      <c r="F10" s="243">
        <v>337</v>
      </c>
      <c r="G10" s="243">
        <v>141</v>
      </c>
      <c r="H10" s="243">
        <v>478</v>
      </c>
      <c r="I10" s="243">
        <v>1336</v>
      </c>
      <c r="J10" s="243">
        <v>929</v>
      </c>
      <c r="K10" s="243">
        <v>2265</v>
      </c>
      <c r="L10" s="243">
        <v>8</v>
      </c>
      <c r="M10" s="243">
        <v>15</v>
      </c>
      <c r="N10" s="243">
        <v>23</v>
      </c>
      <c r="O10" s="243">
        <v>196</v>
      </c>
      <c r="P10" s="243">
        <v>196</v>
      </c>
      <c r="Q10" s="243">
        <v>392</v>
      </c>
      <c r="R10" s="243">
        <v>2264</v>
      </c>
      <c r="S10" s="243">
        <v>1454</v>
      </c>
      <c r="T10" s="243">
        <v>3718</v>
      </c>
      <c r="U10" s="243">
        <v>19</v>
      </c>
      <c r="V10" s="243">
        <v>20</v>
      </c>
      <c r="W10" s="243">
        <v>39</v>
      </c>
    </row>
    <row r="11" spans="1:23" ht="22.5" customHeight="1" x14ac:dyDescent="0.35">
      <c r="A11" s="241">
        <v>7</v>
      </c>
      <c r="B11" s="242" t="s">
        <v>19</v>
      </c>
      <c r="C11" s="151">
        <v>1632</v>
      </c>
      <c r="D11" s="243">
        <v>749</v>
      </c>
      <c r="E11" s="243">
        <v>2381</v>
      </c>
      <c r="F11" s="243">
        <v>776</v>
      </c>
      <c r="G11" s="243">
        <v>387</v>
      </c>
      <c r="H11" s="243">
        <v>1163</v>
      </c>
      <c r="I11" s="243">
        <v>2197</v>
      </c>
      <c r="J11" s="243">
        <v>1492</v>
      </c>
      <c r="K11" s="243">
        <v>3689</v>
      </c>
      <c r="L11" s="243">
        <v>6</v>
      </c>
      <c r="M11" s="243">
        <v>32</v>
      </c>
      <c r="N11" s="243">
        <v>38</v>
      </c>
      <c r="O11" s="243">
        <v>346</v>
      </c>
      <c r="P11" s="243">
        <v>319</v>
      </c>
      <c r="Q11" s="243">
        <v>665</v>
      </c>
      <c r="R11" s="243">
        <v>5057</v>
      </c>
      <c r="S11" s="243">
        <v>3046</v>
      </c>
      <c r="T11" s="243">
        <v>8103</v>
      </c>
      <c r="U11" s="243">
        <v>100</v>
      </c>
      <c r="V11" s="243">
        <v>67</v>
      </c>
      <c r="W11" s="243">
        <v>167</v>
      </c>
    </row>
    <row r="12" spans="1:23" ht="22.5" customHeight="1" x14ac:dyDescent="0.35">
      <c r="A12" s="241">
        <v>8</v>
      </c>
      <c r="B12" s="242" t="s">
        <v>20</v>
      </c>
      <c r="C12" s="243">
        <v>87</v>
      </c>
      <c r="D12" s="243">
        <v>30</v>
      </c>
      <c r="E12" s="243">
        <v>117</v>
      </c>
      <c r="F12" s="243">
        <v>89</v>
      </c>
      <c r="G12" s="243">
        <v>20</v>
      </c>
      <c r="H12" s="243">
        <v>109</v>
      </c>
      <c r="I12" s="243">
        <v>188</v>
      </c>
      <c r="J12" s="243">
        <v>163</v>
      </c>
      <c r="K12" s="243">
        <v>351</v>
      </c>
      <c r="L12" s="243"/>
      <c r="M12" s="243"/>
      <c r="N12" s="243"/>
      <c r="O12" s="243">
        <v>19</v>
      </c>
      <c r="P12" s="243">
        <v>8</v>
      </c>
      <c r="Q12" s="243">
        <v>27</v>
      </c>
      <c r="R12" s="243">
        <v>388</v>
      </c>
      <c r="S12" s="243">
        <v>225</v>
      </c>
      <c r="T12" s="243">
        <v>613</v>
      </c>
      <c r="U12" s="243">
        <v>5</v>
      </c>
      <c r="V12" s="243">
        <v>4</v>
      </c>
      <c r="W12" s="243">
        <v>9</v>
      </c>
    </row>
    <row r="13" spans="1:23" ht="22.5" customHeight="1" x14ac:dyDescent="0.35">
      <c r="A13" s="241">
        <v>9</v>
      </c>
      <c r="B13" s="242" t="s">
        <v>21</v>
      </c>
      <c r="C13" s="243">
        <v>1625</v>
      </c>
      <c r="D13" s="243">
        <v>638</v>
      </c>
      <c r="E13" s="243">
        <v>2263</v>
      </c>
      <c r="F13" s="243">
        <v>1506</v>
      </c>
      <c r="G13" s="243">
        <v>748</v>
      </c>
      <c r="H13" s="243">
        <v>2254</v>
      </c>
      <c r="I13" s="243">
        <v>7137</v>
      </c>
      <c r="J13" s="243">
        <v>6109</v>
      </c>
      <c r="K13" s="243">
        <v>13246</v>
      </c>
      <c r="L13" s="243">
        <v>443</v>
      </c>
      <c r="M13" s="243">
        <v>729</v>
      </c>
      <c r="N13" s="243">
        <v>1172</v>
      </c>
      <c r="O13" s="243">
        <v>325</v>
      </c>
      <c r="P13" s="243">
        <v>548</v>
      </c>
      <c r="Q13" s="243">
        <v>873</v>
      </c>
      <c r="R13" s="243">
        <v>11666</v>
      </c>
      <c r="S13" s="243">
        <v>9165</v>
      </c>
      <c r="T13" s="243">
        <v>20831</v>
      </c>
      <c r="U13" s="243">
        <v>630</v>
      </c>
      <c r="V13" s="243">
        <v>393</v>
      </c>
      <c r="W13" s="243">
        <v>1023</v>
      </c>
    </row>
    <row r="14" spans="1:23" ht="22.5" customHeight="1" x14ac:dyDescent="0.35">
      <c r="A14" s="241">
        <v>10</v>
      </c>
      <c r="B14" s="242" t="s">
        <v>22</v>
      </c>
      <c r="C14" s="243">
        <v>1261</v>
      </c>
      <c r="D14" s="243">
        <v>583</v>
      </c>
      <c r="E14" s="243">
        <v>1844</v>
      </c>
      <c r="F14" s="243">
        <v>847</v>
      </c>
      <c r="G14" s="243">
        <v>770</v>
      </c>
      <c r="H14" s="243">
        <v>1617</v>
      </c>
      <c r="I14" s="243">
        <v>3057</v>
      </c>
      <c r="J14" s="243">
        <v>3606</v>
      </c>
      <c r="K14" s="243">
        <v>6663</v>
      </c>
      <c r="L14" s="243">
        <v>112</v>
      </c>
      <c r="M14" s="243">
        <v>138</v>
      </c>
      <c r="N14" s="243">
        <v>250</v>
      </c>
      <c r="O14" s="243">
        <v>201</v>
      </c>
      <c r="P14" s="243">
        <v>280</v>
      </c>
      <c r="Q14" s="243">
        <v>481</v>
      </c>
      <c r="R14" s="243">
        <v>5611</v>
      </c>
      <c r="S14" s="243">
        <v>5491</v>
      </c>
      <c r="T14" s="243">
        <v>11102</v>
      </c>
      <c r="U14" s="243">
        <v>133</v>
      </c>
      <c r="V14" s="243">
        <v>114</v>
      </c>
      <c r="W14" s="243">
        <v>247</v>
      </c>
    </row>
    <row r="15" spans="1:23" ht="22.5" customHeight="1" x14ac:dyDescent="0.35">
      <c r="A15" s="241">
        <v>11</v>
      </c>
      <c r="B15" s="242" t="s">
        <v>23</v>
      </c>
      <c r="C15" s="243">
        <v>424</v>
      </c>
      <c r="D15" s="243">
        <v>103</v>
      </c>
      <c r="E15" s="243">
        <v>527</v>
      </c>
      <c r="F15" s="243">
        <v>313</v>
      </c>
      <c r="G15" s="243">
        <v>113</v>
      </c>
      <c r="H15" s="243">
        <v>426</v>
      </c>
      <c r="I15" s="243">
        <v>1180</v>
      </c>
      <c r="J15" s="243">
        <v>1078</v>
      </c>
      <c r="K15" s="243">
        <v>2258</v>
      </c>
      <c r="L15" s="243">
        <v>6</v>
      </c>
      <c r="M15" s="243">
        <v>39</v>
      </c>
      <c r="N15" s="243">
        <v>45</v>
      </c>
      <c r="O15" s="243">
        <v>60</v>
      </c>
      <c r="P15" s="243">
        <v>66</v>
      </c>
      <c r="Q15" s="243">
        <v>126</v>
      </c>
      <c r="R15" s="243">
        <v>1994</v>
      </c>
      <c r="S15" s="243">
        <v>1403</v>
      </c>
      <c r="T15" s="243">
        <v>3397</v>
      </c>
      <c r="U15" s="243">
        <v>11</v>
      </c>
      <c r="V15" s="243">
        <v>4</v>
      </c>
      <c r="W15" s="243">
        <v>15</v>
      </c>
    </row>
    <row r="16" spans="1:23" ht="22.5" customHeight="1" x14ac:dyDescent="0.35">
      <c r="A16" s="241">
        <v>12</v>
      </c>
      <c r="B16" s="242" t="s">
        <v>24</v>
      </c>
      <c r="C16" s="243">
        <v>441</v>
      </c>
      <c r="D16" s="243">
        <v>121</v>
      </c>
      <c r="E16" s="243">
        <v>562</v>
      </c>
      <c r="F16" s="243">
        <v>201</v>
      </c>
      <c r="G16" s="243">
        <v>73</v>
      </c>
      <c r="H16" s="243">
        <v>274</v>
      </c>
      <c r="I16" s="243">
        <v>1255</v>
      </c>
      <c r="J16" s="243">
        <v>493</v>
      </c>
      <c r="K16" s="243">
        <v>1748</v>
      </c>
      <c r="L16" s="243">
        <v>12</v>
      </c>
      <c r="M16" s="243">
        <v>51</v>
      </c>
      <c r="N16" s="243">
        <v>63</v>
      </c>
      <c r="O16" s="243">
        <v>179</v>
      </c>
      <c r="P16" s="243">
        <v>128</v>
      </c>
      <c r="Q16" s="243">
        <v>307</v>
      </c>
      <c r="R16" s="243">
        <v>2089</v>
      </c>
      <c r="S16" s="243">
        <v>866</v>
      </c>
      <c r="T16" s="243">
        <v>2955</v>
      </c>
      <c r="U16" s="243">
        <v>1</v>
      </c>
      <c r="V16" s="243"/>
      <c r="W16" s="243">
        <v>1</v>
      </c>
    </row>
    <row r="17" spans="1:23" ht="22.5" customHeight="1" x14ac:dyDescent="0.35">
      <c r="A17" s="241">
        <v>13</v>
      </c>
      <c r="B17" s="242" t="s">
        <v>25</v>
      </c>
      <c r="C17" s="243">
        <v>378</v>
      </c>
      <c r="D17" s="243">
        <v>84</v>
      </c>
      <c r="E17" s="243">
        <v>462</v>
      </c>
      <c r="F17" s="243">
        <v>561</v>
      </c>
      <c r="G17" s="243">
        <v>181</v>
      </c>
      <c r="H17" s="243">
        <v>742</v>
      </c>
      <c r="I17" s="243">
        <v>2050</v>
      </c>
      <c r="J17" s="243">
        <v>1107</v>
      </c>
      <c r="K17" s="243">
        <v>3157</v>
      </c>
      <c r="L17" s="243">
        <v>119</v>
      </c>
      <c r="M17" s="243">
        <v>156</v>
      </c>
      <c r="N17" s="243">
        <v>275</v>
      </c>
      <c r="O17" s="243">
        <v>143</v>
      </c>
      <c r="P17" s="243">
        <v>91</v>
      </c>
      <c r="Q17" s="243">
        <v>234</v>
      </c>
      <c r="R17" s="243">
        <v>3285</v>
      </c>
      <c r="S17" s="243">
        <v>1649</v>
      </c>
      <c r="T17" s="243">
        <v>4934</v>
      </c>
      <c r="U17" s="243">
        <v>34</v>
      </c>
      <c r="V17" s="243">
        <v>30</v>
      </c>
      <c r="W17" s="243">
        <v>64</v>
      </c>
    </row>
    <row r="18" spans="1:23" ht="22.5" customHeight="1" x14ac:dyDescent="0.35">
      <c r="A18" s="241">
        <v>14</v>
      </c>
      <c r="B18" s="242" t="s">
        <v>26</v>
      </c>
      <c r="C18" s="243">
        <v>3717</v>
      </c>
      <c r="D18" s="243">
        <v>1393</v>
      </c>
      <c r="E18" s="243">
        <v>5110</v>
      </c>
      <c r="F18" s="243">
        <v>2688</v>
      </c>
      <c r="G18" s="243">
        <v>1687</v>
      </c>
      <c r="H18" s="243">
        <v>4375</v>
      </c>
      <c r="I18" s="243">
        <v>7107</v>
      </c>
      <c r="J18" s="243">
        <v>6917</v>
      </c>
      <c r="K18" s="243">
        <v>14024</v>
      </c>
      <c r="L18" s="243">
        <v>653</v>
      </c>
      <c r="M18" s="243">
        <v>851</v>
      </c>
      <c r="N18" s="243">
        <v>1504</v>
      </c>
      <c r="O18" s="243">
        <v>800</v>
      </c>
      <c r="P18" s="243">
        <v>768</v>
      </c>
      <c r="Q18" s="243">
        <v>1568</v>
      </c>
      <c r="R18" s="243">
        <v>15104</v>
      </c>
      <c r="S18" s="243">
        <v>11709</v>
      </c>
      <c r="T18" s="243">
        <v>26813</v>
      </c>
      <c r="U18" s="243">
        <v>139</v>
      </c>
      <c r="V18" s="243">
        <v>93</v>
      </c>
      <c r="W18" s="243">
        <v>232</v>
      </c>
    </row>
    <row r="19" spans="1:23" ht="22.5" customHeight="1" x14ac:dyDescent="0.35">
      <c r="A19" s="241">
        <v>15</v>
      </c>
      <c r="B19" s="242" t="s">
        <v>27</v>
      </c>
      <c r="C19" s="243">
        <v>612</v>
      </c>
      <c r="D19" s="243">
        <v>278</v>
      </c>
      <c r="E19" s="243">
        <v>890</v>
      </c>
      <c r="F19" s="243">
        <v>406</v>
      </c>
      <c r="G19" s="243">
        <v>218</v>
      </c>
      <c r="H19" s="243">
        <v>624</v>
      </c>
      <c r="I19" s="243">
        <v>1606</v>
      </c>
      <c r="J19" s="243">
        <v>2023</v>
      </c>
      <c r="K19" s="243">
        <v>3629</v>
      </c>
      <c r="L19" s="243">
        <v>19</v>
      </c>
      <c r="M19" s="243">
        <v>10</v>
      </c>
      <c r="N19" s="243">
        <v>29</v>
      </c>
      <c r="O19" s="243">
        <v>117</v>
      </c>
      <c r="P19" s="243">
        <v>205</v>
      </c>
      <c r="Q19" s="243">
        <v>322</v>
      </c>
      <c r="R19" s="243">
        <v>2772</v>
      </c>
      <c r="S19" s="243">
        <v>2739</v>
      </c>
      <c r="T19" s="243">
        <v>5511</v>
      </c>
      <c r="U19" s="243">
        <v>12</v>
      </c>
      <c r="V19" s="243">
        <v>5</v>
      </c>
      <c r="W19" s="243">
        <v>17</v>
      </c>
    </row>
    <row r="20" spans="1:23" ht="22.5" customHeight="1" x14ac:dyDescent="0.35">
      <c r="A20" s="241">
        <v>16</v>
      </c>
      <c r="B20" s="242" t="s">
        <v>28</v>
      </c>
      <c r="C20" s="243"/>
      <c r="D20" s="243"/>
      <c r="E20" s="243"/>
      <c r="F20" s="243">
        <v>4</v>
      </c>
      <c r="G20" s="243"/>
      <c r="H20" s="243">
        <v>4</v>
      </c>
      <c r="I20" s="243">
        <v>61</v>
      </c>
      <c r="J20" s="243">
        <v>26</v>
      </c>
      <c r="K20" s="243">
        <v>87</v>
      </c>
      <c r="L20" s="243">
        <v>2</v>
      </c>
      <c r="M20" s="243">
        <v>1</v>
      </c>
      <c r="N20" s="243">
        <v>3</v>
      </c>
      <c r="O20" s="243"/>
      <c r="P20" s="243"/>
      <c r="Q20" s="243"/>
      <c r="R20" s="243">
        <v>67</v>
      </c>
      <c r="S20" s="243">
        <v>27</v>
      </c>
      <c r="T20" s="243">
        <v>94</v>
      </c>
      <c r="U20" s="243"/>
      <c r="V20" s="243"/>
      <c r="W20" s="243"/>
    </row>
    <row r="21" spans="1:23" ht="22.5" customHeight="1" x14ac:dyDescent="0.35">
      <c r="A21" s="241">
        <v>17</v>
      </c>
      <c r="B21" s="242" t="s">
        <v>29</v>
      </c>
      <c r="C21" s="243">
        <v>2130</v>
      </c>
      <c r="D21" s="243">
        <v>920</v>
      </c>
      <c r="E21" s="243">
        <v>3050</v>
      </c>
      <c r="F21" s="243">
        <v>1732</v>
      </c>
      <c r="G21" s="243">
        <v>923</v>
      </c>
      <c r="H21" s="243">
        <v>2655</v>
      </c>
      <c r="I21" s="243">
        <v>8992</v>
      </c>
      <c r="J21" s="243">
        <v>5416</v>
      </c>
      <c r="K21" s="243">
        <v>14408</v>
      </c>
      <c r="L21" s="243">
        <v>748</v>
      </c>
      <c r="M21" s="243">
        <v>1055</v>
      </c>
      <c r="N21" s="243">
        <v>1803</v>
      </c>
      <c r="O21" s="243">
        <v>447</v>
      </c>
      <c r="P21" s="243">
        <v>422</v>
      </c>
      <c r="Q21" s="243">
        <v>869</v>
      </c>
      <c r="R21" s="243">
        <v>14193</v>
      </c>
      <c r="S21" s="243">
        <v>8850</v>
      </c>
      <c r="T21" s="243">
        <v>23043</v>
      </c>
      <c r="U21" s="243">
        <v>144</v>
      </c>
      <c r="V21" s="243">
        <v>114</v>
      </c>
      <c r="W21" s="243">
        <v>258</v>
      </c>
    </row>
    <row r="22" spans="1:23" ht="22.5" customHeight="1" x14ac:dyDescent="0.35">
      <c r="A22" s="241">
        <v>18</v>
      </c>
      <c r="B22" s="242" t="s">
        <v>30</v>
      </c>
      <c r="C22" s="243">
        <v>2834</v>
      </c>
      <c r="D22" s="243">
        <v>1303</v>
      </c>
      <c r="E22" s="243">
        <v>4137</v>
      </c>
      <c r="F22" s="243">
        <v>2473</v>
      </c>
      <c r="G22" s="243">
        <v>1493</v>
      </c>
      <c r="H22" s="243">
        <v>3966</v>
      </c>
      <c r="I22" s="243">
        <v>7018</v>
      </c>
      <c r="J22" s="243">
        <v>6534</v>
      </c>
      <c r="K22" s="243">
        <v>13552</v>
      </c>
      <c r="L22" s="243">
        <v>311</v>
      </c>
      <c r="M22" s="243">
        <v>490</v>
      </c>
      <c r="N22" s="243">
        <v>801</v>
      </c>
      <c r="O22" s="243">
        <v>338</v>
      </c>
      <c r="P22" s="243">
        <v>311</v>
      </c>
      <c r="Q22" s="243">
        <v>649</v>
      </c>
      <c r="R22" s="243">
        <v>13555</v>
      </c>
      <c r="S22" s="243">
        <v>10679</v>
      </c>
      <c r="T22" s="243">
        <v>24234</v>
      </c>
      <c r="U22" s="243">
        <v>581</v>
      </c>
      <c r="V22" s="243">
        <v>548</v>
      </c>
      <c r="W22" s="243">
        <v>1129</v>
      </c>
    </row>
    <row r="23" spans="1:23" ht="22.5" customHeight="1" x14ac:dyDescent="0.35">
      <c r="A23" s="241">
        <v>19</v>
      </c>
      <c r="B23" s="242" t="s">
        <v>31</v>
      </c>
      <c r="C23" s="243">
        <v>191</v>
      </c>
      <c r="D23" s="243">
        <v>65</v>
      </c>
      <c r="E23" s="243">
        <v>256</v>
      </c>
      <c r="F23" s="243">
        <v>88</v>
      </c>
      <c r="G23" s="243">
        <v>33</v>
      </c>
      <c r="H23" s="243">
        <v>121</v>
      </c>
      <c r="I23" s="243">
        <v>341</v>
      </c>
      <c r="J23" s="243">
        <v>246</v>
      </c>
      <c r="K23" s="243">
        <v>587</v>
      </c>
      <c r="L23" s="243">
        <v>4</v>
      </c>
      <c r="M23" s="243"/>
      <c r="N23" s="243">
        <v>4</v>
      </c>
      <c r="O23" s="243">
        <v>69</v>
      </c>
      <c r="P23" s="243">
        <v>56</v>
      </c>
      <c r="Q23" s="243">
        <v>125</v>
      </c>
      <c r="R23" s="243">
        <v>738</v>
      </c>
      <c r="S23" s="243">
        <v>409</v>
      </c>
      <c r="T23" s="243">
        <v>1147</v>
      </c>
      <c r="U23" s="243">
        <v>45</v>
      </c>
      <c r="V23" s="243">
        <v>9</v>
      </c>
      <c r="W23" s="243">
        <v>54</v>
      </c>
    </row>
    <row r="24" spans="1:23" ht="22.5" customHeight="1" x14ac:dyDescent="0.35">
      <c r="A24" s="241">
        <v>20</v>
      </c>
      <c r="B24" s="242" t="s">
        <v>32</v>
      </c>
      <c r="C24" s="243">
        <v>140</v>
      </c>
      <c r="D24" s="243">
        <v>43</v>
      </c>
      <c r="E24" s="243">
        <v>183</v>
      </c>
      <c r="F24" s="243">
        <v>113</v>
      </c>
      <c r="G24" s="243">
        <v>45</v>
      </c>
      <c r="H24" s="243">
        <v>158</v>
      </c>
      <c r="I24" s="243">
        <v>287</v>
      </c>
      <c r="J24" s="243">
        <v>336</v>
      </c>
      <c r="K24" s="243">
        <v>623</v>
      </c>
      <c r="L24" s="243">
        <v>6</v>
      </c>
      <c r="M24" s="243">
        <v>4</v>
      </c>
      <c r="N24" s="243">
        <v>10</v>
      </c>
      <c r="O24" s="243">
        <v>4</v>
      </c>
      <c r="P24" s="243">
        <v>2</v>
      </c>
      <c r="Q24" s="243">
        <v>6</v>
      </c>
      <c r="R24" s="243">
        <v>550</v>
      </c>
      <c r="S24" s="243">
        <v>431</v>
      </c>
      <c r="T24" s="243">
        <v>981</v>
      </c>
      <c r="U24" s="243"/>
      <c r="V24" s="243">
        <v>1</v>
      </c>
      <c r="W24" s="243">
        <v>1</v>
      </c>
    </row>
    <row r="25" spans="1:23" ht="22.5" customHeight="1" x14ac:dyDescent="0.35">
      <c r="A25" s="241">
        <v>21</v>
      </c>
      <c r="B25" s="242" t="s">
        <v>33</v>
      </c>
      <c r="C25" s="243">
        <v>65</v>
      </c>
      <c r="D25" s="243">
        <v>14</v>
      </c>
      <c r="E25" s="243">
        <v>79</v>
      </c>
      <c r="F25" s="243">
        <v>33</v>
      </c>
      <c r="G25" s="243">
        <v>10</v>
      </c>
      <c r="H25" s="243">
        <v>43</v>
      </c>
      <c r="I25" s="243">
        <v>129</v>
      </c>
      <c r="J25" s="243">
        <v>61</v>
      </c>
      <c r="K25" s="243">
        <v>190</v>
      </c>
      <c r="L25" s="243"/>
      <c r="M25" s="243"/>
      <c r="N25" s="243"/>
      <c r="O25" s="243">
        <v>4</v>
      </c>
      <c r="P25" s="243"/>
      <c r="Q25" s="243">
        <v>4</v>
      </c>
      <c r="R25" s="243">
        <v>240</v>
      </c>
      <c r="S25" s="243">
        <v>91</v>
      </c>
      <c r="T25" s="243">
        <v>331</v>
      </c>
      <c r="U25" s="243">
        <v>9</v>
      </c>
      <c r="V25" s="243">
        <v>6</v>
      </c>
      <c r="W25" s="243">
        <v>15</v>
      </c>
    </row>
    <row r="26" spans="1:23" ht="22.5" customHeight="1" x14ac:dyDescent="0.35">
      <c r="A26" s="241">
        <v>22</v>
      </c>
      <c r="B26" s="242" t="s">
        <v>34</v>
      </c>
      <c r="C26" s="243">
        <v>72</v>
      </c>
      <c r="D26" s="243">
        <v>23</v>
      </c>
      <c r="E26" s="243">
        <v>95</v>
      </c>
      <c r="F26" s="243">
        <v>45</v>
      </c>
      <c r="G26" s="243">
        <v>13</v>
      </c>
      <c r="H26" s="243">
        <v>58</v>
      </c>
      <c r="I26" s="243">
        <v>191</v>
      </c>
      <c r="J26" s="243">
        <v>178</v>
      </c>
      <c r="K26" s="243">
        <v>369</v>
      </c>
      <c r="L26" s="243"/>
      <c r="M26" s="243">
        <v>2</v>
      </c>
      <c r="N26" s="243">
        <v>2</v>
      </c>
      <c r="O26" s="243">
        <v>4</v>
      </c>
      <c r="P26" s="243">
        <v>2</v>
      </c>
      <c r="Q26" s="243">
        <v>6</v>
      </c>
      <c r="R26" s="243">
        <v>312</v>
      </c>
      <c r="S26" s="243">
        <v>218</v>
      </c>
      <c r="T26" s="243">
        <v>530</v>
      </c>
      <c r="U26" s="243"/>
      <c r="V26" s="243"/>
      <c r="W26" s="243"/>
    </row>
    <row r="27" spans="1:23" ht="22.5" customHeight="1" x14ac:dyDescent="0.35">
      <c r="A27" s="241">
        <v>23</v>
      </c>
      <c r="B27" s="242" t="s">
        <v>35</v>
      </c>
      <c r="C27" s="243">
        <v>1101</v>
      </c>
      <c r="D27" s="243">
        <v>257</v>
      </c>
      <c r="E27" s="243">
        <v>1358</v>
      </c>
      <c r="F27" s="243">
        <v>982</v>
      </c>
      <c r="G27" s="243">
        <v>371</v>
      </c>
      <c r="H27" s="243">
        <v>1353</v>
      </c>
      <c r="I27" s="243">
        <v>2895</v>
      </c>
      <c r="J27" s="243">
        <v>1818</v>
      </c>
      <c r="K27" s="243">
        <v>4713</v>
      </c>
      <c r="L27" s="243">
        <v>47</v>
      </c>
      <c r="M27" s="243">
        <v>88</v>
      </c>
      <c r="N27" s="243">
        <v>135</v>
      </c>
      <c r="O27" s="243">
        <v>281</v>
      </c>
      <c r="P27" s="243">
        <v>222</v>
      </c>
      <c r="Q27" s="243">
        <v>503</v>
      </c>
      <c r="R27" s="243">
        <v>5373</v>
      </c>
      <c r="S27" s="243">
        <v>2775</v>
      </c>
      <c r="T27" s="243">
        <v>8148</v>
      </c>
      <c r="U27" s="243">
        <v>67</v>
      </c>
      <c r="V27" s="243">
        <v>19</v>
      </c>
      <c r="W27" s="243">
        <v>86</v>
      </c>
    </row>
    <row r="28" spans="1:23" ht="22.5" customHeight="1" x14ac:dyDescent="0.35">
      <c r="A28" s="241">
        <v>24</v>
      </c>
      <c r="B28" s="242" t="s">
        <v>36</v>
      </c>
      <c r="C28" s="243">
        <v>541</v>
      </c>
      <c r="D28" s="243">
        <v>247</v>
      </c>
      <c r="E28" s="243">
        <v>788</v>
      </c>
      <c r="F28" s="243">
        <v>277</v>
      </c>
      <c r="G28" s="243">
        <v>163</v>
      </c>
      <c r="H28" s="243">
        <v>440</v>
      </c>
      <c r="I28" s="243">
        <v>700</v>
      </c>
      <c r="J28" s="243">
        <v>589</v>
      </c>
      <c r="K28" s="243">
        <v>1289</v>
      </c>
      <c r="L28" s="243">
        <v>349</v>
      </c>
      <c r="M28" s="243">
        <v>406</v>
      </c>
      <c r="N28" s="243">
        <v>755</v>
      </c>
      <c r="O28" s="243">
        <v>20</v>
      </c>
      <c r="P28" s="243">
        <v>14</v>
      </c>
      <c r="Q28" s="243">
        <v>34</v>
      </c>
      <c r="R28" s="243">
        <v>1888</v>
      </c>
      <c r="S28" s="243">
        <v>1419</v>
      </c>
      <c r="T28" s="243">
        <v>3307</v>
      </c>
      <c r="U28" s="243">
        <v>1</v>
      </c>
      <c r="V28" s="243"/>
      <c r="W28" s="243">
        <v>1</v>
      </c>
    </row>
    <row r="29" spans="1:23" ht="22.5" customHeight="1" x14ac:dyDescent="0.35">
      <c r="A29" s="241">
        <v>25</v>
      </c>
      <c r="B29" s="242" t="s">
        <v>37</v>
      </c>
      <c r="C29" s="243">
        <v>1608</v>
      </c>
      <c r="D29" s="243">
        <v>720</v>
      </c>
      <c r="E29" s="243">
        <v>2328</v>
      </c>
      <c r="F29" s="243">
        <v>1301</v>
      </c>
      <c r="G29" s="243">
        <v>879</v>
      </c>
      <c r="H29" s="243">
        <v>2180</v>
      </c>
      <c r="I29" s="243">
        <v>4763</v>
      </c>
      <c r="J29" s="243">
        <v>5710</v>
      </c>
      <c r="K29" s="243">
        <v>10473</v>
      </c>
      <c r="L29" s="243">
        <v>70</v>
      </c>
      <c r="M29" s="243">
        <v>180</v>
      </c>
      <c r="N29" s="243">
        <v>250</v>
      </c>
      <c r="O29" s="243">
        <v>117</v>
      </c>
      <c r="P29" s="243">
        <v>208</v>
      </c>
      <c r="Q29" s="243">
        <v>325</v>
      </c>
      <c r="R29" s="243">
        <v>7880</v>
      </c>
      <c r="S29" s="243">
        <v>7721</v>
      </c>
      <c r="T29" s="243">
        <v>15601</v>
      </c>
      <c r="U29" s="243">
        <v>21</v>
      </c>
      <c r="V29" s="243">
        <v>24</v>
      </c>
      <c r="W29" s="243">
        <v>45</v>
      </c>
    </row>
    <row r="30" spans="1:23" ht="22.5" customHeight="1" x14ac:dyDescent="0.35">
      <c r="A30" s="241">
        <v>26</v>
      </c>
      <c r="B30" s="242" t="s">
        <v>38</v>
      </c>
      <c r="C30" s="243">
        <v>2015</v>
      </c>
      <c r="D30" s="243">
        <v>757</v>
      </c>
      <c r="E30" s="243">
        <v>2772</v>
      </c>
      <c r="F30" s="243">
        <v>1699</v>
      </c>
      <c r="G30" s="243">
        <v>888</v>
      </c>
      <c r="H30" s="243">
        <v>2587</v>
      </c>
      <c r="I30" s="243">
        <v>6851</v>
      </c>
      <c r="J30" s="243">
        <v>4772</v>
      </c>
      <c r="K30" s="243">
        <v>11623</v>
      </c>
      <c r="L30" s="243">
        <v>525</v>
      </c>
      <c r="M30" s="243">
        <v>263</v>
      </c>
      <c r="N30" s="243">
        <v>788</v>
      </c>
      <c r="O30" s="243">
        <v>197</v>
      </c>
      <c r="P30" s="243">
        <v>236</v>
      </c>
      <c r="Q30" s="243">
        <v>433</v>
      </c>
      <c r="R30" s="243">
        <v>11404</v>
      </c>
      <c r="S30" s="243">
        <v>6986</v>
      </c>
      <c r="T30" s="243">
        <v>18390</v>
      </c>
      <c r="U30" s="243">
        <v>117</v>
      </c>
      <c r="V30" s="243">
        <v>70</v>
      </c>
      <c r="W30" s="243">
        <v>187</v>
      </c>
    </row>
    <row r="31" spans="1:23" ht="22.5" customHeight="1" x14ac:dyDescent="0.35">
      <c r="A31" s="241">
        <v>27</v>
      </c>
      <c r="B31" s="242" t="s">
        <v>39</v>
      </c>
      <c r="C31" s="243">
        <v>78</v>
      </c>
      <c r="D31" s="243">
        <v>33</v>
      </c>
      <c r="E31" s="243">
        <v>111</v>
      </c>
      <c r="F31" s="243">
        <v>101</v>
      </c>
      <c r="G31" s="243">
        <v>38</v>
      </c>
      <c r="H31" s="243">
        <v>139</v>
      </c>
      <c r="I31" s="243">
        <v>355</v>
      </c>
      <c r="J31" s="243">
        <v>257</v>
      </c>
      <c r="K31" s="243">
        <v>612</v>
      </c>
      <c r="L31" s="243">
        <v>8</v>
      </c>
      <c r="M31" s="243">
        <v>50</v>
      </c>
      <c r="N31" s="243">
        <v>58</v>
      </c>
      <c r="O31" s="243">
        <v>2</v>
      </c>
      <c r="P31" s="243">
        <v>5</v>
      </c>
      <c r="Q31" s="243">
        <v>7</v>
      </c>
      <c r="R31" s="243">
        <v>544</v>
      </c>
      <c r="S31" s="243">
        <v>383</v>
      </c>
      <c r="T31" s="243">
        <v>927</v>
      </c>
      <c r="U31" s="243"/>
      <c r="V31" s="243"/>
      <c r="W31" s="243"/>
    </row>
    <row r="32" spans="1:23" ht="22.5" customHeight="1" x14ac:dyDescent="0.35">
      <c r="A32" s="241">
        <v>28</v>
      </c>
      <c r="B32" s="242" t="s">
        <v>40</v>
      </c>
      <c r="C32" s="243">
        <v>3685</v>
      </c>
      <c r="D32" s="243">
        <v>1733</v>
      </c>
      <c r="E32" s="243">
        <v>5418</v>
      </c>
      <c r="F32" s="243">
        <v>3488</v>
      </c>
      <c r="G32" s="243">
        <v>2082</v>
      </c>
      <c r="H32" s="243">
        <v>5570</v>
      </c>
      <c r="I32" s="243">
        <v>9635</v>
      </c>
      <c r="J32" s="243">
        <v>9313</v>
      </c>
      <c r="K32" s="243">
        <v>18948</v>
      </c>
      <c r="L32" s="243">
        <v>305</v>
      </c>
      <c r="M32" s="243">
        <v>497</v>
      </c>
      <c r="N32" s="243">
        <v>802</v>
      </c>
      <c r="O32" s="243">
        <v>189</v>
      </c>
      <c r="P32" s="243">
        <v>237</v>
      </c>
      <c r="Q32" s="243">
        <v>426</v>
      </c>
      <c r="R32" s="243">
        <v>17411</v>
      </c>
      <c r="S32" s="243">
        <v>13897</v>
      </c>
      <c r="T32" s="243">
        <v>31308</v>
      </c>
      <c r="U32" s="243">
        <v>109</v>
      </c>
      <c r="V32" s="243">
        <v>35</v>
      </c>
      <c r="W32" s="243">
        <v>144</v>
      </c>
    </row>
    <row r="33" spans="1:23" ht="22.5" customHeight="1" x14ac:dyDescent="0.35">
      <c r="A33" s="241">
        <v>29</v>
      </c>
      <c r="B33" s="242" t="s">
        <v>41</v>
      </c>
      <c r="C33" s="243">
        <v>1179</v>
      </c>
      <c r="D33" s="243">
        <v>350</v>
      </c>
      <c r="E33" s="243">
        <v>1529</v>
      </c>
      <c r="F33" s="243">
        <v>1122</v>
      </c>
      <c r="G33" s="243">
        <v>533</v>
      </c>
      <c r="H33" s="243">
        <v>1655</v>
      </c>
      <c r="I33" s="243">
        <v>3797</v>
      </c>
      <c r="J33" s="243">
        <v>3330</v>
      </c>
      <c r="K33" s="243">
        <v>7127</v>
      </c>
      <c r="L33" s="243">
        <v>294</v>
      </c>
      <c r="M33" s="243">
        <v>3</v>
      </c>
      <c r="N33" s="243">
        <v>297</v>
      </c>
      <c r="O33" s="243">
        <v>555</v>
      </c>
      <c r="P33" s="243">
        <v>304</v>
      </c>
      <c r="Q33" s="243">
        <v>859</v>
      </c>
      <c r="R33" s="243">
        <v>6958</v>
      </c>
      <c r="S33" s="243">
        <v>4528</v>
      </c>
      <c r="T33" s="243">
        <v>11486</v>
      </c>
      <c r="U33" s="243">
        <v>11</v>
      </c>
      <c r="V33" s="243">
        <v>8</v>
      </c>
      <c r="W33" s="243">
        <v>19</v>
      </c>
    </row>
    <row r="34" spans="1:23" ht="26" x14ac:dyDescent="0.35">
      <c r="A34" s="241">
        <v>30</v>
      </c>
      <c r="B34" s="242" t="s">
        <v>58</v>
      </c>
      <c r="C34" s="243">
        <v>1</v>
      </c>
      <c r="D34" s="243"/>
      <c r="E34" s="243">
        <v>1</v>
      </c>
      <c r="F34" s="243">
        <v>1</v>
      </c>
      <c r="G34" s="243"/>
      <c r="H34" s="243">
        <v>1</v>
      </c>
      <c r="I34" s="243">
        <v>6</v>
      </c>
      <c r="J34" s="243">
        <v>3</v>
      </c>
      <c r="K34" s="243">
        <v>9</v>
      </c>
      <c r="L34" s="243"/>
      <c r="M34" s="243"/>
      <c r="N34" s="243"/>
      <c r="O34" s="243"/>
      <c r="P34" s="243"/>
      <c r="Q34" s="243"/>
      <c r="R34" s="243">
        <v>12</v>
      </c>
      <c r="S34" s="243">
        <v>8</v>
      </c>
      <c r="T34" s="243">
        <v>20</v>
      </c>
      <c r="U34" s="243">
        <v>4</v>
      </c>
      <c r="V34" s="243">
        <v>5</v>
      </c>
      <c r="W34" s="243">
        <v>9</v>
      </c>
    </row>
    <row r="35" spans="1:23" ht="22.5" customHeight="1" x14ac:dyDescent="0.35">
      <c r="A35" s="241">
        <v>31</v>
      </c>
      <c r="B35" s="242" t="s">
        <v>42</v>
      </c>
      <c r="C35" s="243">
        <v>67</v>
      </c>
      <c r="D35" s="243">
        <v>6</v>
      </c>
      <c r="E35" s="243">
        <v>73</v>
      </c>
      <c r="F35" s="243">
        <v>69</v>
      </c>
      <c r="G35" s="243">
        <v>15</v>
      </c>
      <c r="H35" s="243">
        <v>84</v>
      </c>
      <c r="I35" s="243">
        <v>329</v>
      </c>
      <c r="J35" s="243">
        <v>121</v>
      </c>
      <c r="K35" s="243">
        <v>450</v>
      </c>
      <c r="L35" s="243">
        <v>2</v>
      </c>
      <c r="M35" s="243">
        <v>6</v>
      </c>
      <c r="N35" s="243">
        <v>8</v>
      </c>
      <c r="O35" s="243">
        <v>41</v>
      </c>
      <c r="P35" s="243">
        <v>14</v>
      </c>
      <c r="Q35" s="243">
        <v>55</v>
      </c>
      <c r="R35" s="243">
        <v>508</v>
      </c>
      <c r="S35" s="243">
        <v>162</v>
      </c>
      <c r="T35" s="243">
        <v>670</v>
      </c>
      <c r="U35" s="243"/>
      <c r="V35" s="243"/>
      <c r="W35" s="243"/>
    </row>
    <row r="36" spans="1:23" ht="22.5" customHeight="1" x14ac:dyDescent="0.35">
      <c r="A36" s="241">
        <v>32</v>
      </c>
      <c r="B36" s="242" t="s">
        <v>43</v>
      </c>
      <c r="C36" s="243">
        <v>4555</v>
      </c>
      <c r="D36" s="243">
        <v>1401</v>
      </c>
      <c r="E36" s="243">
        <v>5956</v>
      </c>
      <c r="F36" s="243">
        <v>3133</v>
      </c>
      <c r="G36" s="243">
        <v>1348</v>
      </c>
      <c r="H36" s="243">
        <v>4481</v>
      </c>
      <c r="I36" s="243">
        <v>10996</v>
      </c>
      <c r="J36" s="243">
        <v>6864</v>
      </c>
      <c r="K36" s="243">
        <v>17860</v>
      </c>
      <c r="L36" s="243">
        <v>591</v>
      </c>
      <c r="M36" s="243">
        <v>668</v>
      </c>
      <c r="N36" s="243">
        <v>1259</v>
      </c>
      <c r="O36" s="243">
        <v>562</v>
      </c>
      <c r="P36" s="243">
        <v>316</v>
      </c>
      <c r="Q36" s="243">
        <v>878</v>
      </c>
      <c r="R36" s="243">
        <v>19947</v>
      </c>
      <c r="S36" s="243">
        <v>10716</v>
      </c>
      <c r="T36" s="243">
        <v>30663</v>
      </c>
      <c r="U36" s="243">
        <v>110</v>
      </c>
      <c r="V36" s="243">
        <v>119</v>
      </c>
      <c r="W36" s="243">
        <v>229</v>
      </c>
    </row>
    <row r="37" spans="1:23" ht="22.5" customHeight="1" x14ac:dyDescent="0.35">
      <c r="A37" s="241">
        <v>33</v>
      </c>
      <c r="B37" s="242" t="s">
        <v>44</v>
      </c>
      <c r="C37" s="243">
        <v>1198</v>
      </c>
      <c r="D37" s="243">
        <v>385</v>
      </c>
      <c r="E37" s="243">
        <v>1583</v>
      </c>
      <c r="F37" s="243">
        <v>761</v>
      </c>
      <c r="G37" s="243">
        <v>382</v>
      </c>
      <c r="H37" s="243">
        <v>1143</v>
      </c>
      <c r="I37" s="243">
        <v>3036</v>
      </c>
      <c r="J37" s="243">
        <v>2124</v>
      </c>
      <c r="K37" s="243">
        <v>5160</v>
      </c>
      <c r="L37" s="243">
        <v>91</v>
      </c>
      <c r="M37" s="243">
        <v>173</v>
      </c>
      <c r="N37" s="243">
        <v>264</v>
      </c>
      <c r="O37" s="243">
        <v>181</v>
      </c>
      <c r="P37" s="243">
        <v>122</v>
      </c>
      <c r="Q37" s="243">
        <v>303</v>
      </c>
      <c r="R37" s="243">
        <v>5285</v>
      </c>
      <c r="S37" s="243">
        <v>3191</v>
      </c>
      <c r="T37" s="243">
        <v>8476</v>
      </c>
      <c r="U37" s="243">
        <v>18</v>
      </c>
      <c r="V37" s="243">
        <v>5</v>
      </c>
      <c r="W37" s="243">
        <v>23</v>
      </c>
    </row>
    <row r="38" spans="1:23" ht="22.5" customHeight="1" x14ac:dyDescent="0.35">
      <c r="A38" s="241">
        <v>34</v>
      </c>
      <c r="B38" s="242" t="s">
        <v>45</v>
      </c>
      <c r="C38" s="243">
        <v>2018</v>
      </c>
      <c r="D38" s="243">
        <v>427</v>
      </c>
      <c r="E38" s="243">
        <v>2445</v>
      </c>
      <c r="F38" s="243">
        <v>1171</v>
      </c>
      <c r="G38" s="243">
        <v>360</v>
      </c>
      <c r="H38" s="243">
        <v>1531</v>
      </c>
      <c r="I38" s="243">
        <v>3514</v>
      </c>
      <c r="J38" s="243">
        <v>1982</v>
      </c>
      <c r="K38" s="243">
        <v>5496</v>
      </c>
      <c r="L38" s="243">
        <v>86</v>
      </c>
      <c r="M38" s="243">
        <v>86</v>
      </c>
      <c r="N38" s="243">
        <v>172</v>
      </c>
      <c r="O38" s="243">
        <v>389</v>
      </c>
      <c r="P38" s="243">
        <v>235</v>
      </c>
      <c r="Q38" s="243">
        <v>624</v>
      </c>
      <c r="R38" s="243">
        <v>7302</v>
      </c>
      <c r="S38" s="243">
        <v>3120</v>
      </c>
      <c r="T38" s="243">
        <v>10422</v>
      </c>
      <c r="U38" s="243">
        <v>124</v>
      </c>
      <c r="V38" s="243">
        <v>30</v>
      </c>
      <c r="W38" s="243">
        <v>154</v>
      </c>
    </row>
    <row r="39" spans="1:23" s="245" customFormat="1" ht="22.5" customHeight="1" x14ac:dyDescent="0.35">
      <c r="A39" s="820" t="s">
        <v>46</v>
      </c>
      <c r="B39" s="821"/>
      <c r="C39" s="244">
        <v>36882</v>
      </c>
      <c r="D39" s="244">
        <v>13813</v>
      </c>
      <c r="E39" s="244">
        <v>50695</v>
      </c>
      <c r="F39" s="244">
        <v>28593</v>
      </c>
      <c r="G39" s="244">
        <v>14801</v>
      </c>
      <c r="H39" s="244">
        <v>43394</v>
      </c>
      <c r="I39" s="244">
        <v>98509</v>
      </c>
      <c r="J39" s="244">
        <v>78066</v>
      </c>
      <c r="K39" s="244">
        <v>176575</v>
      </c>
      <c r="L39" s="244">
        <v>5234</v>
      </c>
      <c r="M39" s="244">
        <v>6381</v>
      </c>
      <c r="N39" s="244">
        <v>11615</v>
      </c>
      <c r="O39" s="244">
        <v>6626</v>
      </c>
      <c r="P39" s="244">
        <v>5925</v>
      </c>
      <c r="Q39" s="244">
        <v>12551</v>
      </c>
      <c r="R39" s="244">
        <v>178351</v>
      </c>
      <c r="S39" s="244">
        <v>120756</v>
      </c>
      <c r="T39" s="244">
        <v>299107</v>
      </c>
      <c r="U39" s="244">
        <v>2507</v>
      </c>
      <c r="V39" s="244">
        <v>1770</v>
      </c>
      <c r="W39" s="244">
        <v>4277</v>
      </c>
    </row>
  </sheetData>
  <mergeCells count="12">
    <mergeCell ref="U2:W2"/>
    <mergeCell ref="A39:B39"/>
    <mergeCell ref="C1:K1"/>
    <mergeCell ref="L1:W1"/>
    <mergeCell ref="A2:A3"/>
    <mergeCell ref="B2:B3"/>
    <mergeCell ref="C2:E2"/>
    <mergeCell ref="F2:H2"/>
    <mergeCell ref="I2:K2"/>
    <mergeCell ref="L2:N2"/>
    <mergeCell ref="O2:Q2"/>
    <mergeCell ref="R2:T2"/>
  </mergeCells>
  <pageMargins left="0.47244094488188981" right="0.15748031496062992" top="0.39370078740157483" bottom="0.39370078740157483" header="0.31496062992125984" footer="0.19685039370078741"/>
  <pageSetup paperSize="9" scale="90" firstPageNumber="2" orientation="portrait" r:id="rId1"/>
  <headerFooter>
    <oddFooter>&amp;L&amp;"Arial,Italic"&amp;9AISHE 2023-24&amp;RT-22b</oddFooter>
  </headerFooter>
  <colBreaks count="1" manualBreakCount="1">
    <brk id="11" max="39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122E-6F1C-45D9-B9FB-236291A09ADD}">
  <dimension ref="A1:Q41"/>
  <sheetViews>
    <sheetView view="pageBreakPreview" topLeftCell="G1" zoomScaleSheetLayoutView="100" workbookViewId="0">
      <pane ySplit="3" topLeftCell="A4" activePane="bottomLeft" state="frozen"/>
      <selection activeCell="B16" sqref="B16:M16"/>
      <selection pane="bottomLeft" activeCell="B16" sqref="B16:M16"/>
    </sheetView>
  </sheetViews>
  <sheetFormatPr defaultColWidth="9.26953125" defaultRowHeight="14" x14ac:dyDescent="0.35"/>
  <cols>
    <col min="1" max="1" width="4.453125" style="250" customWidth="1"/>
    <col min="2" max="2" width="19.453125" style="250" bestFit="1" customWidth="1"/>
    <col min="3" max="8" width="15.453125" style="250" customWidth="1"/>
    <col min="9" max="16" width="10.1796875" style="250" bestFit="1" customWidth="1"/>
    <col min="17" max="17" width="11.26953125" style="250" customWidth="1"/>
    <col min="18" max="16384" width="9.26953125" style="250"/>
  </cols>
  <sheetData>
    <row r="1" spans="1:17" s="247" customFormat="1" ht="33.75" customHeight="1" x14ac:dyDescent="0.35">
      <c r="B1" s="206"/>
      <c r="C1" s="805" t="s">
        <v>1006</v>
      </c>
      <c r="D1" s="805"/>
      <c r="E1" s="805"/>
      <c r="F1" s="805"/>
      <c r="G1" s="805"/>
      <c r="H1" s="805"/>
      <c r="I1" s="805" t="str">
        <f>C1</f>
        <v>Table 23. States/UTs-Wise Number of Male &amp; Female Non-Teaching staff at different post
(Based on Actual Response)</v>
      </c>
      <c r="J1" s="805"/>
      <c r="K1" s="805"/>
      <c r="L1" s="805"/>
      <c r="M1" s="805"/>
      <c r="N1" s="805"/>
      <c r="O1" s="805"/>
      <c r="P1" s="805"/>
      <c r="Q1" s="805"/>
    </row>
    <row r="2" spans="1:17" s="248" customFormat="1" ht="31.5" customHeight="1" x14ac:dyDescent="0.35">
      <c r="A2" s="822" t="s">
        <v>84</v>
      </c>
      <c r="B2" s="833" t="s">
        <v>885</v>
      </c>
      <c r="C2" s="835" t="s">
        <v>897</v>
      </c>
      <c r="D2" s="835"/>
      <c r="E2" s="835"/>
      <c r="F2" s="835" t="s">
        <v>898</v>
      </c>
      <c r="G2" s="836"/>
      <c r="H2" s="836"/>
      <c r="I2" s="835" t="s">
        <v>899</v>
      </c>
      <c r="J2" s="836"/>
      <c r="K2" s="836"/>
      <c r="L2" s="835" t="s">
        <v>900</v>
      </c>
      <c r="M2" s="836"/>
      <c r="N2" s="836"/>
      <c r="O2" s="830" t="s">
        <v>12</v>
      </c>
      <c r="P2" s="831"/>
      <c r="Q2" s="832"/>
    </row>
    <row r="3" spans="1:17" s="248" customFormat="1" ht="19.5" customHeight="1" x14ac:dyDescent="0.35">
      <c r="A3" s="822"/>
      <c r="B3" s="834"/>
      <c r="C3" s="471" t="s">
        <v>103</v>
      </c>
      <c r="D3" s="471" t="s">
        <v>104</v>
      </c>
      <c r="E3" s="471" t="s">
        <v>89</v>
      </c>
      <c r="F3" s="471" t="s">
        <v>103</v>
      </c>
      <c r="G3" s="471" t="s">
        <v>104</v>
      </c>
      <c r="H3" s="471" t="s">
        <v>89</v>
      </c>
      <c r="I3" s="471" t="s">
        <v>103</v>
      </c>
      <c r="J3" s="471" t="s">
        <v>104</v>
      </c>
      <c r="K3" s="471" t="s">
        <v>89</v>
      </c>
      <c r="L3" s="471" t="s">
        <v>103</v>
      </c>
      <c r="M3" s="471" t="s">
        <v>104</v>
      </c>
      <c r="N3" s="471" t="s">
        <v>89</v>
      </c>
      <c r="O3" s="471" t="s">
        <v>103</v>
      </c>
      <c r="P3" s="471" t="s">
        <v>104</v>
      </c>
      <c r="Q3" s="471" t="s">
        <v>89</v>
      </c>
    </row>
    <row r="4" spans="1:17" s="248" customFormat="1" ht="19.5" customHeight="1" x14ac:dyDescent="0.35">
      <c r="A4" s="362">
        <v>1</v>
      </c>
      <c r="B4" s="362">
        <v>2</v>
      </c>
      <c r="C4" s="362">
        <v>3</v>
      </c>
      <c r="D4" s="362">
        <v>4</v>
      </c>
      <c r="E4" s="362">
        <v>5</v>
      </c>
      <c r="F4" s="362">
        <v>6</v>
      </c>
      <c r="G4" s="362">
        <v>7</v>
      </c>
      <c r="H4" s="362">
        <v>8</v>
      </c>
      <c r="I4" s="362">
        <v>9</v>
      </c>
      <c r="J4" s="362">
        <v>10</v>
      </c>
      <c r="K4" s="362">
        <v>11</v>
      </c>
      <c r="L4" s="362">
        <v>12</v>
      </c>
      <c r="M4" s="362">
        <v>13</v>
      </c>
      <c r="N4" s="362">
        <v>14</v>
      </c>
      <c r="O4" s="362">
        <v>15</v>
      </c>
      <c r="P4" s="362">
        <v>16</v>
      </c>
      <c r="Q4" s="362">
        <v>17</v>
      </c>
    </row>
    <row r="5" spans="1:17" ht="22.5" customHeight="1" x14ac:dyDescent="0.35">
      <c r="A5" s="241">
        <v>1</v>
      </c>
      <c r="B5" s="249" t="s">
        <v>56</v>
      </c>
      <c r="C5" s="230">
        <v>4</v>
      </c>
      <c r="D5" s="230">
        <v>2</v>
      </c>
      <c r="E5" s="97">
        <v>6</v>
      </c>
      <c r="F5" s="230">
        <v>3</v>
      </c>
      <c r="G5" s="230">
        <v>4</v>
      </c>
      <c r="H5" s="97">
        <v>7</v>
      </c>
      <c r="I5" s="230">
        <v>11</v>
      </c>
      <c r="J5" s="230">
        <v>14</v>
      </c>
      <c r="K5" s="97">
        <v>25</v>
      </c>
      <c r="L5" s="230"/>
      <c r="M5" s="230"/>
      <c r="N5" s="97"/>
      <c r="O5" s="230">
        <v>18</v>
      </c>
      <c r="P5" s="230">
        <v>20</v>
      </c>
      <c r="Q5" s="230">
        <v>38</v>
      </c>
    </row>
    <row r="6" spans="1:17" ht="22.5" customHeight="1" x14ac:dyDescent="0.35">
      <c r="A6" s="241">
        <v>2</v>
      </c>
      <c r="B6" s="249" t="s">
        <v>13</v>
      </c>
      <c r="C6" s="230">
        <v>9742</v>
      </c>
      <c r="D6" s="230">
        <v>9455</v>
      </c>
      <c r="E6" s="97">
        <v>19197</v>
      </c>
      <c r="F6" s="230">
        <v>8321</v>
      </c>
      <c r="G6" s="230">
        <v>7705</v>
      </c>
      <c r="H6" s="97">
        <v>16026</v>
      </c>
      <c r="I6" s="230">
        <v>12865</v>
      </c>
      <c r="J6" s="230">
        <v>9451</v>
      </c>
      <c r="K6" s="97">
        <v>22316</v>
      </c>
      <c r="L6" s="230">
        <v>10590</v>
      </c>
      <c r="M6" s="230">
        <v>11441</v>
      </c>
      <c r="N6" s="97">
        <v>22031</v>
      </c>
      <c r="O6" s="230">
        <v>41518</v>
      </c>
      <c r="P6" s="230">
        <v>38052</v>
      </c>
      <c r="Q6" s="230">
        <v>79570</v>
      </c>
    </row>
    <row r="7" spans="1:17" ht="22.5" customHeight="1" x14ac:dyDescent="0.35">
      <c r="A7" s="241">
        <v>3</v>
      </c>
      <c r="B7" s="249" t="s">
        <v>14</v>
      </c>
      <c r="C7" s="230">
        <v>549</v>
      </c>
      <c r="D7" s="230">
        <v>898</v>
      </c>
      <c r="E7" s="97">
        <v>1447</v>
      </c>
      <c r="F7" s="230">
        <v>438</v>
      </c>
      <c r="G7" s="230">
        <v>1656</v>
      </c>
      <c r="H7" s="97">
        <v>2094</v>
      </c>
      <c r="I7" s="230">
        <v>1970</v>
      </c>
      <c r="J7" s="230">
        <v>2049</v>
      </c>
      <c r="K7" s="97">
        <v>4019</v>
      </c>
      <c r="L7" s="230">
        <v>649</v>
      </c>
      <c r="M7" s="230">
        <v>767</v>
      </c>
      <c r="N7" s="97">
        <v>1416</v>
      </c>
      <c r="O7" s="230">
        <v>3606</v>
      </c>
      <c r="P7" s="230">
        <v>5370</v>
      </c>
      <c r="Q7" s="230">
        <v>8976</v>
      </c>
    </row>
    <row r="8" spans="1:17" ht="22.5" customHeight="1" x14ac:dyDescent="0.35">
      <c r="A8" s="241">
        <v>4</v>
      </c>
      <c r="B8" s="249" t="s">
        <v>15</v>
      </c>
      <c r="C8" s="230">
        <v>1191</v>
      </c>
      <c r="D8" s="230">
        <v>524</v>
      </c>
      <c r="E8" s="97">
        <v>1715</v>
      </c>
      <c r="F8" s="230">
        <v>1717</v>
      </c>
      <c r="G8" s="230">
        <v>956</v>
      </c>
      <c r="H8" s="97">
        <v>2673</v>
      </c>
      <c r="I8" s="230">
        <v>6966</v>
      </c>
      <c r="J8" s="230">
        <v>4518</v>
      </c>
      <c r="K8" s="97">
        <v>11484</v>
      </c>
      <c r="L8" s="230">
        <v>7615</v>
      </c>
      <c r="M8" s="230">
        <v>2558</v>
      </c>
      <c r="N8" s="97">
        <v>10173</v>
      </c>
      <c r="O8" s="230">
        <v>17489</v>
      </c>
      <c r="P8" s="230">
        <v>8556</v>
      </c>
      <c r="Q8" s="230">
        <v>26045</v>
      </c>
    </row>
    <row r="9" spans="1:17" ht="22.5" customHeight="1" x14ac:dyDescent="0.35">
      <c r="A9" s="241">
        <v>5</v>
      </c>
      <c r="B9" s="249" t="s">
        <v>16</v>
      </c>
      <c r="C9" s="230">
        <v>2602</v>
      </c>
      <c r="D9" s="230">
        <v>1333</v>
      </c>
      <c r="E9" s="97">
        <v>3935</v>
      </c>
      <c r="F9" s="230">
        <v>3298</v>
      </c>
      <c r="G9" s="230">
        <v>2270</v>
      </c>
      <c r="H9" s="97">
        <v>5568</v>
      </c>
      <c r="I9" s="230">
        <v>12783</v>
      </c>
      <c r="J9" s="230">
        <v>4781</v>
      </c>
      <c r="K9" s="97">
        <v>17564</v>
      </c>
      <c r="L9" s="230">
        <v>12667</v>
      </c>
      <c r="M9" s="230">
        <v>4000</v>
      </c>
      <c r="N9" s="97">
        <v>16667</v>
      </c>
      <c r="O9" s="230">
        <v>31350</v>
      </c>
      <c r="P9" s="230">
        <v>12384</v>
      </c>
      <c r="Q9" s="230">
        <v>43734</v>
      </c>
    </row>
    <row r="10" spans="1:17" ht="22.5" customHeight="1" x14ac:dyDescent="0.35">
      <c r="A10" s="241">
        <v>6</v>
      </c>
      <c r="B10" s="249" t="s">
        <v>17</v>
      </c>
      <c r="C10" s="230">
        <v>472</v>
      </c>
      <c r="D10" s="230">
        <v>221</v>
      </c>
      <c r="E10" s="97">
        <v>693</v>
      </c>
      <c r="F10" s="230">
        <v>1317</v>
      </c>
      <c r="G10" s="230">
        <v>1111</v>
      </c>
      <c r="H10" s="97">
        <v>2428</v>
      </c>
      <c r="I10" s="230">
        <v>1154</v>
      </c>
      <c r="J10" s="230">
        <v>392</v>
      </c>
      <c r="K10" s="97">
        <v>1546</v>
      </c>
      <c r="L10" s="230">
        <v>1637</v>
      </c>
      <c r="M10" s="230">
        <v>620</v>
      </c>
      <c r="N10" s="97">
        <v>2257</v>
      </c>
      <c r="O10" s="230">
        <v>4580</v>
      </c>
      <c r="P10" s="230">
        <v>2344</v>
      </c>
      <c r="Q10" s="230">
        <v>6924</v>
      </c>
    </row>
    <row r="11" spans="1:17" ht="22.5" customHeight="1" x14ac:dyDescent="0.35">
      <c r="A11" s="241">
        <v>7</v>
      </c>
      <c r="B11" s="249" t="s">
        <v>18</v>
      </c>
      <c r="C11" s="230">
        <v>1699</v>
      </c>
      <c r="D11" s="230">
        <v>1670</v>
      </c>
      <c r="E11" s="97">
        <v>3369</v>
      </c>
      <c r="F11" s="230">
        <v>2516</v>
      </c>
      <c r="G11" s="230">
        <v>2139</v>
      </c>
      <c r="H11" s="97">
        <v>4655</v>
      </c>
      <c r="I11" s="230">
        <v>5331</v>
      </c>
      <c r="J11" s="230">
        <v>3736</v>
      </c>
      <c r="K11" s="97">
        <v>9067</v>
      </c>
      <c r="L11" s="230">
        <v>3772</v>
      </c>
      <c r="M11" s="230">
        <v>2412</v>
      </c>
      <c r="N11" s="97">
        <v>6184</v>
      </c>
      <c r="O11" s="230">
        <v>13318</v>
      </c>
      <c r="P11" s="230">
        <v>9957</v>
      </c>
      <c r="Q11" s="230">
        <v>23275</v>
      </c>
    </row>
    <row r="12" spans="1:17" ht="22.5" customHeight="1" x14ac:dyDescent="0.35">
      <c r="A12" s="241">
        <v>8</v>
      </c>
      <c r="B12" s="249" t="s">
        <v>19</v>
      </c>
      <c r="C12" s="230">
        <v>1239</v>
      </c>
      <c r="D12" s="213">
        <v>754</v>
      </c>
      <c r="E12" s="97">
        <v>1993</v>
      </c>
      <c r="F12" s="230">
        <v>5025</v>
      </c>
      <c r="G12" s="230">
        <v>5495</v>
      </c>
      <c r="H12" s="97">
        <v>10520</v>
      </c>
      <c r="I12" s="230">
        <v>11277</v>
      </c>
      <c r="J12" s="230">
        <v>2544</v>
      </c>
      <c r="K12" s="97">
        <v>13821</v>
      </c>
      <c r="L12" s="230">
        <v>2930</v>
      </c>
      <c r="M12" s="230">
        <v>1230</v>
      </c>
      <c r="N12" s="97">
        <v>4160</v>
      </c>
      <c r="O12" s="230">
        <v>20471</v>
      </c>
      <c r="P12" s="230">
        <v>10023</v>
      </c>
      <c r="Q12" s="230">
        <v>30494</v>
      </c>
    </row>
    <row r="13" spans="1:17" ht="22.5" customHeight="1" x14ac:dyDescent="0.35">
      <c r="A13" s="241">
        <v>9</v>
      </c>
      <c r="B13" s="249" t="s">
        <v>20</v>
      </c>
      <c r="C13" s="230">
        <v>137</v>
      </c>
      <c r="D13" s="230">
        <v>88</v>
      </c>
      <c r="E13" s="97">
        <v>225</v>
      </c>
      <c r="F13" s="230">
        <v>172</v>
      </c>
      <c r="G13" s="230">
        <v>157</v>
      </c>
      <c r="H13" s="97">
        <v>329</v>
      </c>
      <c r="I13" s="230">
        <v>2074</v>
      </c>
      <c r="J13" s="230">
        <v>2467</v>
      </c>
      <c r="K13" s="97">
        <v>4541</v>
      </c>
      <c r="L13" s="230">
        <v>381</v>
      </c>
      <c r="M13" s="230">
        <v>381</v>
      </c>
      <c r="N13" s="97">
        <v>762</v>
      </c>
      <c r="O13" s="230">
        <v>2764</v>
      </c>
      <c r="P13" s="230">
        <v>3093</v>
      </c>
      <c r="Q13" s="230">
        <v>5857</v>
      </c>
    </row>
    <row r="14" spans="1:17" ht="22.5" customHeight="1" x14ac:dyDescent="0.35">
      <c r="A14" s="241">
        <v>10</v>
      </c>
      <c r="B14" s="249" t="s">
        <v>21</v>
      </c>
      <c r="C14" s="230">
        <v>4596</v>
      </c>
      <c r="D14" s="230">
        <v>3293</v>
      </c>
      <c r="E14" s="97">
        <v>7889</v>
      </c>
      <c r="F14" s="230">
        <v>5352</v>
      </c>
      <c r="G14" s="230">
        <v>3693</v>
      </c>
      <c r="H14" s="97">
        <v>9045</v>
      </c>
      <c r="I14" s="230">
        <v>10202</v>
      </c>
      <c r="J14" s="230">
        <v>5603</v>
      </c>
      <c r="K14" s="97">
        <v>15805</v>
      </c>
      <c r="L14" s="230">
        <v>11589</v>
      </c>
      <c r="M14" s="230">
        <v>6038</v>
      </c>
      <c r="N14" s="97">
        <v>17627</v>
      </c>
      <c r="O14" s="230">
        <v>31739</v>
      </c>
      <c r="P14" s="230">
        <v>18627</v>
      </c>
      <c r="Q14" s="230">
        <v>50366</v>
      </c>
    </row>
    <row r="15" spans="1:17" ht="22.5" customHeight="1" x14ac:dyDescent="0.35">
      <c r="A15" s="241">
        <v>11</v>
      </c>
      <c r="B15" s="249" t="s">
        <v>22</v>
      </c>
      <c r="C15" s="230">
        <v>1541</v>
      </c>
      <c r="D15" s="230">
        <v>958</v>
      </c>
      <c r="E15" s="97">
        <v>2499</v>
      </c>
      <c r="F15" s="230">
        <v>3458</v>
      </c>
      <c r="G15" s="230">
        <v>2165</v>
      </c>
      <c r="H15" s="97">
        <v>5623</v>
      </c>
      <c r="I15" s="230">
        <v>13179</v>
      </c>
      <c r="J15" s="230">
        <v>6182</v>
      </c>
      <c r="K15" s="97">
        <v>19361</v>
      </c>
      <c r="L15" s="230">
        <v>11770</v>
      </c>
      <c r="M15" s="230">
        <v>5329</v>
      </c>
      <c r="N15" s="97">
        <v>17099</v>
      </c>
      <c r="O15" s="230">
        <v>29948</v>
      </c>
      <c r="P15" s="230">
        <v>14634</v>
      </c>
      <c r="Q15" s="230">
        <v>44582</v>
      </c>
    </row>
    <row r="16" spans="1:17" ht="22.5" customHeight="1" x14ac:dyDescent="0.35">
      <c r="A16" s="241">
        <v>12</v>
      </c>
      <c r="B16" s="249" t="s">
        <v>23</v>
      </c>
      <c r="C16" s="230">
        <v>1084</v>
      </c>
      <c r="D16" s="230">
        <v>692</v>
      </c>
      <c r="E16" s="97">
        <v>1776</v>
      </c>
      <c r="F16" s="230">
        <v>951</v>
      </c>
      <c r="G16" s="230">
        <v>613</v>
      </c>
      <c r="H16" s="97">
        <v>1564</v>
      </c>
      <c r="I16" s="230">
        <v>3966</v>
      </c>
      <c r="J16" s="230">
        <v>2226</v>
      </c>
      <c r="K16" s="97">
        <v>6192</v>
      </c>
      <c r="L16" s="230">
        <v>2806</v>
      </c>
      <c r="M16" s="230">
        <v>1468</v>
      </c>
      <c r="N16" s="97">
        <v>4274</v>
      </c>
      <c r="O16" s="230">
        <v>8807</v>
      </c>
      <c r="P16" s="230">
        <v>4999</v>
      </c>
      <c r="Q16" s="230">
        <v>13806</v>
      </c>
    </row>
    <row r="17" spans="1:17" x14ac:dyDescent="0.35">
      <c r="A17" s="241">
        <v>13</v>
      </c>
      <c r="B17" s="249" t="s">
        <v>24</v>
      </c>
      <c r="C17" s="230">
        <v>1465</v>
      </c>
      <c r="D17" s="230">
        <v>880</v>
      </c>
      <c r="E17" s="97">
        <v>2345</v>
      </c>
      <c r="F17" s="230">
        <v>2466</v>
      </c>
      <c r="G17" s="230">
        <v>1643</v>
      </c>
      <c r="H17" s="97">
        <v>4109</v>
      </c>
      <c r="I17" s="230">
        <v>4023</v>
      </c>
      <c r="J17" s="230">
        <v>1975</v>
      </c>
      <c r="K17" s="97">
        <v>5998</v>
      </c>
      <c r="L17" s="230">
        <v>4894</v>
      </c>
      <c r="M17" s="230">
        <v>1542</v>
      </c>
      <c r="N17" s="97">
        <v>6436</v>
      </c>
      <c r="O17" s="230">
        <v>12848</v>
      </c>
      <c r="P17" s="230">
        <v>6040</v>
      </c>
      <c r="Q17" s="230">
        <v>18888</v>
      </c>
    </row>
    <row r="18" spans="1:17" ht="22.5" customHeight="1" x14ac:dyDescent="0.35">
      <c r="A18" s="241">
        <v>14</v>
      </c>
      <c r="B18" s="249" t="s">
        <v>25</v>
      </c>
      <c r="C18" s="230">
        <v>911</v>
      </c>
      <c r="D18" s="230">
        <v>756</v>
      </c>
      <c r="E18" s="97">
        <v>1667</v>
      </c>
      <c r="F18" s="230">
        <v>1694</v>
      </c>
      <c r="G18" s="230">
        <v>2020</v>
      </c>
      <c r="H18" s="97">
        <v>3714</v>
      </c>
      <c r="I18" s="230">
        <v>4637</v>
      </c>
      <c r="J18" s="230">
        <v>1820</v>
      </c>
      <c r="K18" s="97">
        <v>6457</v>
      </c>
      <c r="L18" s="230">
        <v>5083</v>
      </c>
      <c r="M18" s="230">
        <v>2308</v>
      </c>
      <c r="N18" s="97">
        <v>7391</v>
      </c>
      <c r="O18" s="230">
        <v>12325</v>
      </c>
      <c r="P18" s="230">
        <v>6904</v>
      </c>
      <c r="Q18" s="230">
        <v>19229</v>
      </c>
    </row>
    <row r="19" spans="1:17" ht="22.5" customHeight="1" x14ac:dyDescent="0.35">
      <c r="A19" s="241">
        <v>15</v>
      </c>
      <c r="B19" s="249" t="s">
        <v>26</v>
      </c>
      <c r="C19" s="230">
        <v>8602</v>
      </c>
      <c r="D19" s="230">
        <v>9871</v>
      </c>
      <c r="E19" s="97">
        <v>18473</v>
      </c>
      <c r="F19" s="230">
        <v>10843</v>
      </c>
      <c r="G19" s="230">
        <v>11834</v>
      </c>
      <c r="H19" s="97">
        <v>22677</v>
      </c>
      <c r="I19" s="230">
        <v>30324</v>
      </c>
      <c r="J19" s="230">
        <v>28344</v>
      </c>
      <c r="K19" s="97">
        <v>58668</v>
      </c>
      <c r="L19" s="230">
        <v>24662</v>
      </c>
      <c r="M19" s="230">
        <v>24555</v>
      </c>
      <c r="N19" s="97">
        <v>49217</v>
      </c>
      <c r="O19" s="230">
        <v>74431</v>
      </c>
      <c r="P19" s="230">
        <v>74604</v>
      </c>
      <c r="Q19" s="230">
        <v>149035</v>
      </c>
    </row>
    <row r="20" spans="1:17" ht="22.5" customHeight="1" x14ac:dyDescent="0.35">
      <c r="A20" s="241">
        <v>16</v>
      </c>
      <c r="B20" s="249" t="s">
        <v>27</v>
      </c>
      <c r="C20" s="230">
        <v>5857</v>
      </c>
      <c r="D20" s="230">
        <v>12490</v>
      </c>
      <c r="E20" s="97">
        <v>18347</v>
      </c>
      <c r="F20" s="230">
        <v>4810</v>
      </c>
      <c r="G20" s="230">
        <v>7562</v>
      </c>
      <c r="H20" s="97">
        <v>12372</v>
      </c>
      <c r="I20" s="230">
        <v>8875</v>
      </c>
      <c r="J20" s="230">
        <v>11277</v>
      </c>
      <c r="K20" s="97">
        <v>20152</v>
      </c>
      <c r="L20" s="230">
        <v>5024</v>
      </c>
      <c r="M20" s="230">
        <v>6856</v>
      </c>
      <c r="N20" s="97">
        <v>11880</v>
      </c>
      <c r="O20" s="230">
        <v>24566</v>
      </c>
      <c r="P20" s="230">
        <v>38185</v>
      </c>
      <c r="Q20" s="230">
        <v>62751</v>
      </c>
    </row>
    <row r="21" spans="1:17" ht="22.5" customHeight="1" x14ac:dyDescent="0.35">
      <c r="A21" s="241">
        <v>17</v>
      </c>
      <c r="B21" s="249" t="s">
        <v>28</v>
      </c>
      <c r="C21" s="230">
        <v>11</v>
      </c>
      <c r="D21" s="230">
        <v>10</v>
      </c>
      <c r="E21" s="97">
        <v>21</v>
      </c>
      <c r="F21" s="230">
        <v>9</v>
      </c>
      <c r="G21" s="230">
        <v>8</v>
      </c>
      <c r="H21" s="97">
        <v>17</v>
      </c>
      <c r="I21" s="230">
        <v>73</v>
      </c>
      <c r="J21" s="230">
        <v>57</v>
      </c>
      <c r="K21" s="97">
        <v>130</v>
      </c>
      <c r="L21" s="230">
        <v>15</v>
      </c>
      <c r="M21" s="230">
        <v>17</v>
      </c>
      <c r="N21" s="97">
        <v>32</v>
      </c>
      <c r="O21" s="230">
        <v>108</v>
      </c>
      <c r="P21" s="230">
        <v>92</v>
      </c>
      <c r="Q21" s="230">
        <v>200</v>
      </c>
    </row>
    <row r="22" spans="1:17" ht="22.5" customHeight="1" x14ac:dyDescent="0.35">
      <c r="A22" s="241">
        <v>18</v>
      </c>
      <c r="B22" s="249" t="s">
        <v>82</v>
      </c>
      <c r="C22" s="230"/>
      <c r="D22" s="230"/>
      <c r="E22" s="97"/>
      <c r="F22" s="230"/>
      <c r="G22" s="230"/>
      <c r="H22" s="97"/>
      <c r="I22" s="230">
        <v>4</v>
      </c>
      <c r="J22" s="230">
        <v>2</v>
      </c>
      <c r="K22" s="97">
        <v>6</v>
      </c>
      <c r="L22" s="230"/>
      <c r="M22" s="230"/>
      <c r="N22" s="97"/>
      <c r="O22" s="230">
        <v>4</v>
      </c>
      <c r="P22" s="230">
        <v>2</v>
      </c>
      <c r="Q22" s="230">
        <v>6</v>
      </c>
    </row>
    <row r="23" spans="1:17" ht="22.5" customHeight="1" x14ac:dyDescent="0.35">
      <c r="A23" s="241">
        <v>19</v>
      </c>
      <c r="B23" s="249" t="s">
        <v>29</v>
      </c>
      <c r="C23" s="230">
        <v>5478</v>
      </c>
      <c r="D23" s="230">
        <v>4420</v>
      </c>
      <c r="E23" s="97">
        <v>9898</v>
      </c>
      <c r="F23" s="230">
        <v>8378</v>
      </c>
      <c r="G23" s="230">
        <v>6453</v>
      </c>
      <c r="H23" s="97">
        <v>14831</v>
      </c>
      <c r="I23" s="230">
        <v>22736</v>
      </c>
      <c r="J23" s="230">
        <v>16143</v>
      </c>
      <c r="K23" s="97">
        <v>38879</v>
      </c>
      <c r="L23" s="230">
        <v>13439</v>
      </c>
      <c r="M23" s="230">
        <v>6446</v>
      </c>
      <c r="N23" s="97">
        <v>19885</v>
      </c>
      <c r="O23" s="230">
        <v>50031</v>
      </c>
      <c r="P23" s="230">
        <v>33462</v>
      </c>
      <c r="Q23" s="230">
        <v>83493</v>
      </c>
    </row>
    <row r="24" spans="1:17" ht="22.5" customHeight="1" x14ac:dyDescent="0.35">
      <c r="A24" s="241">
        <v>20</v>
      </c>
      <c r="B24" s="249" t="s">
        <v>30</v>
      </c>
      <c r="C24" s="230">
        <v>12186</v>
      </c>
      <c r="D24" s="230">
        <v>6657</v>
      </c>
      <c r="E24" s="97">
        <v>18843</v>
      </c>
      <c r="F24" s="230">
        <v>15218</v>
      </c>
      <c r="G24" s="230">
        <v>10556</v>
      </c>
      <c r="H24" s="97">
        <v>25774</v>
      </c>
      <c r="I24" s="230">
        <v>52306</v>
      </c>
      <c r="J24" s="230">
        <v>28459</v>
      </c>
      <c r="K24" s="97">
        <v>80765</v>
      </c>
      <c r="L24" s="230">
        <v>46249</v>
      </c>
      <c r="M24" s="230">
        <v>17807</v>
      </c>
      <c r="N24" s="97">
        <v>64056</v>
      </c>
      <c r="O24" s="230">
        <v>125959</v>
      </c>
      <c r="P24" s="230">
        <v>63479</v>
      </c>
      <c r="Q24" s="230">
        <v>189438</v>
      </c>
    </row>
    <row r="25" spans="1:17" ht="22.5" customHeight="1" x14ac:dyDescent="0.35">
      <c r="A25" s="241">
        <v>21</v>
      </c>
      <c r="B25" s="249" t="s">
        <v>31</v>
      </c>
      <c r="C25" s="230">
        <v>299</v>
      </c>
      <c r="D25" s="230">
        <v>294</v>
      </c>
      <c r="E25" s="97">
        <v>593</v>
      </c>
      <c r="F25" s="230">
        <v>226</v>
      </c>
      <c r="G25" s="230">
        <v>643</v>
      </c>
      <c r="H25" s="97">
        <v>869</v>
      </c>
      <c r="I25" s="230">
        <v>1202</v>
      </c>
      <c r="J25" s="230">
        <v>1140</v>
      </c>
      <c r="K25" s="97">
        <v>2342</v>
      </c>
      <c r="L25" s="230">
        <v>1052</v>
      </c>
      <c r="M25" s="230">
        <v>632</v>
      </c>
      <c r="N25" s="97">
        <v>1684</v>
      </c>
      <c r="O25" s="230">
        <v>2779</v>
      </c>
      <c r="P25" s="230">
        <v>2709</v>
      </c>
      <c r="Q25" s="230">
        <v>5488</v>
      </c>
    </row>
    <row r="26" spans="1:17" ht="22.5" customHeight="1" x14ac:dyDescent="0.35">
      <c r="A26" s="241">
        <v>22</v>
      </c>
      <c r="B26" s="249" t="s">
        <v>32</v>
      </c>
      <c r="C26" s="230">
        <v>248</v>
      </c>
      <c r="D26" s="230">
        <v>171</v>
      </c>
      <c r="E26" s="97">
        <v>419</v>
      </c>
      <c r="F26" s="230">
        <v>312</v>
      </c>
      <c r="G26" s="230">
        <v>258</v>
      </c>
      <c r="H26" s="97">
        <v>570</v>
      </c>
      <c r="I26" s="230">
        <v>484</v>
      </c>
      <c r="J26" s="230">
        <v>322</v>
      </c>
      <c r="K26" s="97">
        <v>806</v>
      </c>
      <c r="L26" s="230">
        <v>594</v>
      </c>
      <c r="M26" s="230">
        <v>476</v>
      </c>
      <c r="N26" s="97">
        <v>1070</v>
      </c>
      <c r="O26" s="230">
        <v>1638</v>
      </c>
      <c r="P26" s="230">
        <v>1227</v>
      </c>
      <c r="Q26" s="230">
        <v>2865</v>
      </c>
    </row>
    <row r="27" spans="1:17" ht="22.5" customHeight="1" x14ac:dyDescent="0.35">
      <c r="A27" s="241">
        <v>23</v>
      </c>
      <c r="B27" s="249" t="s">
        <v>33</v>
      </c>
      <c r="C27" s="230">
        <v>58</v>
      </c>
      <c r="D27" s="230">
        <v>29</v>
      </c>
      <c r="E27" s="97">
        <v>87</v>
      </c>
      <c r="F27" s="230">
        <v>142</v>
      </c>
      <c r="G27" s="230">
        <v>184</v>
      </c>
      <c r="H27" s="97">
        <v>326</v>
      </c>
      <c r="I27" s="230">
        <v>430</v>
      </c>
      <c r="J27" s="230">
        <v>314</v>
      </c>
      <c r="K27" s="97">
        <v>744</v>
      </c>
      <c r="L27" s="230">
        <v>385</v>
      </c>
      <c r="M27" s="230">
        <v>210</v>
      </c>
      <c r="N27" s="97">
        <v>595</v>
      </c>
      <c r="O27" s="230">
        <v>1015</v>
      </c>
      <c r="P27" s="230">
        <v>737</v>
      </c>
      <c r="Q27" s="230">
        <v>1752</v>
      </c>
    </row>
    <row r="28" spans="1:17" ht="22.5" customHeight="1" x14ac:dyDescent="0.35">
      <c r="A28" s="241">
        <v>24</v>
      </c>
      <c r="B28" s="249" t="s">
        <v>34</v>
      </c>
      <c r="C28" s="230">
        <v>192</v>
      </c>
      <c r="D28" s="230">
        <v>110</v>
      </c>
      <c r="E28" s="97">
        <v>302</v>
      </c>
      <c r="F28" s="230">
        <v>221</v>
      </c>
      <c r="G28" s="230">
        <v>134</v>
      </c>
      <c r="H28" s="97">
        <v>355</v>
      </c>
      <c r="I28" s="230">
        <v>515</v>
      </c>
      <c r="J28" s="230">
        <v>306</v>
      </c>
      <c r="K28" s="97">
        <v>821</v>
      </c>
      <c r="L28" s="230">
        <v>651</v>
      </c>
      <c r="M28" s="230">
        <v>337</v>
      </c>
      <c r="N28" s="97">
        <v>988</v>
      </c>
      <c r="O28" s="230">
        <v>1579</v>
      </c>
      <c r="P28" s="230">
        <v>887</v>
      </c>
      <c r="Q28" s="230">
        <v>2466</v>
      </c>
    </row>
    <row r="29" spans="1:17" ht="22.5" customHeight="1" x14ac:dyDescent="0.35">
      <c r="A29" s="241">
        <v>25</v>
      </c>
      <c r="B29" s="249" t="s">
        <v>35</v>
      </c>
      <c r="C29" s="230">
        <v>2707</v>
      </c>
      <c r="D29" s="230">
        <v>1443</v>
      </c>
      <c r="E29" s="97">
        <v>4150</v>
      </c>
      <c r="F29" s="230">
        <v>4849</v>
      </c>
      <c r="G29" s="230">
        <v>3783</v>
      </c>
      <c r="H29" s="97">
        <v>8632</v>
      </c>
      <c r="I29" s="230">
        <v>11365</v>
      </c>
      <c r="J29" s="230">
        <v>7919</v>
      </c>
      <c r="K29" s="97">
        <v>19284</v>
      </c>
      <c r="L29" s="230">
        <v>10481</v>
      </c>
      <c r="M29" s="230">
        <v>5669</v>
      </c>
      <c r="N29" s="97">
        <v>16150</v>
      </c>
      <c r="O29" s="230">
        <v>29402</v>
      </c>
      <c r="P29" s="230">
        <v>18814</v>
      </c>
      <c r="Q29" s="230">
        <v>48216</v>
      </c>
    </row>
    <row r="30" spans="1:17" ht="22.5" customHeight="1" x14ac:dyDescent="0.35">
      <c r="A30" s="241">
        <v>26</v>
      </c>
      <c r="B30" s="249" t="s">
        <v>36</v>
      </c>
      <c r="C30" s="230">
        <v>651</v>
      </c>
      <c r="D30" s="230">
        <v>625</v>
      </c>
      <c r="E30" s="97">
        <v>1276</v>
      </c>
      <c r="F30" s="230">
        <v>939</v>
      </c>
      <c r="G30" s="230">
        <v>2293</v>
      </c>
      <c r="H30" s="97">
        <v>3232</v>
      </c>
      <c r="I30" s="230">
        <v>2636</v>
      </c>
      <c r="J30" s="230">
        <v>2829</v>
      </c>
      <c r="K30" s="97">
        <v>5465</v>
      </c>
      <c r="L30" s="230">
        <v>1420</v>
      </c>
      <c r="M30" s="230">
        <v>2369</v>
      </c>
      <c r="N30" s="97">
        <v>3789</v>
      </c>
      <c r="O30" s="230">
        <v>5646</v>
      </c>
      <c r="P30" s="230">
        <v>8116</v>
      </c>
      <c r="Q30" s="230">
        <v>13762</v>
      </c>
    </row>
    <row r="31" spans="1:17" ht="22.5" customHeight="1" x14ac:dyDescent="0.35">
      <c r="A31" s="241">
        <v>27</v>
      </c>
      <c r="B31" s="249" t="s">
        <v>37</v>
      </c>
      <c r="C31" s="230">
        <v>3109</v>
      </c>
      <c r="D31" s="230">
        <v>3078</v>
      </c>
      <c r="E31" s="97">
        <v>6187</v>
      </c>
      <c r="F31" s="230">
        <v>6906</v>
      </c>
      <c r="G31" s="230">
        <v>6969</v>
      </c>
      <c r="H31" s="97">
        <v>13875</v>
      </c>
      <c r="I31" s="230">
        <v>9466</v>
      </c>
      <c r="J31" s="230">
        <v>6416</v>
      </c>
      <c r="K31" s="97">
        <v>15882</v>
      </c>
      <c r="L31" s="230">
        <v>12591</v>
      </c>
      <c r="M31" s="230">
        <v>6294</v>
      </c>
      <c r="N31" s="97">
        <v>18885</v>
      </c>
      <c r="O31" s="230">
        <v>32072</v>
      </c>
      <c r="P31" s="230">
        <v>22757</v>
      </c>
      <c r="Q31" s="230">
        <v>54829</v>
      </c>
    </row>
    <row r="32" spans="1:17" ht="22.5" customHeight="1" x14ac:dyDescent="0.35">
      <c r="A32" s="241">
        <v>28</v>
      </c>
      <c r="B32" s="249" t="s">
        <v>38</v>
      </c>
      <c r="C32" s="230">
        <v>13100</v>
      </c>
      <c r="D32" s="230">
        <v>7043</v>
      </c>
      <c r="E32" s="97">
        <v>20143</v>
      </c>
      <c r="F32" s="230">
        <v>10593</v>
      </c>
      <c r="G32" s="230">
        <v>5156</v>
      </c>
      <c r="H32" s="97">
        <v>15749</v>
      </c>
      <c r="I32" s="230">
        <v>15880</v>
      </c>
      <c r="J32" s="230">
        <v>6896</v>
      </c>
      <c r="K32" s="97">
        <v>22776</v>
      </c>
      <c r="L32" s="230">
        <v>10590</v>
      </c>
      <c r="M32" s="230">
        <v>4982</v>
      </c>
      <c r="N32" s="97">
        <v>15572</v>
      </c>
      <c r="O32" s="230">
        <v>50163</v>
      </c>
      <c r="P32" s="230">
        <v>24077</v>
      </c>
      <c r="Q32" s="230">
        <v>74240</v>
      </c>
    </row>
    <row r="33" spans="1:17" ht="22.5" customHeight="1" x14ac:dyDescent="0.35">
      <c r="A33" s="241">
        <v>29</v>
      </c>
      <c r="B33" s="249" t="s">
        <v>39</v>
      </c>
      <c r="C33" s="230">
        <v>150</v>
      </c>
      <c r="D33" s="230">
        <v>73</v>
      </c>
      <c r="E33" s="97">
        <v>223</v>
      </c>
      <c r="F33" s="230">
        <v>95</v>
      </c>
      <c r="G33" s="230">
        <v>51</v>
      </c>
      <c r="H33" s="97">
        <v>146</v>
      </c>
      <c r="I33" s="230">
        <v>418</v>
      </c>
      <c r="J33" s="230">
        <v>371</v>
      </c>
      <c r="K33" s="97">
        <v>789</v>
      </c>
      <c r="L33" s="230">
        <v>273</v>
      </c>
      <c r="M33" s="230">
        <v>256</v>
      </c>
      <c r="N33" s="97">
        <v>529</v>
      </c>
      <c r="O33" s="230">
        <v>936</v>
      </c>
      <c r="P33" s="230">
        <v>751</v>
      </c>
      <c r="Q33" s="230">
        <v>1687</v>
      </c>
    </row>
    <row r="34" spans="1:17" ht="22.5" customHeight="1" x14ac:dyDescent="0.35">
      <c r="A34" s="241">
        <v>30</v>
      </c>
      <c r="B34" s="249" t="s">
        <v>40</v>
      </c>
      <c r="C34" s="230">
        <v>15596</v>
      </c>
      <c r="D34" s="230">
        <v>17196</v>
      </c>
      <c r="E34" s="97">
        <v>32792</v>
      </c>
      <c r="F34" s="230">
        <v>18823</v>
      </c>
      <c r="G34" s="230">
        <v>27442</v>
      </c>
      <c r="H34" s="97">
        <v>46265</v>
      </c>
      <c r="I34" s="230">
        <v>33474</v>
      </c>
      <c r="J34" s="230">
        <v>37514</v>
      </c>
      <c r="K34" s="97">
        <v>70988</v>
      </c>
      <c r="L34" s="230">
        <v>30082</v>
      </c>
      <c r="M34" s="230">
        <v>30711</v>
      </c>
      <c r="N34" s="97">
        <v>60793</v>
      </c>
      <c r="O34" s="230">
        <v>97975</v>
      </c>
      <c r="P34" s="230">
        <v>112863</v>
      </c>
      <c r="Q34" s="230">
        <v>210838</v>
      </c>
    </row>
    <row r="35" spans="1:17" ht="22.5" customHeight="1" x14ac:dyDescent="0.35">
      <c r="A35" s="241">
        <v>31</v>
      </c>
      <c r="B35" s="249" t="s">
        <v>41</v>
      </c>
      <c r="C35" s="230">
        <v>7583</v>
      </c>
      <c r="D35" s="230">
        <v>7901</v>
      </c>
      <c r="E35" s="97">
        <v>15484</v>
      </c>
      <c r="F35" s="230">
        <v>5532</v>
      </c>
      <c r="G35" s="230">
        <v>5551</v>
      </c>
      <c r="H35" s="97">
        <v>11083</v>
      </c>
      <c r="I35" s="230">
        <v>8846</v>
      </c>
      <c r="J35" s="230">
        <v>8218</v>
      </c>
      <c r="K35" s="97">
        <v>17064</v>
      </c>
      <c r="L35" s="230">
        <v>8352</v>
      </c>
      <c r="M35" s="230">
        <v>9425</v>
      </c>
      <c r="N35" s="97">
        <v>17777</v>
      </c>
      <c r="O35" s="230">
        <v>30313</v>
      </c>
      <c r="P35" s="230">
        <v>31095</v>
      </c>
      <c r="Q35" s="230">
        <v>61408</v>
      </c>
    </row>
    <row r="36" spans="1:17" ht="28" x14ac:dyDescent="0.35">
      <c r="A36" s="241">
        <v>32</v>
      </c>
      <c r="B36" s="249" t="s">
        <v>58</v>
      </c>
      <c r="C36" s="230">
        <v>7</v>
      </c>
      <c r="D36" s="230">
        <v>8</v>
      </c>
      <c r="E36" s="97">
        <v>15</v>
      </c>
      <c r="F36" s="230">
        <v>38</v>
      </c>
      <c r="G36" s="230">
        <v>115</v>
      </c>
      <c r="H36" s="97">
        <v>153</v>
      </c>
      <c r="I36" s="230">
        <v>87</v>
      </c>
      <c r="J36" s="230">
        <v>107</v>
      </c>
      <c r="K36" s="97">
        <v>194</v>
      </c>
      <c r="L36" s="230">
        <v>49</v>
      </c>
      <c r="M36" s="230">
        <v>51</v>
      </c>
      <c r="N36" s="97">
        <v>100</v>
      </c>
      <c r="O36" s="230">
        <v>181</v>
      </c>
      <c r="P36" s="230">
        <v>281</v>
      </c>
      <c r="Q36" s="230">
        <v>462</v>
      </c>
    </row>
    <row r="37" spans="1:17" ht="22.5" customHeight="1" x14ac:dyDescent="0.35">
      <c r="A37" s="241">
        <v>33</v>
      </c>
      <c r="B37" s="249" t="s">
        <v>42</v>
      </c>
      <c r="C37" s="230">
        <v>49</v>
      </c>
      <c r="D37" s="230">
        <v>20</v>
      </c>
      <c r="E37" s="97">
        <v>69</v>
      </c>
      <c r="F37" s="230">
        <v>133</v>
      </c>
      <c r="G37" s="230">
        <v>77</v>
      </c>
      <c r="H37" s="97">
        <v>210</v>
      </c>
      <c r="I37" s="230">
        <v>1160</v>
      </c>
      <c r="J37" s="230">
        <v>1590</v>
      </c>
      <c r="K37" s="97">
        <v>2750</v>
      </c>
      <c r="L37" s="230">
        <v>875</v>
      </c>
      <c r="M37" s="230">
        <v>495</v>
      </c>
      <c r="N37" s="97">
        <v>1370</v>
      </c>
      <c r="O37" s="230">
        <v>2217</v>
      </c>
      <c r="P37" s="230">
        <v>2182</v>
      </c>
      <c r="Q37" s="230">
        <v>4399</v>
      </c>
    </row>
    <row r="38" spans="1:17" ht="22.5" customHeight="1" x14ac:dyDescent="0.35">
      <c r="A38" s="241">
        <v>34</v>
      </c>
      <c r="B38" s="249" t="s">
        <v>43</v>
      </c>
      <c r="C38" s="230">
        <v>11191</v>
      </c>
      <c r="D38" s="230">
        <v>5915</v>
      </c>
      <c r="E38" s="97">
        <v>17106</v>
      </c>
      <c r="F38" s="230">
        <v>18668</v>
      </c>
      <c r="G38" s="230">
        <v>11582</v>
      </c>
      <c r="H38" s="97">
        <v>30250</v>
      </c>
      <c r="I38" s="230">
        <v>45099</v>
      </c>
      <c r="J38" s="230">
        <v>19396</v>
      </c>
      <c r="K38" s="97">
        <v>64495</v>
      </c>
      <c r="L38" s="230">
        <v>42884</v>
      </c>
      <c r="M38" s="230">
        <v>17400</v>
      </c>
      <c r="N38" s="97">
        <v>60284</v>
      </c>
      <c r="O38" s="230">
        <v>117842</v>
      </c>
      <c r="P38" s="230">
        <v>54293</v>
      </c>
      <c r="Q38" s="230">
        <v>172135</v>
      </c>
    </row>
    <row r="39" spans="1:17" ht="22.5" customHeight="1" x14ac:dyDescent="0.35">
      <c r="A39" s="241">
        <v>35</v>
      </c>
      <c r="B39" s="249" t="s">
        <v>44</v>
      </c>
      <c r="C39" s="230">
        <v>644</v>
      </c>
      <c r="D39" s="230">
        <v>270</v>
      </c>
      <c r="E39" s="97">
        <v>914</v>
      </c>
      <c r="F39" s="230">
        <v>4453</v>
      </c>
      <c r="G39" s="230">
        <v>3058</v>
      </c>
      <c r="H39" s="97">
        <v>7511</v>
      </c>
      <c r="I39" s="230">
        <v>7080</v>
      </c>
      <c r="J39" s="230">
        <v>3850</v>
      </c>
      <c r="K39" s="97">
        <v>10930</v>
      </c>
      <c r="L39" s="230">
        <v>5580</v>
      </c>
      <c r="M39" s="230">
        <v>2908</v>
      </c>
      <c r="N39" s="97">
        <v>8488</v>
      </c>
      <c r="O39" s="230">
        <v>17757</v>
      </c>
      <c r="P39" s="230">
        <v>10086</v>
      </c>
      <c r="Q39" s="230">
        <v>27843</v>
      </c>
    </row>
    <row r="40" spans="1:17" ht="22.5" customHeight="1" x14ac:dyDescent="0.35">
      <c r="A40" s="241">
        <v>36</v>
      </c>
      <c r="B40" s="249" t="s">
        <v>45</v>
      </c>
      <c r="C40" s="230">
        <v>2513</v>
      </c>
      <c r="D40" s="230">
        <v>1107</v>
      </c>
      <c r="E40" s="97">
        <v>3620</v>
      </c>
      <c r="F40" s="230">
        <v>5100</v>
      </c>
      <c r="G40" s="230">
        <v>2852</v>
      </c>
      <c r="H40" s="97">
        <v>7952</v>
      </c>
      <c r="I40" s="230">
        <v>8350</v>
      </c>
      <c r="J40" s="230">
        <v>3260</v>
      </c>
      <c r="K40" s="97">
        <v>11610</v>
      </c>
      <c r="L40" s="230">
        <v>14061</v>
      </c>
      <c r="M40" s="230">
        <v>5939</v>
      </c>
      <c r="N40" s="97">
        <v>20000</v>
      </c>
      <c r="O40" s="230">
        <v>30024</v>
      </c>
      <c r="P40" s="230">
        <v>13158</v>
      </c>
      <c r="Q40" s="230">
        <v>43182</v>
      </c>
    </row>
    <row r="41" spans="1:17" s="251" customFormat="1" ht="22.5" customHeight="1" x14ac:dyDescent="0.35">
      <c r="A41" s="829" t="s">
        <v>46</v>
      </c>
      <c r="B41" s="829"/>
      <c r="C41" s="232">
        <v>117463</v>
      </c>
      <c r="D41" s="232">
        <v>100255</v>
      </c>
      <c r="E41" s="232">
        <v>217718</v>
      </c>
      <c r="F41" s="232">
        <v>153016</v>
      </c>
      <c r="G41" s="232">
        <v>138188</v>
      </c>
      <c r="H41" s="232">
        <v>291204</v>
      </c>
      <c r="I41" s="232">
        <v>351248</v>
      </c>
      <c r="J41" s="232">
        <v>232488</v>
      </c>
      <c r="K41" s="232">
        <v>583736</v>
      </c>
      <c r="L41" s="232">
        <v>305692</v>
      </c>
      <c r="M41" s="232">
        <v>183929</v>
      </c>
      <c r="N41" s="232">
        <v>489621</v>
      </c>
      <c r="O41" s="232">
        <v>927419</v>
      </c>
      <c r="P41" s="232">
        <v>654860</v>
      </c>
      <c r="Q41" s="232">
        <v>1582279</v>
      </c>
    </row>
  </sheetData>
  <mergeCells count="10">
    <mergeCell ref="A2:A3"/>
    <mergeCell ref="A41:B41"/>
    <mergeCell ref="O2:Q2"/>
    <mergeCell ref="C1:H1"/>
    <mergeCell ref="I1:Q1"/>
    <mergeCell ref="B2:B3"/>
    <mergeCell ref="C2:E2"/>
    <mergeCell ref="F2:H2"/>
    <mergeCell ref="I2:K2"/>
    <mergeCell ref="L2:N2"/>
  </mergeCells>
  <pageMargins left="0.59055118110236227" right="0.35433070866141736" top="0.39370078740157483" bottom="0.39370078740157483" header="0.31496062992125984" footer="0.19685039370078741"/>
  <pageSetup paperSize="9" scale="80" firstPageNumber="79" orientation="portrait" r:id="rId1"/>
  <headerFooter>
    <oddFooter>&amp;L&amp;"Arial,Italic"&amp;9AISHE 2023-24&amp;RT-23</oddFooter>
  </headerFooter>
  <colBreaks count="1" manualBreakCount="1">
    <brk id="8" max="39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2936-66E8-42A2-8978-F0E11FEE50A7}">
  <dimension ref="A1:Z41"/>
  <sheetViews>
    <sheetView view="pageBreakPreview" topLeftCell="C1" zoomScaleNormal="100" zoomScaleSheetLayoutView="100" workbookViewId="0">
      <pane ySplit="3" topLeftCell="A4" activePane="bottomLeft" state="frozen"/>
      <selection activeCell="B16" sqref="B16:M16"/>
      <selection pane="bottomLeft" activeCell="B16" sqref="B16:M16"/>
    </sheetView>
  </sheetViews>
  <sheetFormatPr defaultColWidth="9.26953125" defaultRowHeight="14" x14ac:dyDescent="0.3"/>
  <cols>
    <col min="1" max="1" width="4.26953125" style="321" bestFit="1" customWidth="1"/>
    <col min="2" max="2" width="20.1796875" style="253" customWidth="1"/>
    <col min="3" max="4" width="10.1796875" style="253" bestFit="1" customWidth="1"/>
    <col min="5" max="5" width="11.26953125" style="253" bestFit="1" customWidth="1"/>
    <col min="6" max="8" width="10.1796875" style="253" bestFit="1" customWidth="1"/>
    <col min="9" max="11" width="8.453125" style="253" bestFit="1" customWidth="1"/>
    <col min="12" max="14" width="10.1796875" style="253" bestFit="1" customWidth="1"/>
    <col min="15" max="26" width="9.54296875" style="253" customWidth="1"/>
    <col min="27" max="16384" width="9.26953125" style="253"/>
  </cols>
  <sheetData>
    <row r="1" spans="1:26" s="247" customFormat="1" ht="36" customHeight="1" x14ac:dyDescent="0.35">
      <c r="A1" s="565"/>
      <c r="B1" s="206"/>
      <c r="C1" s="838" t="s">
        <v>1033</v>
      </c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8" t="str">
        <f>C1</f>
        <v>Table 24. States/UTs-wise Number of Non-Teaching staff at various social groups
(Based on Actual response)</v>
      </c>
      <c r="P1" s="838"/>
      <c r="Q1" s="838"/>
      <c r="R1" s="838"/>
      <c r="S1" s="838"/>
      <c r="T1" s="838"/>
      <c r="U1" s="838"/>
      <c r="V1" s="838"/>
      <c r="W1" s="838"/>
      <c r="X1" s="838"/>
      <c r="Y1" s="838"/>
      <c r="Z1" s="838"/>
    </row>
    <row r="2" spans="1:26" s="252" customFormat="1" x14ac:dyDescent="0.3">
      <c r="A2" s="758" t="s">
        <v>882</v>
      </c>
      <c r="B2" s="758" t="s">
        <v>885</v>
      </c>
      <c r="C2" s="758" t="s">
        <v>703</v>
      </c>
      <c r="D2" s="758"/>
      <c r="E2" s="758"/>
      <c r="F2" s="758" t="s">
        <v>883</v>
      </c>
      <c r="G2" s="758"/>
      <c r="H2" s="758"/>
      <c r="I2" s="758" t="s">
        <v>884</v>
      </c>
      <c r="J2" s="758"/>
      <c r="K2" s="758"/>
      <c r="L2" s="758" t="s">
        <v>889</v>
      </c>
      <c r="M2" s="758"/>
      <c r="N2" s="758"/>
      <c r="O2" s="758" t="s">
        <v>1037</v>
      </c>
      <c r="P2" s="758"/>
      <c r="Q2" s="758"/>
      <c r="R2" s="758" t="s">
        <v>704</v>
      </c>
      <c r="S2" s="758"/>
      <c r="T2" s="758"/>
      <c r="U2" s="758" t="s">
        <v>705</v>
      </c>
      <c r="V2" s="758"/>
      <c r="W2" s="758"/>
      <c r="X2" s="758" t="s">
        <v>706</v>
      </c>
      <c r="Y2" s="758"/>
      <c r="Z2" s="758"/>
    </row>
    <row r="3" spans="1:26" s="252" customFormat="1" x14ac:dyDescent="0.3">
      <c r="A3" s="758"/>
      <c r="B3" s="758"/>
      <c r="C3" s="123" t="s">
        <v>103</v>
      </c>
      <c r="D3" s="123" t="s">
        <v>104</v>
      </c>
      <c r="E3" s="123" t="s">
        <v>89</v>
      </c>
      <c r="F3" s="123" t="s">
        <v>103</v>
      </c>
      <c r="G3" s="123" t="s">
        <v>104</v>
      </c>
      <c r="H3" s="123" t="s">
        <v>89</v>
      </c>
      <c r="I3" s="123" t="s">
        <v>103</v>
      </c>
      <c r="J3" s="123" t="s">
        <v>104</v>
      </c>
      <c r="K3" s="123" t="s">
        <v>89</v>
      </c>
      <c r="L3" s="123" t="s">
        <v>103</v>
      </c>
      <c r="M3" s="123" t="s">
        <v>104</v>
      </c>
      <c r="N3" s="123" t="s">
        <v>89</v>
      </c>
      <c r="O3" s="123" t="s">
        <v>103</v>
      </c>
      <c r="P3" s="123" t="s">
        <v>104</v>
      </c>
      <c r="Q3" s="123" t="s">
        <v>89</v>
      </c>
      <c r="R3" s="123" t="s">
        <v>103</v>
      </c>
      <c r="S3" s="123" t="s">
        <v>104</v>
      </c>
      <c r="T3" s="123" t="s">
        <v>89</v>
      </c>
      <c r="U3" s="123" t="s">
        <v>103</v>
      </c>
      <c r="V3" s="123" t="s">
        <v>104</v>
      </c>
      <c r="W3" s="123" t="s">
        <v>89</v>
      </c>
      <c r="X3" s="123" t="s">
        <v>103</v>
      </c>
      <c r="Y3" s="123" t="s">
        <v>104</v>
      </c>
      <c r="Z3" s="123" t="s">
        <v>89</v>
      </c>
    </row>
    <row r="4" spans="1:26" x14ac:dyDescent="0.3">
      <c r="A4" s="362">
        <v>1</v>
      </c>
      <c r="B4" s="362">
        <v>2</v>
      </c>
      <c r="C4" s="362">
        <v>3</v>
      </c>
      <c r="D4" s="362">
        <v>4</v>
      </c>
      <c r="E4" s="362">
        <v>5</v>
      </c>
      <c r="F4" s="362">
        <v>6</v>
      </c>
      <c r="G4" s="362">
        <v>7</v>
      </c>
      <c r="H4" s="362">
        <v>8</v>
      </c>
      <c r="I4" s="362">
        <v>9</v>
      </c>
      <c r="J4" s="362">
        <v>10</v>
      </c>
      <c r="K4" s="362">
        <v>11</v>
      </c>
      <c r="L4" s="362">
        <v>12</v>
      </c>
      <c r="M4" s="362">
        <v>13</v>
      </c>
      <c r="N4" s="362">
        <v>14</v>
      </c>
      <c r="O4" s="362">
        <v>15</v>
      </c>
      <c r="P4" s="362">
        <v>16</v>
      </c>
      <c r="Q4" s="362">
        <v>17</v>
      </c>
      <c r="R4" s="362">
        <v>18</v>
      </c>
      <c r="S4" s="362">
        <v>19</v>
      </c>
      <c r="T4" s="362">
        <v>20</v>
      </c>
      <c r="U4" s="362">
        <v>21</v>
      </c>
      <c r="V4" s="362">
        <v>22</v>
      </c>
      <c r="W4" s="362">
        <v>23</v>
      </c>
      <c r="X4" s="362">
        <v>24</v>
      </c>
      <c r="Y4" s="362">
        <v>25</v>
      </c>
      <c r="Z4" s="362">
        <v>26</v>
      </c>
    </row>
    <row r="5" spans="1:26" ht="28.5" customHeight="1" x14ac:dyDescent="0.3">
      <c r="A5" s="320">
        <v>1</v>
      </c>
      <c r="B5" s="249" t="s">
        <v>56</v>
      </c>
      <c r="C5" s="97">
        <v>18</v>
      </c>
      <c r="D5" s="97">
        <v>20</v>
      </c>
      <c r="E5" s="97">
        <v>38</v>
      </c>
      <c r="F5" s="97"/>
      <c r="G5" s="97"/>
      <c r="H5" s="97"/>
      <c r="I5" s="97"/>
      <c r="J5" s="97"/>
      <c r="K5" s="97"/>
      <c r="L5" s="97">
        <v>2</v>
      </c>
      <c r="M5" s="97">
        <v>5</v>
      </c>
      <c r="N5" s="97">
        <v>7</v>
      </c>
      <c r="O5" s="97">
        <v>1</v>
      </c>
      <c r="P5" s="97"/>
      <c r="Q5" s="97">
        <v>1</v>
      </c>
      <c r="R5" s="97">
        <v>1</v>
      </c>
      <c r="S5" s="97">
        <v>3</v>
      </c>
      <c r="T5" s="97">
        <v>4</v>
      </c>
      <c r="U5" s="97"/>
      <c r="V5" s="97">
        <v>1</v>
      </c>
      <c r="W5" s="97">
        <v>1</v>
      </c>
      <c r="X5" s="97"/>
      <c r="Y5" s="97"/>
      <c r="Z5" s="97"/>
    </row>
    <row r="6" spans="1:26" ht="28.5" customHeight="1" x14ac:dyDescent="0.3">
      <c r="A6" s="320">
        <v>2</v>
      </c>
      <c r="B6" s="249" t="s">
        <v>13</v>
      </c>
      <c r="C6" s="97">
        <v>41518</v>
      </c>
      <c r="D6" s="97">
        <v>38052</v>
      </c>
      <c r="E6" s="97">
        <v>79570</v>
      </c>
      <c r="F6" s="97">
        <v>7445</v>
      </c>
      <c r="G6" s="97">
        <v>9817</v>
      </c>
      <c r="H6" s="97">
        <v>17262</v>
      </c>
      <c r="I6" s="97">
        <v>1692</v>
      </c>
      <c r="J6" s="97">
        <v>2183</v>
      </c>
      <c r="K6" s="97">
        <v>3875</v>
      </c>
      <c r="L6" s="97">
        <v>15776</v>
      </c>
      <c r="M6" s="97">
        <v>12090</v>
      </c>
      <c r="N6" s="97">
        <v>27866</v>
      </c>
      <c r="O6" s="97">
        <v>126</v>
      </c>
      <c r="P6" s="97">
        <v>103</v>
      </c>
      <c r="Q6" s="97">
        <v>229</v>
      </c>
      <c r="R6" s="97">
        <v>1033</v>
      </c>
      <c r="S6" s="97">
        <v>774</v>
      </c>
      <c r="T6" s="97">
        <v>1807</v>
      </c>
      <c r="U6" s="97">
        <v>374</v>
      </c>
      <c r="V6" s="97">
        <v>528</v>
      </c>
      <c r="W6" s="97">
        <v>902</v>
      </c>
      <c r="X6" s="97">
        <v>341</v>
      </c>
      <c r="Y6" s="97">
        <v>282</v>
      </c>
      <c r="Z6" s="97">
        <v>623</v>
      </c>
    </row>
    <row r="7" spans="1:26" ht="30.75" customHeight="1" x14ac:dyDescent="0.3">
      <c r="A7" s="320">
        <v>3</v>
      </c>
      <c r="B7" s="249" t="s">
        <v>14</v>
      </c>
      <c r="C7" s="97">
        <v>3606</v>
      </c>
      <c r="D7" s="97">
        <v>5370</v>
      </c>
      <c r="E7" s="97">
        <v>8976</v>
      </c>
      <c r="F7" s="97">
        <v>62</v>
      </c>
      <c r="G7" s="97">
        <v>30</v>
      </c>
      <c r="H7" s="97">
        <v>92</v>
      </c>
      <c r="I7" s="97">
        <v>2910</v>
      </c>
      <c r="J7" s="97">
        <v>5057</v>
      </c>
      <c r="K7" s="97">
        <v>7967</v>
      </c>
      <c r="L7" s="97">
        <v>129</v>
      </c>
      <c r="M7" s="97">
        <v>65</v>
      </c>
      <c r="N7" s="97">
        <v>194</v>
      </c>
      <c r="O7" s="97">
        <v>1</v>
      </c>
      <c r="P7" s="97">
        <v>4</v>
      </c>
      <c r="Q7" s="97">
        <v>5</v>
      </c>
      <c r="R7" s="97">
        <v>14</v>
      </c>
      <c r="S7" s="97">
        <v>1</v>
      </c>
      <c r="T7" s="97">
        <v>15</v>
      </c>
      <c r="U7" s="97">
        <v>66</v>
      </c>
      <c r="V7" s="97">
        <v>154</v>
      </c>
      <c r="W7" s="97">
        <v>220</v>
      </c>
      <c r="X7" s="97">
        <v>5</v>
      </c>
      <c r="Y7" s="97"/>
      <c r="Z7" s="97">
        <v>5</v>
      </c>
    </row>
    <row r="8" spans="1:26" ht="28.5" customHeight="1" x14ac:dyDescent="0.3">
      <c r="A8" s="320">
        <v>4</v>
      </c>
      <c r="B8" s="249" t="s">
        <v>15</v>
      </c>
      <c r="C8" s="97">
        <v>17489</v>
      </c>
      <c r="D8" s="97">
        <v>8556</v>
      </c>
      <c r="E8" s="97">
        <v>26045</v>
      </c>
      <c r="F8" s="97">
        <v>1407</v>
      </c>
      <c r="G8" s="97">
        <v>765</v>
      </c>
      <c r="H8" s="97">
        <v>2172</v>
      </c>
      <c r="I8" s="97">
        <v>2192</v>
      </c>
      <c r="J8" s="97">
        <v>1332</v>
      </c>
      <c r="K8" s="97">
        <v>3524</v>
      </c>
      <c r="L8" s="97">
        <v>4365</v>
      </c>
      <c r="M8" s="97">
        <v>2305</v>
      </c>
      <c r="N8" s="97">
        <v>6670</v>
      </c>
      <c r="O8" s="97">
        <v>69</v>
      </c>
      <c r="P8" s="97">
        <v>17</v>
      </c>
      <c r="Q8" s="97">
        <v>86</v>
      </c>
      <c r="R8" s="97">
        <v>1068</v>
      </c>
      <c r="S8" s="97">
        <v>493</v>
      </c>
      <c r="T8" s="97">
        <v>1561</v>
      </c>
      <c r="U8" s="97">
        <v>196</v>
      </c>
      <c r="V8" s="97">
        <v>267</v>
      </c>
      <c r="W8" s="97">
        <v>463</v>
      </c>
      <c r="X8" s="97">
        <v>137</v>
      </c>
      <c r="Y8" s="97">
        <v>83</v>
      </c>
      <c r="Z8" s="97">
        <v>220</v>
      </c>
    </row>
    <row r="9" spans="1:26" ht="28.5" customHeight="1" x14ac:dyDescent="0.3">
      <c r="A9" s="320">
        <v>5</v>
      </c>
      <c r="B9" s="249" t="s">
        <v>16</v>
      </c>
      <c r="C9" s="97">
        <v>31350</v>
      </c>
      <c r="D9" s="97">
        <v>12384</v>
      </c>
      <c r="E9" s="97">
        <v>43734</v>
      </c>
      <c r="F9" s="97">
        <v>2787</v>
      </c>
      <c r="G9" s="97">
        <v>1487</v>
      </c>
      <c r="H9" s="97">
        <v>4274</v>
      </c>
      <c r="I9" s="97">
        <v>358</v>
      </c>
      <c r="J9" s="97">
        <v>351</v>
      </c>
      <c r="K9" s="97">
        <v>709</v>
      </c>
      <c r="L9" s="97">
        <v>11454</v>
      </c>
      <c r="M9" s="97">
        <v>3979</v>
      </c>
      <c r="N9" s="97">
        <v>15433</v>
      </c>
      <c r="O9" s="97">
        <v>53</v>
      </c>
      <c r="P9" s="97">
        <v>20</v>
      </c>
      <c r="Q9" s="97">
        <v>73</v>
      </c>
      <c r="R9" s="97">
        <v>1283</v>
      </c>
      <c r="S9" s="97">
        <v>350</v>
      </c>
      <c r="T9" s="97">
        <v>1633</v>
      </c>
      <c r="U9" s="97">
        <v>256</v>
      </c>
      <c r="V9" s="97">
        <v>156</v>
      </c>
      <c r="W9" s="97">
        <v>412</v>
      </c>
      <c r="X9" s="97">
        <v>273</v>
      </c>
      <c r="Y9" s="97">
        <v>172</v>
      </c>
      <c r="Z9" s="97">
        <v>445</v>
      </c>
    </row>
    <row r="10" spans="1:26" ht="28.5" customHeight="1" x14ac:dyDescent="0.3">
      <c r="A10" s="320">
        <v>6</v>
      </c>
      <c r="B10" s="249" t="s">
        <v>17</v>
      </c>
      <c r="C10" s="97">
        <v>4580</v>
      </c>
      <c r="D10" s="97">
        <v>2344</v>
      </c>
      <c r="E10" s="97">
        <v>6924</v>
      </c>
      <c r="F10" s="97">
        <v>882</v>
      </c>
      <c r="G10" s="97">
        <v>325</v>
      </c>
      <c r="H10" s="97">
        <v>1207</v>
      </c>
      <c r="I10" s="97">
        <v>22</v>
      </c>
      <c r="J10" s="97">
        <v>12</v>
      </c>
      <c r="K10" s="97">
        <v>34</v>
      </c>
      <c r="L10" s="97">
        <v>446</v>
      </c>
      <c r="M10" s="97">
        <v>199</v>
      </c>
      <c r="N10" s="97">
        <v>645</v>
      </c>
      <c r="O10" s="97">
        <v>34</v>
      </c>
      <c r="P10" s="97">
        <v>15</v>
      </c>
      <c r="Q10" s="97">
        <v>49</v>
      </c>
      <c r="R10" s="97">
        <v>7</v>
      </c>
      <c r="S10" s="97">
        <v>1</v>
      </c>
      <c r="T10" s="97">
        <v>8</v>
      </c>
      <c r="U10" s="97">
        <v>112</v>
      </c>
      <c r="V10" s="97">
        <v>76</v>
      </c>
      <c r="W10" s="97">
        <v>188</v>
      </c>
      <c r="X10" s="97">
        <v>32</v>
      </c>
      <c r="Y10" s="97">
        <v>24</v>
      </c>
      <c r="Z10" s="97">
        <v>56</v>
      </c>
    </row>
    <row r="11" spans="1:26" ht="28.5" customHeight="1" x14ac:dyDescent="0.3">
      <c r="A11" s="320">
        <v>7</v>
      </c>
      <c r="B11" s="249" t="s">
        <v>18</v>
      </c>
      <c r="C11" s="97">
        <v>13318</v>
      </c>
      <c r="D11" s="97">
        <v>9957</v>
      </c>
      <c r="E11" s="97">
        <v>23275</v>
      </c>
      <c r="F11" s="97">
        <v>1716</v>
      </c>
      <c r="G11" s="97">
        <v>1480</v>
      </c>
      <c r="H11" s="97">
        <v>3196</v>
      </c>
      <c r="I11" s="97">
        <v>1780</v>
      </c>
      <c r="J11" s="97">
        <v>1477</v>
      </c>
      <c r="K11" s="97">
        <v>3257</v>
      </c>
      <c r="L11" s="97">
        <v>4698</v>
      </c>
      <c r="M11" s="97">
        <v>3349</v>
      </c>
      <c r="N11" s="97">
        <v>8047</v>
      </c>
      <c r="O11" s="97">
        <v>51</v>
      </c>
      <c r="P11" s="97">
        <v>31</v>
      </c>
      <c r="Q11" s="97">
        <v>82</v>
      </c>
      <c r="R11" s="97">
        <v>128</v>
      </c>
      <c r="S11" s="97">
        <v>70</v>
      </c>
      <c r="T11" s="97">
        <v>198</v>
      </c>
      <c r="U11" s="97">
        <v>140</v>
      </c>
      <c r="V11" s="97">
        <v>276</v>
      </c>
      <c r="W11" s="97">
        <v>416</v>
      </c>
      <c r="X11" s="97">
        <v>129</v>
      </c>
      <c r="Y11" s="97">
        <v>53</v>
      </c>
      <c r="Z11" s="97">
        <v>182</v>
      </c>
    </row>
    <row r="12" spans="1:26" ht="28.5" customHeight="1" x14ac:dyDescent="0.3">
      <c r="A12" s="320">
        <v>8</v>
      </c>
      <c r="B12" s="249" t="s">
        <v>19</v>
      </c>
      <c r="C12" s="97">
        <v>20471</v>
      </c>
      <c r="D12" s="27">
        <v>10023</v>
      </c>
      <c r="E12" s="97">
        <v>30494</v>
      </c>
      <c r="F12" s="97">
        <v>3887</v>
      </c>
      <c r="G12" s="97">
        <v>1741</v>
      </c>
      <c r="H12" s="97">
        <v>5628</v>
      </c>
      <c r="I12" s="97">
        <v>760</v>
      </c>
      <c r="J12" s="97">
        <v>594</v>
      </c>
      <c r="K12" s="97">
        <v>1354</v>
      </c>
      <c r="L12" s="97">
        <v>3366</v>
      </c>
      <c r="M12" s="97">
        <v>1866</v>
      </c>
      <c r="N12" s="97">
        <v>5232</v>
      </c>
      <c r="O12" s="97">
        <v>263</v>
      </c>
      <c r="P12" s="97">
        <v>91</v>
      </c>
      <c r="Q12" s="97">
        <v>354</v>
      </c>
      <c r="R12" s="97">
        <v>1126</v>
      </c>
      <c r="S12" s="97">
        <v>113</v>
      </c>
      <c r="T12" s="97">
        <v>1239</v>
      </c>
      <c r="U12" s="97">
        <v>254</v>
      </c>
      <c r="V12" s="97">
        <v>198</v>
      </c>
      <c r="W12" s="97">
        <v>452</v>
      </c>
      <c r="X12" s="97">
        <v>93</v>
      </c>
      <c r="Y12" s="97">
        <v>171</v>
      </c>
      <c r="Z12" s="97">
        <v>264</v>
      </c>
    </row>
    <row r="13" spans="1:26" ht="28.5" customHeight="1" x14ac:dyDescent="0.3">
      <c r="A13" s="320">
        <v>9</v>
      </c>
      <c r="B13" s="249" t="s">
        <v>20</v>
      </c>
      <c r="C13" s="97">
        <v>2764</v>
      </c>
      <c r="D13" s="97">
        <v>3093</v>
      </c>
      <c r="E13" s="97">
        <v>5857</v>
      </c>
      <c r="F13" s="97">
        <v>89</v>
      </c>
      <c r="G13" s="97">
        <v>52</v>
      </c>
      <c r="H13" s="97">
        <v>141</v>
      </c>
      <c r="I13" s="97">
        <v>244</v>
      </c>
      <c r="J13" s="97">
        <v>273</v>
      </c>
      <c r="K13" s="97">
        <v>517</v>
      </c>
      <c r="L13" s="97">
        <v>396</v>
      </c>
      <c r="M13" s="97">
        <v>581</v>
      </c>
      <c r="N13" s="97">
        <v>977</v>
      </c>
      <c r="O13" s="97">
        <v>47</v>
      </c>
      <c r="P13" s="97">
        <v>24</v>
      </c>
      <c r="Q13" s="97">
        <v>71</v>
      </c>
      <c r="R13" s="97">
        <v>31</v>
      </c>
      <c r="S13" s="97">
        <v>46</v>
      </c>
      <c r="T13" s="97">
        <v>77</v>
      </c>
      <c r="U13" s="97">
        <v>179</v>
      </c>
      <c r="V13" s="97">
        <v>561</v>
      </c>
      <c r="W13" s="97">
        <v>740</v>
      </c>
      <c r="X13" s="97">
        <v>38</v>
      </c>
      <c r="Y13" s="97">
        <v>13</v>
      </c>
      <c r="Z13" s="97">
        <v>51</v>
      </c>
    </row>
    <row r="14" spans="1:26" ht="28.5" customHeight="1" x14ac:dyDescent="0.3">
      <c r="A14" s="320">
        <v>10</v>
      </c>
      <c r="B14" s="249" t="s">
        <v>21</v>
      </c>
      <c r="C14" s="97">
        <v>31739</v>
      </c>
      <c r="D14" s="97">
        <v>18627</v>
      </c>
      <c r="E14" s="97">
        <v>50366</v>
      </c>
      <c r="F14" s="97">
        <v>4379</v>
      </c>
      <c r="G14" s="97">
        <v>2994</v>
      </c>
      <c r="H14" s="97">
        <v>7373</v>
      </c>
      <c r="I14" s="97">
        <v>3200</v>
      </c>
      <c r="J14" s="97">
        <v>2241</v>
      </c>
      <c r="K14" s="97">
        <v>5441</v>
      </c>
      <c r="L14" s="97">
        <v>7623</v>
      </c>
      <c r="M14" s="97">
        <v>4000</v>
      </c>
      <c r="N14" s="97">
        <v>11623</v>
      </c>
      <c r="O14" s="97">
        <v>105</v>
      </c>
      <c r="P14" s="97">
        <v>46</v>
      </c>
      <c r="Q14" s="97">
        <v>151</v>
      </c>
      <c r="R14" s="97">
        <v>299</v>
      </c>
      <c r="S14" s="97">
        <v>155</v>
      </c>
      <c r="T14" s="97">
        <v>454</v>
      </c>
      <c r="U14" s="97">
        <v>136</v>
      </c>
      <c r="V14" s="97">
        <v>202</v>
      </c>
      <c r="W14" s="97">
        <v>338</v>
      </c>
      <c r="X14" s="97">
        <v>225</v>
      </c>
      <c r="Y14" s="97">
        <v>113</v>
      </c>
      <c r="Z14" s="97">
        <v>338</v>
      </c>
    </row>
    <row r="15" spans="1:26" ht="28.5" customHeight="1" x14ac:dyDescent="0.3">
      <c r="A15" s="320">
        <v>11</v>
      </c>
      <c r="B15" s="249" t="s">
        <v>22</v>
      </c>
      <c r="C15" s="97">
        <v>29948</v>
      </c>
      <c r="D15" s="97">
        <v>14634</v>
      </c>
      <c r="E15" s="97">
        <v>44582</v>
      </c>
      <c r="F15" s="97">
        <v>5780</v>
      </c>
      <c r="G15" s="97">
        <v>3144</v>
      </c>
      <c r="H15" s="97">
        <v>8924</v>
      </c>
      <c r="I15" s="97">
        <v>155</v>
      </c>
      <c r="J15" s="97">
        <v>101</v>
      </c>
      <c r="K15" s="97">
        <v>256</v>
      </c>
      <c r="L15" s="97">
        <v>5362</v>
      </c>
      <c r="M15" s="97">
        <v>2202</v>
      </c>
      <c r="N15" s="97">
        <v>7564</v>
      </c>
      <c r="O15" s="97">
        <v>171</v>
      </c>
      <c r="P15" s="97">
        <v>56</v>
      </c>
      <c r="Q15" s="97">
        <v>227</v>
      </c>
      <c r="R15" s="97">
        <v>405</v>
      </c>
      <c r="S15" s="97">
        <v>73</v>
      </c>
      <c r="T15" s="97">
        <v>478</v>
      </c>
      <c r="U15" s="97">
        <v>154</v>
      </c>
      <c r="V15" s="97">
        <v>73</v>
      </c>
      <c r="W15" s="97">
        <v>227</v>
      </c>
      <c r="X15" s="97">
        <v>179</v>
      </c>
      <c r="Y15" s="97">
        <v>102</v>
      </c>
      <c r="Z15" s="97">
        <v>281</v>
      </c>
    </row>
    <row r="16" spans="1:26" ht="28.5" customHeight="1" x14ac:dyDescent="0.3">
      <c r="A16" s="320">
        <v>12</v>
      </c>
      <c r="B16" s="249" t="s">
        <v>23</v>
      </c>
      <c r="C16" s="97">
        <v>8807</v>
      </c>
      <c r="D16" s="97">
        <v>4999</v>
      </c>
      <c r="E16" s="97">
        <v>13806</v>
      </c>
      <c r="F16" s="97">
        <v>1648</v>
      </c>
      <c r="G16" s="97">
        <v>1114</v>
      </c>
      <c r="H16" s="97">
        <v>2762</v>
      </c>
      <c r="I16" s="97">
        <v>286</v>
      </c>
      <c r="J16" s="97">
        <v>166</v>
      </c>
      <c r="K16" s="97">
        <v>452</v>
      </c>
      <c r="L16" s="97">
        <v>936</v>
      </c>
      <c r="M16" s="97">
        <v>521</v>
      </c>
      <c r="N16" s="97">
        <v>1457</v>
      </c>
      <c r="O16" s="97">
        <v>54</v>
      </c>
      <c r="P16" s="97">
        <v>15</v>
      </c>
      <c r="Q16" s="97">
        <v>69</v>
      </c>
      <c r="R16" s="97">
        <v>17</v>
      </c>
      <c r="S16" s="97">
        <v>11</v>
      </c>
      <c r="T16" s="97">
        <v>28</v>
      </c>
      <c r="U16" s="97">
        <v>26</v>
      </c>
      <c r="V16" s="97">
        <v>12</v>
      </c>
      <c r="W16" s="97">
        <v>38</v>
      </c>
      <c r="X16" s="97">
        <v>38</v>
      </c>
      <c r="Y16" s="97">
        <v>31</v>
      </c>
      <c r="Z16" s="97">
        <v>69</v>
      </c>
    </row>
    <row r="17" spans="1:26" ht="28.5" customHeight="1" x14ac:dyDescent="0.3">
      <c r="A17" s="320">
        <v>13</v>
      </c>
      <c r="B17" s="249" t="s">
        <v>24</v>
      </c>
      <c r="C17" s="97">
        <v>12848</v>
      </c>
      <c r="D17" s="97">
        <v>6040</v>
      </c>
      <c r="E17" s="97">
        <v>18888</v>
      </c>
      <c r="F17" s="97">
        <v>720</v>
      </c>
      <c r="G17" s="97">
        <v>489</v>
      </c>
      <c r="H17" s="97">
        <v>1209</v>
      </c>
      <c r="I17" s="97">
        <v>441</v>
      </c>
      <c r="J17" s="97">
        <v>147</v>
      </c>
      <c r="K17" s="97">
        <v>588</v>
      </c>
      <c r="L17" s="97">
        <v>396</v>
      </c>
      <c r="M17" s="97">
        <v>327</v>
      </c>
      <c r="N17" s="97">
        <v>723</v>
      </c>
      <c r="O17" s="97">
        <v>17</v>
      </c>
      <c r="P17" s="97">
        <v>11</v>
      </c>
      <c r="Q17" s="97">
        <v>28</v>
      </c>
      <c r="R17" s="97">
        <v>5417</v>
      </c>
      <c r="S17" s="97">
        <v>2009</v>
      </c>
      <c r="T17" s="97">
        <v>7426</v>
      </c>
      <c r="U17" s="97">
        <v>207</v>
      </c>
      <c r="V17" s="97">
        <v>140</v>
      </c>
      <c r="W17" s="97">
        <v>347</v>
      </c>
      <c r="X17" s="97">
        <v>32</v>
      </c>
      <c r="Y17" s="97">
        <v>66</v>
      </c>
      <c r="Z17" s="97">
        <v>98</v>
      </c>
    </row>
    <row r="18" spans="1:26" ht="28.5" customHeight="1" x14ac:dyDescent="0.3">
      <c r="A18" s="320">
        <v>14</v>
      </c>
      <c r="B18" s="249" t="s">
        <v>25</v>
      </c>
      <c r="C18" s="97">
        <v>12325</v>
      </c>
      <c r="D18" s="97">
        <v>6904</v>
      </c>
      <c r="E18" s="97">
        <v>19229</v>
      </c>
      <c r="F18" s="97">
        <v>1432</v>
      </c>
      <c r="G18" s="97">
        <v>1023</v>
      </c>
      <c r="H18" s="97">
        <v>2455</v>
      </c>
      <c r="I18" s="97">
        <v>1956</v>
      </c>
      <c r="J18" s="97">
        <v>1852</v>
      </c>
      <c r="K18" s="97">
        <v>3808</v>
      </c>
      <c r="L18" s="97">
        <v>4391</v>
      </c>
      <c r="M18" s="97">
        <v>1895</v>
      </c>
      <c r="N18" s="97">
        <v>6286</v>
      </c>
      <c r="O18" s="97">
        <v>54</v>
      </c>
      <c r="P18" s="97">
        <v>15</v>
      </c>
      <c r="Q18" s="97">
        <v>69</v>
      </c>
      <c r="R18" s="97">
        <v>523</v>
      </c>
      <c r="S18" s="97">
        <v>213</v>
      </c>
      <c r="T18" s="97">
        <v>736</v>
      </c>
      <c r="U18" s="97">
        <v>317</v>
      </c>
      <c r="V18" s="97">
        <v>314</v>
      </c>
      <c r="W18" s="97">
        <v>631</v>
      </c>
      <c r="X18" s="97">
        <v>151</v>
      </c>
      <c r="Y18" s="97">
        <v>77</v>
      </c>
      <c r="Z18" s="97">
        <v>228</v>
      </c>
    </row>
    <row r="19" spans="1:26" ht="28.5" customHeight="1" x14ac:dyDescent="0.3">
      <c r="A19" s="320">
        <v>15</v>
      </c>
      <c r="B19" s="249" t="s">
        <v>26</v>
      </c>
      <c r="C19" s="97">
        <v>74431</v>
      </c>
      <c r="D19" s="97">
        <v>74604</v>
      </c>
      <c r="E19" s="97">
        <v>149035</v>
      </c>
      <c r="F19" s="97">
        <v>9615</v>
      </c>
      <c r="G19" s="97">
        <v>9957</v>
      </c>
      <c r="H19" s="97">
        <v>19572</v>
      </c>
      <c r="I19" s="97">
        <v>3938</v>
      </c>
      <c r="J19" s="97">
        <v>3727</v>
      </c>
      <c r="K19" s="97">
        <v>7665</v>
      </c>
      <c r="L19" s="97">
        <v>29339</v>
      </c>
      <c r="M19" s="97">
        <v>29671</v>
      </c>
      <c r="N19" s="97">
        <v>59010</v>
      </c>
      <c r="O19" s="97">
        <v>263</v>
      </c>
      <c r="P19" s="97">
        <v>230</v>
      </c>
      <c r="Q19" s="97">
        <v>493</v>
      </c>
      <c r="R19" s="97">
        <v>2022</v>
      </c>
      <c r="S19" s="97">
        <v>1896</v>
      </c>
      <c r="T19" s="97">
        <v>3918</v>
      </c>
      <c r="U19" s="97">
        <v>2498</v>
      </c>
      <c r="V19" s="97">
        <v>4568</v>
      </c>
      <c r="W19" s="97">
        <v>7066</v>
      </c>
      <c r="X19" s="97">
        <v>523</v>
      </c>
      <c r="Y19" s="97">
        <v>365</v>
      </c>
      <c r="Z19" s="97">
        <v>888</v>
      </c>
    </row>
    <row r="20" spans="1:26" ht="28.5" customHeight="1" x14ac:dyDescent="0.3">
      <c r="A20" s="320">
        <v>16</v>
      </c>
      <c r="B20" s="249" t="s">
        <v>27</v>
      </c>
      <c r="C20" s="97">
        <v>24566</v>
      </c>
      <c r="D20" s="97">
        <v>38185</v>
      </c>
      <c r="E20" s="97">
        <v>62751</v>
      </c>
      <c r="F20" s="97">
        <v>1569</v>
      </c>
      <c r="G20" s="97">
        <v>2764</v>
      </c>
      <c r="H20" s="97">
        <v>4333</v>
      </c>
      <c r="I20" s="97">
        <v>368</v>
      </c>
      <c r="J20" s="97">
        <v>463</v>
      </c>
      <c r="K20" s="97">
        <v>831</v>
      </c>
      <c r="L20" s="97">
        <v>10127</v>
      </c>
      <c r="M20" s="97">
        <v>14027</v>
      </c>
      <c r="N20" s="97">
        <v>24154</v>
      </c>
      <c r="O20" s="97">
        <v>250</v>
      </c>
      <c r="P20" s="97">
        <v>260</v>
      </c>
      <c r="Q20" s="97">
        <v>510</v>
      </c>
      <c r="R20" s="97">
        <v>2409</v>
      </c>
      <c r="S20" s="97">
        <v>2714</v>
      </c>
      <c r="T20" s="97">
        <v>5123</v>
      </c>
      <c r="U20" s="97">
        <v>2614</v>
      </c>
      <c r="V20" s="97">
        <v>3579</v>
      </c>
      <c r="W20" s="97">
        <v>6193</v>
      </c>
      <c r="X20" s="97">
        <v>70</v>
      </c>
      <c r="Y20" s="97">
        <v>125</v>
      </c>
      <c r="Z20" s="97">
        <v>195</v>
      </c>
    </row>
    <row r="21" spans="1:26" ht="28.5" customHeight="1" x14ac:dyDescent="0.3">
      <c r="A21" s="320">
        <v>17</v>
      </c>
      <c r="B21" s="249" t="s">
        <v>28</v>
      </c>
      <c r="C21" s="97">
        <v>108</v>
      </c>
      <c r="D21" s="97">
        <v>92</v>
      </c>
      <c r="E21" s="97">
        <v>200</v>
      </c>
      <c r="F21" s="97"/>
      <c r="G21" s="97"/>
      <c r="H21" s="97"/>
      <c r="I21" s="97">
        <v>50</v>
      </c>
      <c r="J21" s="97">
        <v>55</v>
      </c>
      <c r="K21" s="97">
        <v>105</v>
      </c>
      <c r="L21" s="97">
        <v>5</v>
      </c>
      <c r="M21" s="97"/>
      <c r="N21" s="97">
        <v>5</v>
      </c>
      <c r="O21" s="97">
        <v>1</v>
      </c>
      <c r="P21" s="97"/>
      <c r="Q21" s="97">
        <v>1</v>
      </c>
      <c r="R21" s="97">
        <v>18</v>
      </c>
      <c r="S21" s="97">
        <v>13</v>
      </c>
      <c r="T21" s="97">
        <v>31</v>
      </c>
      <c r="U21" s="97">
        <v>5</v>
      </c>
      <c r="V21" s="97">
        <v>18</v>
      </c>
      <c r="W21" s="97">
        <v>23</v>
      </c>
      <c r="X21" s="97"/>
      <c r="Y21" s="97"/>
      <c r="Z21" s="97"/>
    </row>
    <row r="22" spans="1:26" ht="28.5" customHeight="1" x14ac:dyDescent="0.3">
      <c r="A22" s="320">
        <v>18</v>
      </c>
      <c r="B22" s="249" t="s">
        <v>82</v>
      </c>
      <c r="C22" s="97">
        <v>4</v>
      </c>
      <c r="D22" s="97">
        <v>2</v>
      </c>
      <c r="E22" s="97">
        <v>6</v>
      </c>
      <c r="F22" s="97"/>
      <c r="G22" s="97"/>
      <c r="H22" s="97"/>
      <c r="I22" s="97">
        <v>4</v>
      </c>
      <c r="J22" s="97">
        <v>2</v>
      </c>
      <c r="K22" s="97">
        <v>6</v>
      </c>
      <c r="L22" s="97"/>
      <c r="M22" s="97"/>
      <c r="N22" s="97"/>
      <c r="O22" s="97"/>
      <c r="P22" s="97"/>
      <c r="Q22" s="97"/>
      <c r="R22" s="97">
        <v>1</v>
      </c>
      <c r="S22" s="97">
        <v>1</v>
      </c>
      <c r="T22" s="97">
        <v>2</v>
      </c>
      <c r="U22" s="97"/>
      <c r="V22" s="97"/>
      <c r="W22" s="97"/>
      <c r="X22" s="97"/>
      <c r="Y22" s="97"/>
      <c r="Z22" s="97"/>
    </row>
    <row r="23" spans="1:26" ht="28.5" customHeight="1" x14ac:dyDescent="0.3">
      <c r="A23" s="320">
        <v>19</v>
      </c>
      <c r="B23" s="249" t="s">
        <v>29</v>
      </c>
      <c r="C23" s="97">
        <v>50031</v>
      </c>
      <c r="D23" s="97">
        <v>33462</v>
      </c>
      <c r="E23" s="97">
        <v>83493</v>
      </c>
      <c r="F23" s="97">
        <v>6727</v>
      </c>
      <c r="G23" s="97">
        <v>4446</v>
      </c>
      <c r="H23" s="97">
        <v>11173</v>
      </c>
      <c r="I23" s="97">
        <v>3172</v>
      </c>
      <c r="J23" s="97">
        <v>2564</v>
      </c>
      <c r="K23" s="97">
        <v>5736</v>
      </c>
      <c r="L23" s="97">
        <v>12899</v>
      </c>
      <c r="M23" s="97">
        <v>9145</v>
      </c>
      <c r="N23" s="97">
        <v>22044</v>
      </c>
      <c r="O23" s="97">
        <v>165</v>
      </c>
      <c r="P23" s="97">
        <v>116</v>
      </c>
      <c r="Q23" s="97">
        <v>281</v>
      </c>
      <c r="R23" s="97">
        <v>522</v>
      </c>
      <c r="S23" s="97">
        <v>440</v>
      </c>
      <c r="T23" s="97">
        <v>962</v>
      </c>
      <c r="U23" s="97">
        <v>252</v>
      </c>
      <c r="V23" s="97">
        <v>584</v>
      </c>
      <c r="W23" s="97">
        <v>836</v>
      </c>
      <c r="X23" s="97">
        <v>572</v>
      </c>
      <c r="Y23" s="97">
        <v>323</v>
      </c>
      <c r="Z23" s="97">
        <v>895</v>
      </c>
    </row>
    <row r="24" spans="1:26" ht="30" customHeight="1" x14ac:dyDescent="0.3">
      <c r="A24" s="320">
        <v>20</v>
      </c>
      <c r="B24" s="249" t="s">
        <v>30</v>
      </c>
      <c r="C24" s="97">
        <v>125959</v>
      </c>
      <c r="D24" s="97">
        <v>63479</v>
      </c>
      <c r="E24" s="97">
        <v>189438</v>
      </c>
      <c r="F24" s="97">
        <v>16557</v>
      </c>
      <c r="G24" s="97">
        <v>11472</v>
      </c>
      <c r="H24" s="97">
        <v>28029</v>
      </c>
      <c r="I24" s="97">
        <v>5375</v>
      </c>
      <c r="J24" s="97">
        <v>2854</v>
      </c>
      <c r="K24" s="97">
        <v>8229</v>
      </c>
      <c r="L24" s="97">
        <v>30697</v>
      </c>
      <c r="M24" s="97">
        <v>14620</v>
      </c>
      <c r="N24" s="97">
        <v>45317</v>
      </c>
      <c r="O24" s="97">
        <v>713</v>
      </c>
      <c r="P24" s="97">
        <v>264</v>
      </c>
      <c r="Q24" s="97">
        <v>977</v>
      </c>
      <c r="R24" s="97">
        <v>2995</v>
      </c>
      <c r="S24" s="97">
        <v>1279</v>
      </c>
      <c r="T24" s="97">
        <v>4274</v>
      </c>
      <c r="U24" s="97">
        <v>2276</v>
      </c>
      <c r="V24" s="97">
        <v>2692</v>
      </c>
      <c r="W24" s="97">
        <v>4968</v>
      </c>
      <c r="X24" s="97">
        <v>647</v>
      </c>
      <c r="Y24" s="97">
        <v>351</v>
      </c>
      <c r="Z24" s="97">
        <v>998</v>
      </c>
    </row>
    <row r="25" spans="1:26" ht="28.5" customHeight="1" x14ac:dyDescent="0.3">
      <c r="A25" s="320">
        <v>21</v>
      </c>
      <c r="B25" s="249" t="s">
        <v>31</v>
      </c>
      <c r="C25" s="97">
        <v>2779</v>
      </c>
      <c r="D25" s="97">
        <v>2709</v>
      </c>
      <c r="E25" s="97">
        <v>5488</v>
      </c>
      <c r="F25" s="97">
        <v>122</v>
      </c>
      <c r="G25" s="97">
        <v>88</v>
      </c>
      <c r="H25" s="97">
        <v>210</v>
      </c>
      <c r="I25" s="97">
        <v>409</v>
      </c>
      <c r="J25" s="97">
        <v>583</v>
      </c>
      <c r="K25" s="97">
        <v>992</v>
      </c>
      <c r="L25" s="97">
        <v>485</v>
      </c>
      <c r="M25" s="97">
        <v>407</v>
      </c>
      <c r="N25" s="97">
        <v>892</v>
      </c>
      <c r="O25" s="97">
        <v>3</v>
      </c>
      <c r="P25" s="97">
        <v>9</v>
      </c>
      <c r="Q25" s="97">
        <v>12</v>
      </c>
      <c r="R25" s="97">
        <v>57</v>
      </c>
      <c r="S25" s="97">
        <v>13</v>
      </c>
      <c r="T25" s="97">
        <v>70</v>
      </c>
      <c r="U25" s="97">
        <v>29</v>
      </c>
      <c r="V25" s="97">
        <v>102</v>
      </c>
      <c r="W25" s="97">
        <v>131</v>
      </c>
      <c r="X25" s="97">
        <v>8</v>
      </c>
      <c r="Y25" s="97">
        <v>9</v>
      </c>
      <c r="Z25" s="97">
        <v>17</v>
      </c>
    </row>
    <row r="26" spans="1:26" ht="28.5" customHeight="1" x14ac:dyDescent="0.3">
      <c r="A26" s="320">
        <v>22</v>
      </c>
      <c r="B26" s="249" t="s">
        <v>32</v>
      </c>
      <c r="C26" s="97">
        <v>1638</v>
      </c>
      <c r="D26" s="97">
        <v>1227</v>
      </c>
      <c r="E26" s="97">
        <v>2865</v>
      </c>
      <c r="F26" s="97">
        <v>50</v>
      </c>
      <c r="G26" s="97">
        <v>15</v>
      </c>
      <c r="H26" s="97">
        <v>65</v>
      </c>
      <c r="I26" s="97">
        <v>1011</v>
      </c>
      <c r="J26" s="97">
        <v>926</v>
      </c>
      <c r="K26" s="97">
        <v>1937</v>
      </c>
      <c r="L26" s="97">
        <v>67</v>
      </c>
      <c r="M26" s="97">
        <v>51</v>
      </c>
      <c r="N26" s="97">
        <v>118</v>
      </c>
      <c r="O26" s="97">
        <v>7</v>
      </c>
      <c r="P26" s="97"/>
      <c r="Q26" s="97">
        <v>7</v>
      </c>
      <c r="R26" s="97">
        <v>38</v>
      </c>
      <c r="S26" s="97">
        <v>14</v>
      </c>
      <c r="T26" s="97">
        <v>52</v>
      </c>
      <c r="U26" s="97">
        <v>238</v>
      </c>
      <c r="V26" s="97">
        <v>258</v>
      </c>
      <c r="W26" s="97">
        <v>496</v>
      </c>
      <c r="X26" s="97">
        <v>1</v>
      </c>
      <c r="Y26" s="97"/>
      <c r="Z26" s="97">
        <v>1</v>
      </c>
    </row>
    <row r="27" spans="1:26" ht="28.5" customHeight="1" x14ac:dyDescent="0.3">
      <c r="A27" s="320">
        <v>23</v>
      </c>
      <c r="B27" s="249" t="s">
        <v>33</v>
      </c>
      <c r="C27" s="97">
        <v>1015</v>
      </c>
      <c r="D27" s="97">
        <v>737</v>
      </c>
      <c r="E27" s="97">
        <v>1752</v>
      </c>
      <c r="F27" s="97">
        <v>7</v>
      </c>
      <c r="G27" s="97">
        <v>3</v>
      </c>
      <c r="H27" s="97">
        <v>10</v>
      </c>
      <c r="I27" s="97">
        <v>810</v>
      </c>
      <c r="J27" s="97">
        <v>604</v>
      </c>
      <c r="K27" s="97">
        <v>1414</v>
      </c>
      <c r="L27" s="97">
        <v>27</v>
      </c>
      <c r="M27" s="97">
        <v>3</v>
      </c>
      <c r="N27" s="97">
        <v>30</v>
      </c>
      <c r="O27" s="97">
        <v>2</v>
      </c>
      <c r="P27" s="97">
        <v>4</v>
      </c>
      <c r="Q27" s="97">
        <v>6</v>
      </c>
      <c r="R27" s="97">
        <v>2</v>
      </c>
      <c r="S27" s="97"/>
      <c r="T27" s="97">
        <v>2</v>
      </c>
      <c r="U27" s="97">
        <v>656</v>
      </c>
      <c r="V27" s="97">
        <v>497</v>
      </c>
      <c r="W27" s="97">
        <v>1153</v>
      </c>
      <c r="X27" s="97"/>
      <c r="Y27" s="97"/>
      <c r="Z27" s="97"/>
    </row>
    <row r="28" spans="1:26" ht="28.5" customHeight="1" x14ac:dyDescent="0.3">
      <c r="A28" s="320">
        <v>24</v>
      </c>
      <c r="B28" s="249" t="s">
        <v>34</v>
      </c>
      <c r="C28" s="97">
        <v>1579</v>
      </c>
      <c r="D28" s="97">
        <v>887</v>
      </c>
      <c r="E28" s="97">
        <v>2466</v>
      </c>
      <c r="F28" s="97">
        <v>33</v>
      </c>
      <c r="G28" s="97">
        <v>7</v>
      </c>
      <c r="H28" s="97">
        <v>40</v>
      </c>
      <c r="I28" s="97">
        <v>1331</v>
      </c>
      <c r="J28" s="97">
        <v>802</v>
      </c>
      <c r="K28" s="97">
        <v>2133</v>
      </c>
      <c r="L28" s="97">
        <v>70</v>
      </c>
      <c r="M28" s="97">
        <v>24</v>
      </c>
      <c r="N28" s="97">
        <v>94</v>
      </c>
      <c r="O28" s="97">
        <v>5</v>
      </c>
      <c r="P28" s="97">
        <v>4</v>
      </c>
      <c r="Q28" s="97">
        <v>9</v>
      </c>
      <c r="R28" s="97">
        <v>9</v>
      </c>
      <c r="S28" s="97">
        <v>3</v>
      </c>
      <c r="T28" s="97">
        <v>12</v>
      </c>
      <c r="U28" s="97">
        <v>676</v>
      </c>
      <c r="V28" s="97">
        <v>368</v>
      </c>
      <c r="W28" s="97">
        <v>1044</v>
      </c>
      <c r="X28" s="97">
        <v>3</v>
      </c>
      <c r="Y28" s="97">
        <v>4</v>
      </c>
      <c r="Z28" s="97">
        <v>7</v>
      </c>
    </row>
    <row r="29" spans="1:26" ht="28.5" customHeight="1" x14ac:dyDescent="0.3">
      <c r="A29" s="320">
        <v>25</v>
      </c>
      <c r="B29" s="249" t="s">
        <v>35</v>
      </c>
      <c r="C29" s="97">
        <v>29402</v>
      </c>
      <c r="D29" s="97">
        <v>18814</v>
      </c>
      <c r="E29" s="97">
        <v>48216</v>
      </c>
      <c r="F29" s="97">
        <v>3079</v>
      </c>
      <c r="G29" s="97">
        <v>2580</v>
      </c>
      <c r="H29" s="97">
        <v>5659</v>
      </c>
      <c r="I29" s="97">
        <v>1755</v>
      </c>
      <c r="J29" s="97">
        <v>1316</v>
      </c>
      <c r="K29" s="97">
        <v>3071</v>
      </c>
      <c r="L29" s="97">
        <v>6156</v>
      </c>
      <c r="M29" s="97">
        <v>3148</v>
      </c>
      <c r="N29" s="97">
        <v>9304</v>
      </c>
      <c r="O29" s="97">
        <v>34</v>
      </c>
      <c r="P29" s="97">
        <v>38</v>
      </c>
      <c r="Q29" s="97">
        <v>72</v>
      </c>
      <c r="R29" s="97">
        <v>128</v>
      </c>
      <c r="S29" s="97">
        <v>81</v>
      </c>
      <c r="T29" s="97">
        <v>209</v>
      </c>
      <c r="U29" s="97">
        <v>106</v>
      </c>
      <c r="V29" s="97">
        <v>122</v>
      </c>
      <c r="W29" s="97">
        <v>228</v>
      </c>
      <c r="X29" s="97">
        <v>310</v>
      </c>
      <c r="Y29" s="97">
        <v>152</v>
      </c>
      <c r="Z29" s="97">
        <v>462</v>
      </c>
    </row>
    <row r="30" spans="1:26" ht="28.5" customHeight="1" x14ac:dyDescent="0.3">
      <c r="A30" s="320">
        <v>26</v>
      </c>
      <c r="B30" s="249" t="s">
        <v>36</v>
      </c>
      <c r="C30" s="97">
        <v>5646</v>
      </c>
      <c r="D30" s="97">
        <v>8116</v>
      </c>
      <c r="E30" s="97">
        <v>13762</v>
      </c>
      <c r="F30" s="97">
        <v>1273</v>
      </c>
      <c r="G30" s="97">
        <v>2504</v>
      </c>
      <c r="H30" s="97">
        <v>3777</v>
      </c>
      <c r="I30" s="97">
        <v>33</v>
      </c>
      <c r="J30" s="97">
        <v>33</v>
      </c>
      <c r="K30" s="97">
        <v>66</v>
      </c>
      <c r="L30" s="97">
        <v>3231</v>
      </c>
      <c r="M30" s="97">
        <v>3836</v>
      </c>
      <c r="N30" s="97">
        <v>7067</v>
      </c>
      <c r="O30" s="97">
        <v>67</v>
      </c>
      <c r="P30" s="97">
        <v>27</v>
      </c>
      <c r="Q30" s="97">
        <v>94</v>
      </c>
      <c r="R30" s="97">
        <v>38</v>
      </c>
      <c r="S30" s="97">
        <v>31</v>
      </c>
      <c r="T30" s="97">
        <v>69</v>
      </c>
      <c r="U30" s="97">
        <v>112</v>
      </c>
      <c r="V30" s="97">
        <v>255</v>
      </c>
      <c r="W30" s="97">
        <v>367</v>
      </c>
      <c r="X30" s="97">
        <v>3</v>
      </c>
      <c r="Y30" s="97"/>
      <c r="Z30" s="97">
        <v>3</v>
      </c>
    </row>
    <row r="31" spans="1:26" ht="28.5" customHeight="1" x14ac:dyDescent="0.3">
      <c r="A31" s="320">
        <v>27</v>
      </c>
      <c r="B31" s="249" t="s">
        <v>37</v>
      </c>
      <c r="C31" s="97">
        <v>32072</v>
      </c>
      <c r="D31" s="97">
        <v>22757</v>
      </c>
      <c r="E31" s="97">
        <v>54829</v>
      </c>
      <c r="F31" s="97">
        <v>7148</v>
      </c>
      <c r="G31" s="97">
        <v>5240</v>
      </c>
      <c r="H31" s="97">
        <v>12388</v>
      </c>
      <c r="I31" s="97">
        <v>93</v>
      </c>
      <c r="J31" s="97">
        <v>52</v>
      </c>
      <c r="K31" s="97">
        <v>145</v>
      </c>
      <c r="L31" s="97">
        <v>2397</v>
      </c>
      <c r="M31" s="97">
        <v>1790</v>
      </c>
      <c r="N31" s="97">
        <v>4187</v>
      </c>
      <c r="O31" s="97">
        <v>139</v>
      </c>
      <c r="P31" s="97">
        <v>82</v>
      </c>
      <c r="Q31" s="97">
        <v>221</v>
      </c>
      <c r="R31" s="97">
        <v>135</v>
      </c>
      <c r="S31" s="97">
        <v>65</v>
      </c>
      <c r="T31" s="97">
        <v>200</v>
      </c>
      <c r="U31" s="97">
        <v>2920</v>
      </c>
      <c r="V31" s="97">
        <v>1660</v>
      </c>
      <c r="W31" s="97">
        <v>4580</v>
      </c>
      <c r="X31" s="97">
        <v>55</v>
      </c>
      <c r="Y31" s="97">
        <v>76</v>
      </c>
      <c r="Z31" s="97">
        <v>131</v>
      </c>
    </row>
    <row r="32" spans="1:26" ht="28.5" customHeight="1" x14ac:dyDescent="0.3">
      <c r="A32" s="320">
        <v>28</v>
      </c>
      <c r="B32" s="249" t="s">
        <v>38</v>
      </c>
      <c r="C32" s="97">
        <v>50163</v>
      </c>
      <c r="D32" s="97">
        <v>24077</v>
      </c>
      <c r="E32" s="97">
        <v>74240</v>
      </c>
      <c r="F32" s="97">
        <v>7692</v>
      </c>
      <c r="G32" s="97">
        <v>4388</v>
      </c>
      <c r="H32" s="97">
        <v>12080</v>
      </c>
      <c r="I32" s="97">
        <v>3842</v>
      </c>
      <c r="J32" s="97">
        <v>1981</v>
      </c>
      <c r="K32" s="97">
        <v>5823</v>
      </c>
      <c r="L32" s="97">
        <v>16377</v>
      </c>
      <c r="M32" s="97">
        <v>7915</v>
      </c>
      <c r="N32" s="97">
        <v>24292</v>
      </c>
      <c r="O32" s="97">
        <v>230</v>
      </c>
      <c r="P32" s="97">
        <v>108</v>
      </c>
      <c r="Q32" s="97">
        <v>338</v>
      </c>
      <c r="R32" s="97">
        <v>942</v>
      </c>
      <c r="S32" s="97">
        <v>445</v>
      </c>
      <c r="T32" s="97">
        <v>1387</v>
      </c>
      <c r="U32" s="97">
        <v>427</v>
      </c>
      <c r="V32" s="97">
        <v>354</v>
      </c>
      <c r="W32" s="97">
        <v>781</v>
      </c>
      <c r="X32" s="97">
        <v>761</v>
      </c>
      <c r="Y32" s="97">
        <v>266</v>
      </c>
      <c r="Z32" s="97">
        <v>1027</v>
      </c>
    </row>
    <row r="33" spans="1:26" ht="28.5" customHeight="1" x14ac:dyDescent="0.3">
      <c r="A33" s="320">
        <v>29</v>
      </c>
      <c r="B33" s="249" t="s">
        <v>39</v>
      </c>
      <c r="C33" s="97">
        <v>936</v>
      </c>
      <c r="D33" s="97">
        <v>751</v>
      </c>
      <c r="E33" s="97">
        <v>1687</v>
      </c>
      <c r="F33" s="97">
        <v>85</v>
      </c>
      <c r="G33" s="97">
        <v>65</v>
      </c>
      <c r="H33" s="97">
        <v>150</v>
      </c>
      <c r="I33" s="97">
        <v>216</v>
      </c>
      <c r="J33" s="97">
        <v>222</v>
      </c>
      <c r="K33" s="97">
        <v>438</v>
      </c>
      <c r="L33" s="97">
        <v>232</v>
      </c>
      <c r="M33" s="97">
        <v>187</v>
      </c>
      <c r="N33" s="97">
        <v>419</v>
      </c>
      <c r="O33" s="97">
        <v>5</v>
      </c>
      <c r="P33" s="97">
        <v>1</v>
      </c>
      <c r="Q33" s="97">
        <v>6</v>
      </c>
      <c r="R33" s="97">
        <v>1</v>
      </c>
      <c r="S33" s="97"/>
      <c r="T33" s="97">
        <v>1</v>
      </c>
      <c r="U33" s="97">
        <v>20</v>
      </c>
      <c r="V33" s="97">
        <v>32</v>
      </c>
      <c r="W33" s="97">
        <v>52</v>
      </c>
      <c r="X33" s="97"/>
      <c r="Y33" s="97"/>
      <c r="Z33" s="97"/>
    </row>
    <row r="34" spans="1:26" ht="28.5" customHeight="1" x14ac:dyDescent="0.3">
      <c r="A34" s="320">
        <v>30</v>
      </c>
      <c r="B34" s="249" t="s">
        <v>40</v>
      </c>
      <c r="C34" s="97">
        <v>97975</v>
      </c>
      <c r="D34" s="97">
        <v>112863</v>
      </c>
      <c r="E34" s="97">
        <v>210838</v>
      </c>
      <c r="F34" s="97">
        <v>14393</v>
      </c>
      <c r="G34" s="97">
        <v>18737</v>
      </c>
      <c r="H34" s="97">
        <v>33130</v>
      </c>
      <c r="I34" s="97">
        <v>1122</v>
      </c>
      <c r="J34" s="97">
        <v>1043</v>
      </c>
      <c r="K34" s="97">
        <v>2165</v>
      </c>
      <c r="L34" s="97">
        <v>50396</v>
      </c>
      <c r="M34" s="97">
        <v>50414</v>
      </c>
      <c r="N34" s="97">
        <v>100810</v>
      </c>
      <c r="O34" s="97">
        <v>437</v>
      </c>
      <c r="P34" s="97">
        <v>372</v>
      </c>
      <c r="Q34" s="97">
        <v>809</v>
      </c>
      <c r="R34" s="97">
        <v>1456</v>
      </c>
      <c r="S34" s="97">
        <v>985</v>
      </c>
      <c r="T34" s="97">
        <v>2441</v>
      </c>
      <c r="U34" s="97">
        <v>4044</v>
      </c>
      <c r="V34" s="97">
        <v>4596</v>
      </c>
      <c r="W34" s="97">
        <v>8640</v>
      </c>
      <c r="X34" s="97">
        <v>267</v>
      </c>
      <c r="Y34" s="97">
        <v>246</v>
      </c>
      <c r="Z34" s="97">
        <v>513</v>
      </c>
    </row>
    <row r="35" spans="1:26" ht="28.5" customHeight="1" x14ac:dyDescent="0.3">
      <c r="A35" s="320">
        <v>31</v>
      </c>
      <c r="B35" s="249" t="s">
        <v>41</v>
      </c>
      <c r="C35" s="97">
        <v>30313</v>
      </c>
      <c r="D35" s="97">
        <v>31095</v>
      </c>
      <c r="E35" s="97">
        <v>61408</v>
      </c>
      <c r="F35" s="97">
        <v>4904</v>
      </c>
      <c r="G35" s="97">
        <v>5951</v>
      </c>
      <c r="H35" s="97">
        <v>10855</v>
      </c>
      <c r="I35" s="97">
        <v>1962</v>
      </c>
      <c r="J35" s="97">
        <v>2171</v>
      </c>
      <c r="K35" s="97">
        <v>4133</v>
      </c>
      <c r="L35" s="97">
        <v>10607</v>
      </c>
      <c r="M35" s="97">
        <v>10514</v>
      </c>
      <c r="N35" s="97">
        <v>21121</v>
      </c>
      <c r="O35" s="97">
        <v>103</v>
      </c>
      <c r="P35" s="97">
        <v>128</v>
      </c>
      <c r="Q35" s="97">
        <v>231</v>
      </c>
      <c r="R35" s="97">
        <v>2007</v>
      </c>
      <c r="S35" s="97">
        <v>1854</v>
      </c>
      <c r="T35" s="97">
        <v>3861</v>
      </c>
      <c r="U35" s="97">
        <v>324</v>
      </c>
      <c r="V35" s="97">
        <v>694</v>
      </c>
      <c r="W35" s="97">
        <v>1018</v>
      </c>
      <c r="X35" s="97">
        <v>209</v>
      </c>
      <c r="Y35" s="97">
        <v>171</v>
      </c>
      <c r="Z35" s="97">
        <v>380</v>
      </c>
    </row>
    <row r="36" spans="1:26" ht="28.5" customHeight="1" x14ac:dyDescent="0.3">
      <c r="A36" s="320">
        <v>32</v>
      </c>
      <c r="B36" s="249" t="s">
        <v>58</v>
      </c>
      <c r="C36" s="97">
        <v>181</v>
      </c>
      <c r="D36" s="97">
        <v>281</v>
      </c>
      <c r="E36" s="97">
        <v>462</v>
      </c>
      <c r="F36" s="97">
        <v>13</v>
      </c>
      <c r="G36" s="97">
        <v>13</v>
      </c>
      <c r="H36" s="97">
        <v>26</v>
      </c>
      <c r="I36" s="97">
        <v>82</v>
      </c>
      <c r="J36" s="97">
        <v>87</v>
      </c>
      <c r="K36" s="97">
        <v>169</v>
      </c>
      <c r="L36" s="97">
        <v>25</v>
      </c>
      <c r="M36" s="97">
        <v>20</v>
      </c>
      <c r="N36" s="97">
        <v>45</v>
      </c>
      <c r="O36" s="97"/>
      <c r="P36" s="97">
        <v>1</v>
      </c>
      <c r="Q36" s="97">
        <v>1</v>
      </c>
      <c r="R36" s="97">
        <v>1</v>
      </c>
      <c r="S36" s="97"/>
      <c r="T36" s="97">
        <v>1</v>
      </c>
      <c r="U36" s="97">
        <v>1</v>
      </c>
      <c r="V36" s="97"/>
      <c r="W36" s="97">
        <v>1</v>
      </c>
      <c r="X36" s="97">
        <v>1</v>
      </c>
      <c r="Y36" s="97">
        <v>3</v>
      </c>
      <c r="Z36" s="97">
        <v>4</v>
      </c>
    </row>
    <row r="37" spans="1:26" ht="28.5" customHeight="1" x14ac:dyDescent="0.3">
      <c r="A37" s="320">
        <v>33</v>
      </c>
      <c r="B37" s="249" t="s">
        <v>42</v>
      </c>
      <c r="C37" s="97">
        <v>2217</v>
      </c>
      <c r="D37" s="97">
        <v>2182</v>
      </c>
      <c r="E37" s="97">
        <v>4399</v>
      </c>
      <c r="F37" s="97">
        <v>386</v>
      </c>
      <c r="G37" s="97">
        <v>461</v>
      </c>
      <c r="H37" s="97">
        <v>847</v>
      </c>
      <c r="I37" s="97">
        <v>467</v>
      </c>
      <c r="J37" s="97">
        <v>509</v>
      </c>
      <c r="K37" s="97">
        <v>976</v>
      </c>
      <c r="L37" s="97">
        <v>297</v>
      </c>
      <c r="M37" s="97">
        <v>138</v>
      </c>
      <c r="N37" s="97">
        <v>435</v>
      </c>
      <c r="O37" s="97">
        <v>19</v>
      </c>
      <c r="P37" s="97">
        <v>8</v>
      </c>
      <c r="Q37" s="97">
        <v>27</v>
      </c>
      <c r="R37" s="97">
        <v>23</v>
      </c>
      <c r="S37" s="97">
        <v>31</v>
      </c>
      <c r="T37" s="97">
        <v>54</v>
      </c>
      <c r="U37" s="97">
        <v>14</v>
      </c>
      <c r="V37" s="97">
        <v>15</v>
      </c>
      <c r="W37" s="97">
        <v>29</v>
      </c>
      <c r="X37" s="97">
        <v>1</v>
      </c>
      <c r="Y37" s="97"/>
      <c r="Z37" s="97">
        <v>1</v>
      </c>
    </row>
    <row r="38" spans="1:26" ht="28.5" customHeight="1" x14ac:dyDescent="0.3">
      <c r="A38" s="320">
        <v>34</v>
      </c>
      <c r="B38" s="249" t="s">
        <v>43</v>
      </c>
      <c r="C38" s="97">
        <v>117842</v>
      </c>
      <c r="D38" s="97">
        <v>54293</v>
      </c>
      <c r="E38" s="97">
        <v>172135</v>
      </c>
      <c r="F38" s="97">
        <v>17650</v>
      </c>
      <c r="G38" s="97">
        <v>11835</v>
      </c>
      <c r="H38" s="97">
        <v>29485</v>
      </c>
      <c r="I38" s="97">
        <v>1367</v>
      </c>
      <c r="J38" s="97">
        <v>900</v>
      </c>
      <c r="K38" s="97">
        <v>2267</v>
      </c>
      <c r="L38" s="97">
        <v>34945</v>
      </c>
      <c r="M38" s="97">
        <v>16080</v>
      </c>
      <c r="N38" s="97">
        <v>51025</v>
      </c>
      <c r="O38" s="97">
        <v>367</v>
      </c>
      <c r="P38" s="97">
        <v>183</v>
      </c>
      <c r="Q38" s="97">
        <v>550</v>
      </c>
      <c r="R38" s="97">
        <v>8036</v>
      </c>
      <c r="S38" s="97">
        <v>2672</v>
      </c>
      <c r="T38" s="97">
        <v>10708</v>
      </c>
      <c r="U38" s="97">
        <v>504</v>
      </c>
      <c r="V38" s="97">
        <v>509</v>
      </c>
      <c r="W38" s="97">
        <v>1013</v>
      </c>
      <c r="X38" s="97">
        <v>529</v>
      </c>
      <c r="Y38" s="97">
        <v>325</v>
      </c>
      <c r="Z38" s="97">
        <v>854</v>
      </c>
    </row>
    <row r="39" spans="1:26" ht="28.5" customHeight="1" x14ac:dyDescent="0.3">
      <c r="A39" s="320">
        <v>35</v>
      </c>
      <c r="B39" s="249" t="s">
        <v>44</v>
      </c>
      <c r="C39" s="97">
        <v>17757</v>
      </c>
      <c r="D39" s="97">
        <v>10086</v>
      </c>
      <c r="E39" s="97">
        <v>27843</v>
      </c>
      <c r="F39" s="97">
        <v>2393</v>
      </c>
      <c r="G39" s="97">
        <v>1432</v>
      </c>
      <c r="H39" s="97">
        <v>3825</v>
      </c>
      <c r="I39" s="97">
        <v>440</v>
      </c>
      <c r="J39" s="97">
        <v>365</v>
      </c>
      <c r="K39" s="97">
        <v>805</v>
      </c>
      <c r="L39" s="97">
        <v>2398</v>
      </c>
      <c r="M39" s="97">
        <v>1305</v>
      </c>
      <c r="N39" s="97">
        <v>3703</v>
      </c>
      <c r="O39" s="97">
        <v>43</v>
      </c>
      <c r="P39" s="97">
        <v>12</v>
      </c>
      <c r="Q39" s="97">
        <v>55</v>
      </c>
      <c r="R39" s="97">
        <v>188</v>
      </c>
      <c r="S39" s="97">
        <v>85</v>
      </c>
      <c r="T39" s="97">
        <v>273</v>
      </c>
      <c r="U39" s="97">
        <v>85</v>
      </c>
      <c r="V39" s="97">
        <v>59</v>
      </c>
      <c r="W39" s="97">
        <v>144</v>
      </c>
      <c r="X39" s="97">
        <v>469</v>
      </c>
      <c r="Y39" s="97">
        <v>159</v>
      </c>
      <c r="Z39" s="97">
        <v>628</v>
      </c>
    </row>
    <row r="40" spans="1:26" ht="28.5" customHeight="1" x14ac:dyDescent="0.3">
      <c r="A40" s="320">
        <v>36</v>
      </c>
      <c r="B40" s="249" t="s">
        <v>45</v>
      </c>
      <c r="C40" s="97">
        <v>30024</v>
      </c>
      <c r="D40" s="97">
        <v>13158</v>
      </c>
      <c r="E40" s="97">
        <v>43182</v>
      </c>
      <c r="F40" s="97">
        <v>4456</v>
      </c>
      <c r="G40" s="97">
        <v>1605</v>
      </c>
      <c r="H40" s="97">
        <v>6061</v>
      </c>
      <c r="I40" s="97">
        <v>1065</v>
      </c>
      <c r="J40" s="97">
        <v>554</v>
      </c>
      <c r="K40" s="97">
        <v>1619</v>
      </c>
      <c r="L40" s="97">
        <v>2652</v>
      </c>
      <c r="M40" s="97">
        <v>1036</v>
      </c>
      <c r="N40" s="97">
        <v>3688</v>
      </c>
      <c r="O40" s="97">
        <v>155</v>
      </c>
      <c r="P40" s="97">
        <v>30</v>
      </c>
      <c r="Q40" s="97">
        <v>185</v>
      </c>
      <c r="R40" s="97">
        <v>1474</v>
      </c>
      <c r="S40" s="97">
        <v>704</v>
      </c>
      <c r="T40" s="97">
        <v>2178</v>
      </c>
      <c r="U40" s="97">
        <v>265</v>
      </c>
      <c r="V40" s="97">
        <v>165</v>
      </c>
      <c r="W40" s="97">
        <v>430</v>
      </c>
      <c r="X40" s="97">
        <v>123</v>
      </c>
      <c r="Y40" s="97">
        <v>77</v>
      </c>
      <c r="Z40" s="97">
        <v>200</v>
      </c>
    </row>
    <row r="41" spans="1:26" s="254" customFormat="1" ht="28.5" customHeight="1" x14ac:dyDescent="0.3">
      <c r="A41" s="837" t="s">
        <v>46</v>
      </c>
      <c r="B41" s="837"/>
      <c r="C41" s="99">
        <v>927419</v>
      </c>
      <c r="D41" s="109">
        <v>654860</v>
      </c>
      <c r="E41" s="109">
        <v>1582279</v>
      </c>
      <c r="F41" s="99">
        <v>130386</v>
      </c>
      <c r="G41" s="109">
        <v>108024</v>
      </c>
      <c r="H41" s="109">
        <v>238410</v>
      </c>
      <c r="I41" s="99">
        <v>44908</v>
      </c>
      <c r="J41" s="109">
        <v>37599</v>
      </c>
      <c r="K41" s="109">
        <v>82507</v>
      </c>
      <c r="L41" s="99">
        <v>272769</v>
      </c>
      <c r="M41" s="109">
        <v>197715</v>
      </c>
      <c r="N41" s="109">
        <v>470484</v>
      </c>
      <c r="O41" s="99">
        <v>4054</v>
      </c>
      <c r="P41" s="99">
        <v>2325</v>
      </c>
      <c r="Q41" s="99">
        <v>6379</v>
      </c>
      <c r="R41" s="99">
        <v>33854</v>
      </c>
      <c r="S41" s="99">
        <v>17638</v>
      </c>
      <c r="T41" s="99">
        <v>51492</v>
      </c>
      <c r="U41" s="99">
        <v>20483</v>
      </c>
      <c r="V41" s="99">
        <v>24085</v>
      </c>
      <c r="W41" s="99">
        <v>44568</v>
      </c>
      <c r="X41" s="99">
        <v>6225</v>
      </c>
      <c r="Y41" s="99">
        <v>3839</v>
      </c>
      <c r="Z41" s="99">
        <v>10064</v>
      </c>
    </row>
  </sheetData>
  <mergeCells count="13">
    <mergeCell ref="U2:W2"/>
    <mergeCell ref="X2:Z2"/>
    <mergeCell ref="A41:B41"/>
    <mergeCell ref="C1:N1"/>
    <mergeCell ref="O1:Z1"/>
    <mergeCell ref="A2:A3"/>
    <mergeCell ref="B2:B3"/>
    <mergeCell ref="C2:E2"/>
    <mergeCell ref="F2:H2"/>
    <mergeCell ref="I2:K2"/>
    <mergeCell ref="L2:N2"/>
    <mergeCell ref="O2:Q2"/>
    <mergeCell ref="R2:T2"/>
  </mergeCells>
  <pageMargins left="0.27559055118110237" right="0.15748031496062992" top="0.39370078740157483" bottom="0.39370078740157483" header="0.31496062992125984" footer="0.19685039370078741"/>
  <pageSetup paperSize="9" scale="70" firstPageNumber="24" orientation="portrait" r:id="rId1"/>
  <headerFooter>
    <oddFooter>&amp;L&amp;"Arial,Italic"&amp;9AISHE 2023-24&amp;RT-24</oddFooter>
  </headerFooter>
  <colBreaks count="1" manualBreakCount="1">
    <brk id="14" max="39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A806-31F6-46AD-87BD-C87DB33D78AE}">
  <dimension ref="A1:H42"/>
  <sheetViews>
    <sheetView view="pageBreakPreview" zoomScaleNormal="100" zoomScaleSheetLayoutView="100" workbookViewId="0">
      <pane ySplit="4" topLeftCell="A5" activePane="bottomLeft" state="frozen"/>
      <selection activeCell="B16" sqref="B16:M16"/>
      <selection pane="bottomLeft" activeCell="A44" sqref="A44:XFD185"/>
    </sheetView>
  </sheetViews>
  <sheetFormatPr defaultRowHeight="14" x14ac:dyDescent="0.3"/>
  <cols>
    <col min="1" max="1" width="5.26953125" style="272" customWidth="1"/>
    <col min="2" max="2" width="26.26953125" style="272" customWidth="1"/>
    <col min="3" max="3" width="15" style="272" customWidth="1"/>
    <col min="4" max="8" width="15.26953125" style="272" customWidth="1"/>
    <col min="9" max="209" width="9.1796875" style="272"/>
    <col min="210" max="210" width="5.26953125" style="272" customWidth="1"/>
    <col min="211" max="211" width="22.54296875" style="272" customWidth="1"/>
    <col min="212" max="212" width="17.7265625" style="272" customWidth="1"/>
    <col min="213" max="213" width="19" style="272" customWidth="1"/>
    <col min="214" max="214" width="22.26953125" style="272" customWidth="1"/>
    <col min="215" max="465" width="9.1796875" style="272"/>
    <col min="466" max="466" width="5.26953125" style="272" customWidth="1"/>
    <col min="467" max="467" width="22.54296875" style="272" customWidth="1"/>
    <col min="468" max="468" width="17.7265625" style="272" customWidth="1"/>
    <col min="469" max="469" width="19" style="272" customWidth="1"/>
    <col min="470" max="470" width="22.26953125" style="272" customWidth="1"/>
    <col min="471" max="721" width="9.1796875" style="272"/>
    <col min="722" max="722" width="5.26953125" style="272" customWidth="1"/>
    <col min="723" max="723" width="22.54296875" style="272" customWidth="1"/>
    <col min="724" max="724" width="17.7265625" style="272" customWidth="1"/>
    <col min="725" max="725" width="19" style="272" customWidth="1"/>
    <col min="726" max="726" width="22.26953125" style="272" customWidth="1"/>
    <col min="727" max="977" width="9.1796875" style="272"/>
    <col min="978" max="978" width="5.26953125" style="272" customWidth="1"/>
    <col min="979" max="979" width="22.54296875" style="272" customWidth="1"/>
    <col min="980" max="980" width="17.7265625" style="272" customWidth="1"/>
    <col min="981" max="981" width="19" style="272" customWidth="1"/>
    <col min="982" max="982" width="22.26953125" style="272" customWidth="1"/>
    <col min="983" max="1233" width="9.1796875" style="272"/>
    <col min="1234" max="1234" width="5.26953125" style="272" customWidth="1"/>
    <col min="1235" max="1235" width="22.54296875" style="272" customWidth="1"/>
    <col min="1236" max="1236" width="17.7265625" style="272" customWidth="1"/>
    <col min="1237" max="1237" width="19" style="272" customWidth="1"/>
    <col min="1238" max="1238" width="22.26953125" style="272" customWidth="1"/>
    <col min="1239" max="1489" width="9.1796875" style="272"/>
    <col min="1490" max="1490" width="5.26953125" style="272" customWidth="1"/>
    <col min="1491" max="1491" width="22.54296875" style="272" customWidth="1"/>
    <col min="1492" max="1492" width="17.7265625" style="272" customWidth="1"/>
    <col min="1493" max="1493" width="19" style="272" customWidth="1"/>
    <col min="1494" max="1494" width="22.26953125" style="272" customWidth="1"/>
    <col min="1495" max="1745" width="9.1796875" style="272"/>
    <col min="1746" max="1746" width="5.26953125" style="272" customWidth="1"/>
    <col min="1747" max="1747" width="22.54296875" style="272" customWidth="1"/>
    <col min="1748" max="1748" width="17.7265625" style="272" customWidth="1"/>
    <col min="1749" max="1749" width="19" style="272" customWidth="1"/>
    <col min="1750" max="1750" width="22.26953125" style="272" customWidth="1"/>
    <col min="1751" max="2001" width="9.1796875" style="272"/>
    <col min="2002" max="2002" width="5.26953125" style="272" customWidth="1"/>
    <col min="2003" max="2003" width="22.54296875" style="272" customWidth="1"/>
    <col min="2004" max="2004" width="17.7265625" style="272" customWidth="1"/>
    <col min="2005" max="2005" width="19" style="272" customWidth="1"/>
    <col min="2006" max="2006" width="22.26953125" style="272" customWidth="1"/>
    <col min="2007" max="2257" width="9.1796875" style="272"/>
    <col min="2258" max="2258" width="5.26953125" style="272" customWidth="1"/>
    <col min="2259" max="2259" width="22.54296875" style="272" customWidth="1"/>
    <col min="2260" max="2260" width="17.7265625" style="272" customWidth="1"/>
    <col min="2261" max="2261" width="19" style="272" customWidth="1"/>
    <col min="2262" max="2262" width="22.26953125" style="272" customWidth="1"/>
    <col min="2263" max="2513" width="9.1796875" style="272"/>
    <col min="2514" max="2514" width="5.26953125" style="272" customWidth="1"/>
    <col min="2515" max="2515" width="22.54296875" style="272" customWidth="1"/>
    <col min="2516" max="2516" width="17.7265625" style="272" customWidth="1"/>
    <col min="2517" max="2517" width="19" style="272" customWidth="1"/>
    <col min="2518" max="2518" width="22.26953125" style="272" customWidth="1"/>
    <col min="2519" max="2769" width="9.1796875" style="272"/>
    <col min="2770" max="2770" width="5.26953125" style="272" customWidth="1"/>
    <col min="2771" max="2771" width="22.54296875" style="272" customWidth="1"/>
    <col min="2772" max="2772" width="17.7265625" style="272" customWidth="1"/>
    <col min="2773" max="2773" width="19" style="272" customWidth="1"/>
    <col min="2774" max="2774" width="22.26953125" style="272" customWidth="1"/>
    <col min="2775" max="3025" width="9.1796875" style="272"/>
    <col min="3026" max="3026" width="5.26953125" style="272" customWidth="1"/>
    <col min="3027" max="3027" width="22.54296875" style="272" customWidth="1"/>
    <col min="3028" max="3028" width="17.7265625" style="272" customWidth="1"/>
    <col min="3029" max="3029" width="19" style="272" customWidth="1"/>
    <col min="3030" max="3030" width="22.26953125" style="272" customWidth="1"/>
    <col min="3031" max="3281" width="9.1796875" style="272"/>
    <col min="3282" max="3282" width="5.26953125" style="272" customWidth="1"/>
    <col min="3283" max="3283" width="22.54296875" style="272" customWidth="1"/>
    <col min="3284" max="3284" width="17.7265625" style="272" customWidth="1"/>
    <col min="3285" max="3285" width="19" style="272" customWidth="1"/>
    <col min="3286" max="3286" width="22.26953125" style="272" customWidth="1"/>
    <col min="3287" max="3537" width="9.1796875" style="272"/>
    <col min="3538" max="3538" width="5.26953125" style="272" customWidth="1"/>
    <col min="3539" max="3539" width="22.54296875" style="272" customWidth="1"/>
    <col min="3540" max="3540" width="17.7265625" style="272" customWidth="1"/>
    <col min="3541" max="3541" width="19" style="272" customWidth="1"/>
    <col min="3542" max="3542" width="22.26953125" style="272" customWidth="1"/>
    <col min="3543" max="3793" width="9.1796875" style="272"/>
    <col min="3794" max="3794" width="5.26953125" style="272" customWidth="1"/>
    <col min="3795" max="3795" width="22.54296875" style="272" customWidth="1"/>
    <col min="3796" max="3796" width="17.7265625" style="272" customWidth="1"/>
    <col min="3797" max="3797" width="19" style="272" customWidth="1"/>
    <col min="3798" max="3798" width="22.26953125" style="272" customWidth="1"/>
    <col min="3799" max="4049" width="9.1796875" style="272"/>
    <col min="4050" max="4050" width="5.26953125" style="272" customWidth="1"/>
    <col min="4051" max="4051" width="22.54296875" style="272" customWidth="1"/>
    <col min="4052" max="4052" width="17.7265625" style="272" customWidth="1"/>
    <col min="4053" max="4053" width="19" style="272" customWidth="1"/>
    <col min="4054" max="4054" width="22.26953125" style="272" customWidth="1"/>
    <col min="4055" max="4305" width="9.1796875" style="272"/>
    <col min="4306" max="4306" width="5.26953125" style="272" customWidth="1"/>
    <col min="4307" max="4307" width="22.54296875" style="272" customWidth="1"/>
    <col min="4308" max="4308" width="17.7265625" style="272" customWidth="1"/>
    <col min="4309" max="4309" width="19" style="272" customWidth="1"/>
    <col min="4310" max="4310" width="22.26953125" style="272" customWidth="1"/>
    <col min="4311" max="4561" width="9.1796875" style="272"/>
    <col min="4562" max="4562" width="5.26953125" style="272" customWidth="1"/>
    <col min="4563" max="4563" width="22.54296875" style="272" customWidth="1"/>
    <col min="4564" max="4564" width="17.7265625" style="272" customWidth="1"/>
    <col min="4565" max="4565" width="19" style="272" customWidth="1"/>
    <col min="4566" max="4566" width="22.26953125" style="272" customWidth="1"/>
    <col min="4567" max="4817" width="9.1796875" style="272"/>
    <col min="4818" max="4818" width="5.26953125" style="272" customWidth="1"/>
    <col min="4819" max="4819" width="22.54296875" style="272" customWidth="1"/>
    <col min="4820" max="4820" width="17.7265625" style="272" customWidth="1"/>
    <col min="4821" max="4821" width="19" style="272" customWidth="1"/>
    <col min="4822" max="4822" width="22.26953125" style="272" customWidth="1"/>
    <col min="4823" max="5073" width="9.1796875" style="272"/>
    <col min="5074" max="5074" width="5.26953125" style="272" customWidth="1"/>
    <col min="5075" max="5075" width="22.54296875" style="272" customWidth="1"/>
    <col min="5076" max="5076" width="17.7265625" style="272" customWidth="1"/>
    <col min="5077" max="5077" width="19" style="272" customWidth="1"/>
    <col min="5078" max="5078" width="22.26953125" style="272" customWidth="1"/>
    <col min="5079" max="5329" width="9.1796875" style="272"/>
    <col min="5330" max="5330" width="5.26953125" style="272" customWidth="1"/>
    <col min="5331" max="5331" width="22.54296875" style="272" customWidth="1"/>
    <col min="5332" max="5332" width="17.7265625" style="272" customWidth="1"/>
    <col min="5333" max="5333" width="19" style="272" customWidth="1"/>
    <col min="5334" max="5334" width="22.26953125" style="272" customWidth="1"/>
    <col min="5335" max="5585" width="9.1796875" style="272"/>
    <col min="5586" max="5586" width="5.26953125" style="272" customWidth="1"/>
    <col min="5587" max="5587" width="22.54296875" style="272" customWidth="1"/>
    <col min="5588" max="5588" width="17.7265625" style="272" customWidth="1"/>
    <col min="5589" max="5589" width="19" style="272" customWidth="1"/>
    <col min="5590" max="5590" width="22.26953125" style="272" customWidth="1"/>
    <col min="5591" max="5841" width="9.1796875" style="272"/>
    <col min="5842" max="5842" width="5.26953125" style="272" customWidth="1"/>
    <col min="5843" max="5843" width="22.54296875" style="272" customWidth="1"/>
    <col min="5844" max="5844" width="17.7265625" style="272" customWidth="1"/>
    <col min="5845" max="5845" width="19" style="272" customWidth="1"/>
    <col min="5846" max="5846" width="22.26953125" style="272" customWidth="1"/>
    <col min="5847" max="6097" width="9.1796875" style="272"/>
    <col min="6098" max="6098" width="5.26953125" style="272" customWidth="1"/>
    <col min="6099" max="6099" width="22.54296875" style="272" customWidth="1"/>
    <col min="6100" max="6100" width="17.7265625" style="272" customWidth="1"/>
    <col min="6101" max="6101" width="19" style="272" customWidth="1"/>
    <col min="6102" max="6102" width="22.26953125" style="272" customWidth="1"/>
    <col min="6103" max="6353" width="9.1796875" style="272"/>
    <col min="6354" max="6354" width="5.26953125" style="272" customWidth="1"/>
    <col min="6355" max="6355" width="22.54296875" style="272" customWidth="1"/>
    <col min="6356" max="6356" width="17.7265625" style="272" customWidth="1"/>
    <col min="6357" max="6357" width="19" style="272" customWidth="1"/>
    <col min="6358" max="6358" width="22.26953125" style="272" customWidth="1"/>
    <col min="6359" max="6609" width="9.1796875" style="272"/>
    <col min="6610" max="6610" width="5.26953125" style="272" customWidth="1"/>
    <col min="6611" max="6611" width="22.54296875" style="272" customWidth="1"/>
    <col min="6612" max="6612" width="17.7265625" style="272" customWidth="1"/>
    <col min="6613" max="6613" width="19" style="272" customWidth="1"/>
    <col min="6614" max="6614" width="22.26953125" style="272" customWidth="1"/>
    <col min="6615" max="6865" width="9.1796875" style="272"/>
    <col min="6866" max="6866" width="5.26953125" style="272" customWidth="1"/>
    <col min="6867" max="6867" width="22.54296875" style="272" customWidth="1"/>
    <col min="6868" max="6868" width="17.7265625" style="272" customWidth="1"/>
    <col min="6869" max="6869" width="19" style="272" customWidth="1"/>
    <col min="6870" max="6870" width="22.26953125" style="272" customWidth="1"/>
    <col min="6871" max="7121" width="9.1796875" style="272"/>
    <col min="7122" max="7122" width="5.26953125" style="272" customWidth="1"/>
    <col min="7123" max="7123" width="22.54296875" style="272" customWidth="1"/>
    <col min="7124" max="7124" width="17.7265625" style="272" customWidth="1"/>
    <col min="7125" max="7125" width="19" style="272" customWidth="1"/>
    <col min="7126" max="7126" width="22.26953125" style="272" customWidth="1"/>
    <col min="7127" max="7377" width="9.1796875" style="272"/>
    <col min="7378" max="7378" width="5.26953125" style="272" customWidth="1"/>
    <col min="7379" max="7379" width="22.54296875" style="272" customWidth="1"/>
    <col min="7380" max="7380" width="17.7265625" style="272" customWidth="1"/>
    <col min="7381" max="7381" width="19" style="272" customWidth="1"/>
    <col min="7382" max="7382" width="22.26953125" style="272" customWidth="1"/>
    <col min="7383" max="7633" width="9.1796875" style="272"/>
    <col min="7634" max="7634" width="5.26953125" style="272" customWidth="1"/>
    <col min="7635" max="7635" width="22.54296875" style="272" customWidth="1"/>
    <col min="7636" max="7636" width="17.7265625" style="272" customWidth="1"/>
    <col min="7637" max="7637" width="19" style="272" customWidth="1"/>
    <col min="7638" max="7638" width="22.26953125" style="272" customWidth="1"/>
    <col min="7639" max="7889" width="9.1796875" style="272"/>
    <col min="7890" max="7890" width="5.26953125" style="272" customWidth="1"/>
    <col min="7891" max="7891" width="22.54296875" style="272" customWidth="1"/>
    <col min="7892" max="7892" width="17.7265625" style="272" customWidth="1"/>
    <col min="7893" max="7893" width="19" style="272" customWidth="1"/>
    <col min="7894" max="7894" width="22.26953125" style="272" customWidth="1"/>
    <col min="7895" max="8145" width="9.1796875" style="272"/>
    <col min="8146" max="8146" width="5.26953125" style="272" customWidth="1"/>
    <col min="8147" max="8147" width="22.54296875" style="272" customWidth="1"/>
    <col min="8148" max="8148" width="17.7265625" style="272" customWidth="1"/>
    <col min="8149" max="8149" width="19" style="272" customWidth="1"/>
    <col min="8150" max="8150" width="22.26953125" style="272" customWidth="1"/>
    <col min="8151" max="8401" width="9.1796875" style="272"/>
    <col min="8402" max="8402" width="5.26953125" style="272" customWidth="1"/>
    <col min="8403" max="8403" width="22.54296875" style="272" customWidth="1"/>
    <col min="8404" max="8404" width="17.7265625" style="272" customWidth="1"/>
    <col min="8405" max="8405" width="19" style="272" customWidth="1"/>
    <col min="8406" max="8406" width="22.26953125" style="272" customWidth="1"/>
    <col min="8407" max="8657" width="9.1796875" style="272"/>
    <col min="8658" max="8658" width="5.26953125" style="272" customWidth="1"/>
    <col min="8659" max="8659" width="22.54296875" style="272" customWidth="1"/>
    <col min="8660" max="8660" width="17.7265625" style="272" customWidth="1"/>
    <col min="8661" max="8661" width="19" style="272" customWidth="1"/>
    <col min="8662" max="8662" width="22.26953125" style="272" customWidth="1"/>
    <col min="8663" max="8913" width="9.1796875" style="272"/>
    <col min="8914" max="8914" width="5.26953125" style="272" customWidth="1"/>
    <col min="8915" max="8915" width="22.54296875" style="272" customWidth="1"/>
    <col min="8916" max="8916" width="17.7265625" style="272" customWidth="1"/>
    <col min="8917" max="8917" width="19" style="272" customWidth="1"/>
    <col min="8918" max="8918" width="22.26953125" style="272" customWidth="1"/>
    <col min="8919" max="9169" width="9.1796875" style="272"/>
    <col min="9170" max="9170" width="5.26953125" style="272" customWidth="1"/>
    <col min="9171" max="9171" width="22.54296875" style="272" customWidth="1"/>
    <col min="9172" max="9172" width="17.7265625" style="272" customWidth="1"/>
    <col min="9173" max="9173" width="19" style="272" customWidth="1"/>
    <col min="9174" max="9174" width="22.26953125" style="272" customWidth="1"/>
    <col min="9175" max="9425" width="9.1796875" style="272"/>
    <col min="9426" max="9426" width="5.26953125" style="272" customWidth="1"/>
    <col min="9427" max="9427" width="22.54296875" style="272" customWidth="1"/>
    <col min="9428" max="9428" width="17.7265625" style="272" customWidth="1"/>
    <col min="9429" max="9429" width="19" style="272" customWidth="1"/>
    <col min="9430" max="9430" width="22.26953125" style="272" customWidth="1"/>
    <col min="9431" max="9681" width="9.1796875" style="272"/>
    <col min="9682" max="9682" width="5.26953125" style="272" customWidth="1"/>
    <col min="9683" max="9683" width="22.54296875" style="272" customWidth="1"/>
    <col min="9684" max="9684" width="17.7265625" style="272" customWidth="1"/>
    <col min="9685" max="9685" width="19" style="272" customWidth="1"/>
    <col min="9686" max="9686" width="22.26953125" style="272" customWidth="1"/>
    <col min="9687" max="9937" width="9.1796875" style="272"/>
    <col min="9938" max="9938" width="5.26953125" style="272" customWidth="1"/>
    <col min="9939" max="9939" width="22.54296875" style="272" customWidth="1"/>
    <col min="9940" max="9940" width="17.7265625" style="272" customWidth="1"/>
    <col min="9941" max="9941" width="19" style="272" customWidth="1"/>
    <col min="9942" max="9942" width="22.26953125" style="272" customWidth="1"/>
    <col min="9943" max="10193" width="9.1796875" style="272"/>
    <col min="10194" max="10194" width="5.26953125" style="272" customWidth="1"/>
    <col min="10195" max="10195" width="22.54296875" style="272" customWidth="1"/>
    <col min="10196" max="10196" width="17.7265625" style="272" customWidth="1"/>
    <col min="10197" max="10197" width="19" style="272" customWidth="1"/>
    <col min="10198" max="10198" width="22.26953125" style="272" customWidth="1"/>
    <col min="10199" max="10449" width="9.1796875" style="272"/>
    <col min="10450" max="10450" width="5.26953125" style="272" customWidth="1"/>
    <col min="10451" max="10451" width="22.54296875" style="272" customWidth="1"/>
    <col min="10452" max="10452" width="17.7265625" style="272" customWidth="1"/>
    <col min="10453" max="10453" width="19" style="272" customWidth="1"/>
    <col min="10454" max="10454" width="22.26953125" style="272" customWidth="1"/>
    <col min="10455" max="10705" width="9.1796875" style="272"/>
    <col min="10706" max="10706" width="5.26953125" style="272" customWidth="1"/>
    <col min="10707" max="10707" width="22.54296875" style="272" customWidth="1"/>
    <col min="10708" max="10708" width="17.7265625" style="272" customWidth="1"/>
    <col min="10709" max="10709" width="19" style="272" customWidth="1"/>
    <col min="10710" max="10710" width="22.26953125" style="272" customWidth="1"/>
    <col min="10711" max="10961" width="9.1796875" style="272"/>
    <col min="10962" max="10962" width="5.26953125" style="272" customWidth="1"/>
    <col min="10963" max="10963" width="22.54296875" style="272" customWidth="1"/>
    <col min="10964" max="10964" width="17.7265625" style="272" customWidth="1"/>
    <col min="10965" max="10965" width="19" style="272" customWidth="1"/>
    <col min="10966" max="10966" width="22.26953125" style="272" customWidth="1"/>
    <col min="10967" max="11217" width="9.1796875" style="272"/>
    <col min="11218" max="11218" width="5.26953125" style="272" customWidth="1"/>
    <col min="11219" max="11219" width="22.54296875" style="272" customWidth="1"/>
    <col min="11220" max="11220" width="17.7265625" style="272" customWidth="1"/>
    <col min="11221" max="11221" width="19" style="272" customWidth="1"/>
    <col min="11222" max="11222" width="22.26953125" style="272" customWidth="1"/>
    <col min="11223" max="11473" width="9.1796875" style="272"/>
    <col min="11474" max="11474" width="5.26953125" style="272" customWidth="1"/>
    <col min="11475" max="11475" width="22.54296875" style="272" customWidth="1"/>
    <col min="11476" max="11476" width="17.7265625" style="272" customWidth="1"/>
    <col min="11477" max="11477" width="19" style="272" customWidth="1"/>
    <col min="11478" max="11478" width="22.26953125" style="272" customWidth="1"/>
    <col min="11479" max="11729" width="9.1796875" style="272"/>
    <col min="11730" max="11730" width="5.26953125" style="272" customWidth="1"/>
    <col min="11731" max="11731" width="22.54296875" style="272" customWidth="1"/>
    <col min="11732" max="11732" width="17.7265625" style="272" customWidth="1"/>
    <col min="11733" max="11733" width="19" style="272" customWidth="1"/>
    <col min="11734" max="11734" width="22.26953125" style="272" customWidth="1"/>
    <col min="11735" max="11985" width="9.1796875" style="272"/>
    <col min="11986" max="11986" width="5.26953125" style="272" customWidth="1"/>
    <col min="11987" max="11987" width="22.54296875" style="272" customWidth="1"/>
    <col min="11988" max="11988" width="17.7265625" style="272" customWidth="1"/>
    <col min="11989" max="11989" width="19" style="272" customWidth="1"/>
    <col min="11990" max="11990" width="22.26953125" style="272" customWidth="1"/>
    <col min="11991" max="12241" width="9.1796875" style="272"/>
    <col min="12242" max="12242" width="5.26953125" style="272" customWidth="1"/>
    <col min="12243" max="12243" width="22.54296875" style="272" customWidth="1"/>
    <col min="12244" max="12244" width="17.7265625" style="272" customWidth="1"/>
    <col min="12245" max="12245" width="19" style="272" customWidth="1"/>
    <col min="12246" max="12246" width="22.26953125" style="272" customWidth="1"/>
    <col min="12247" max="12497" width="9.1796875" style="272"/>
    <col min="12498" max="12498" width="5.26953125" style="272" customWidth="1"/>
    <col min="12499" max="12499" width="22.54296875" style="272" customWidth="1"/>
    <col min="12500" max="12500" width="17.7265625" style="272" customWidth="1"/>
    <col min="12501" max="12501" width="19" style="272" customWidth="1"/>
    <col min="12502" max="12502" width="22.26953125" style="272" customWidth="1"/>
    <col min="12503" max="12753" width="9.1796875" style="272"/>
    <col min="12754" max="12754" width="5.26953125" style="272" customWidth="1"/>
    <col min="12755" max="12755" width="22.54296875" style="272" customWidth="1"/>
    <col min="12756" max="12756" width="17.7265625" style="272" customWidth="1"/>
    <col min="12757" max="12757" width="19" style="272" customWidth="1"/>
    <col min="12758" max="12758" width="22.26953125" style="272" customWidth="1"/>
    <col min="12759" max="13009" width="9.1796875" style="272"/>
    <col min="13010" max="13010" width="5.26953125" style="272" customWidth="1"/>
    <col min="13011" max="13011" width="22.54296875" style="272" customWidth="1"/>
    <col min="13012" max="13012" width="17.7265625" style="272" customWidth="1"/>
    <col min="13013" max="13013" width="19" style="272" customWidth="1"/>
    <col min="13014" max="13014" width="22.26953125" style="272" customWidth="1"/>
    <col min="13015" max="13265" width="9.1796875" style="272"/>
    <col min="13266" max="13266" width="5.26953125" style="272" customWidth="1"/>
    <col min="13267" max="13267" width="22.54296875" style="272" customWidth="1"/>
    <col min="13268" max="13268" width="17.7265625" style="272" customWidth="1"/>
    <col min="13269" max="13269" width="19" style="272" customWidth="1"/>
    <col min="13270" max="13270" width="22.26953125" style="272" customWidth="1"/>
    <col min="13271" max="13521" width="9.1796875" style="272"/>
    <col min="13522" max="13522" width="5.26953125" style="272" customWidth="1"/>
    <col min="13523" max="13523" width="22.54296875" style="272" customWidth="1"/>
    <col min="13524" max="13524" width="17.7265625" style="272" customWidth="1"/>
    <col min="13525" max="13525" width="19" style="272" customWidth="1"/>
    <col min="13526" max="13526" width="22.26953125" style="272" customWidth="1"/>
    <col min="13527" max="13777" width="9.1796875" style="272"/>
    <col min="13778" max="13778" width="5.26953125" style="272" customWidth="1"/>
    <col min="13779" max="13779" width="22.54296875" style="272" customWidth="1"/>
    <col min="13780" max="13780" width="17.7265625" style="272" customWidth="1"/>
    <col min="13781" max="13781" width="19" style="272" customWidth="1"/>
    <col min="13782" max="13782" width="22.26953125" style="272" customWidth="1"/>
    <col min="13783" max="14033" width="9.1796875" style="272"/>
    <col min="14034" max="14034" width="5.26953125" style="272" customWidth="1"/>
    <col min="14035" max="14035" width="22.54296875" style="272" customWidth="1"/>
    <col min="14036" max="14036" width="17.7265625" style="272" customWidth="1"/>
    <col min="14037" max="14037" width="19" style="272" customWidth="1"/>
    <col min="14038" max="14038" width="22.26953125" style="272" customWidth="1"/>
    <col min="14039" max="14289" width="9.1796875" style="272"/>
    <col min="14290" max="14290" width="5.26953125" style="272" customWidth="1"/>
    <col min="14291" max="14291" width="22.54296875" style="272" customWidth="1"/>
    <col min="14292" max="14292" width="17.7265625" style="272" customWidth="1"/>
    <col min="14293" max="14293" width="19" style="272" customWidth="1"/>
    <col min="14294" max="14294" width="22.26953125" style="272" customWidth="1"/>
    <col min="14295" max="14545" width="9.1796875" style="272"/>
    <col min="14546" max="14546" width="5.26953125" style="272" customWidth="1"/>
    <col min="14547" max="14547" width="22.54296875" style="272" customWidth="1"/>
    <col min="14548" max="14548" width="17.7265625" style="272" customWidth="1"/>
    <col min="14549" max="14549" width="19" style="272" customWidth="1"/>
    <col min="14550" max="14550" width="22.26953125" style="272" customWidth="1"/>
    <col min="14551" max="14801" width="9.1796875" style="272"/>
    <col min="14802" max="14802" width="5.26953125" style="272" customWidth="1"/>
    <col min="14803" max="14803" width="22.54296875" style="272" customWidth="1"/>
    <col min="14804" max="14804" width="17.7265625" style="272" customWidth="1"/>
    <col min="14805" max="14805" width="19" style="272" customWidth="1"/>
    <col min="14806" max="14806" width="22.26953125" style="272" customWidth="1"/>
    <col min="14807" max="15057" width="9.1796875" style="272"/>
    <col min="15058" max="15058" width="5.26953125" style="272" customWidth="1"/>
    <col min="15059" max="15059" width="22.54296875" style="272" customWidth="1"/>
    <col min="15060" max="15060" width="17.7265625" style="272" customWidth="1"/>
    <col min="15061" max="15061" width="19" style="272" customWidth="1"/>
    <col min="15062" max="15062" width="22.26953125" style="272" customWidth="1"/>
    <col min="15063" max="15313" width="9.1796875" style="272"/>
    <col min="15314" max="15314" width="5.26953125" style="272" customWidth="1"/>
    <col min="15315" max="15315" width="22.54296875" style="272" customWidth="1"/>
    <col min="15316" max="15316" width="17.7265625" style="272" customWidth="1"/>
    <col min="15317" max="15317" width="19" style="272" customWidth="1"/>
    <col min="15318" max="15318" width="22.26953125" style="272" customWidth="1"/>
    <col min="15319" max="15569" width="9.1796875" style="272"/>
    <col min="15570" max="15570" width="5.26953125" style="272" customWidth="1"/>
    <col min="15571" max="15571" width="22.54296875" style="272" customWidth="1"/>
    <col min="15572" max="15572" width="17.7265625" style="272" customWidth="1"/>
    <col min="15573" max="15573" width="19" style="272" customWidth="1"/>
    <col min="15574" max="15574" width="22.26953125" style="272" customWidth="1"/>
    <col min="15575" max="15825" width="9.1796875" style="272"/>
    <col min="15826" max="15826" width="5.26953125" style="272" customWidth="1"/>
    <col min="15827" max="15827" width="22.54296875" style="272" customWidth="1"/>
    <col min="15828" max="15828" width="17.7265625" style="272" customWidth="1"/>
    <col min="15829" max="15829" width="19" style="272" customWidth="1"/>
    <col min="15830" max="15830" width="22.26953125" style="272" customWidth="1"/>
    <col min="15831" max="16081" width="9.1796875" style="272"/>
    <col min="16082" max="16082" width="5.26953125" style="272" customWidth="1"/>
    <col min="16083" max="16083" width="22.54296875" style="272" customWidth="1"/>
    <col min="16084" max="16084" width="17.7265625" style="272" customWidth="1"/>
    <col min="16085" max="16085" width="19" style="272" customWidth="1"/>
    <col min="16086" max="16086" width="22.26953125" style="272" customWidth="1"/>
    <col min="16087" max="16346" width="9.1796875" style="272"/>
    <col min="16347" max="16384" width="8.81640625" style="272" customWidth="1"/>
  </cols>
  <sheetData>
    <row r="1" spans="1:8" s="255" customFormat="1" ht="23.25" customHeight="1" x14ac:dyDescent="0.35">
      <c r="A1" s="840" t="s">
        <v>925</v>
      </c>
      <c r="B1" s="840"/>
      <c r="C1" s="840"/>
      <c r="D1" s="840"/>
      <c r="E1" s="840"/>
      <c r="F1" s="840"/>
      <c r="G1" s="840"/>
      <c r="H1" s="840"/>
    </row>
    <row r="2" spans="1:8" s="256" customFormat="1" ht="33" customHeight="1" x14ac:dyDescent="0.3">
      <c r="A2" s="841" t="s">
        <v>882</v>
      </c>
      <c r="B2" s="841" t="s">
        <v>885</v>
      </c>
      <c r="C2" s="843" t="s">
        <v>901</v>
      </c>
      <c r="D2" s="844"/>
      <c r="E2" s="843" t="s">
        <v>902</v>
      </c>
      <c r="F2" s="844"/>
      <c r="G2" s="843" t="s">
        <v>903</v>
      </c>
      <c r="H2" s="844"/>
    </row>
    <row r="3" spans="1:8" s="256" customFormat="1" ht="45" customHeight="1" x14ac:dyDescent="0.3">
      <c r="A3" s="842"/>
      <c r="B3" s="842"/>
      <c r="C3" s="257" t="s">
        <v>904</v>
      </c>
      <c r="D3" s="257" t="s">
        <v>905</v>
      </c>
      <c r="E3" s="257" t="s">
        <v>904</v>
      </c>
      <c r="F3" s="257" t="s">
        <v>905</v>
      </c>
      <c r="G3" s="257" t="s">
        <v>904</v>
      </c>
      <c r="H3" s="257" t="s">
        <v>905</v>
      </c>
    </row>
    <row r="4" spans="1:8" s="323" customFormat="1" ht="19.5" customHeight="1" x14ac:dyDescent="0.25">
      <c r="A4" s="322">
        <v>1</v>
      </c>
      <c r="B4" s="322">
        <v>2</v>
      </c>
      <c r="C4" s="322">
        <v>3</v>
      </c>
      <c r="D4" s="322">
        <v>4</v>
      </c>
      <c r="E4" s="322">
        <v>5</v>
      </c>
      <c r="F4" s="322">
        <v>6</v>
      </c>
      <c r="G4" s="322">
        <v>7</v>
      </c>
      <c r="H4" s="322">
        <v>8</v>
      </c>
    </row>
    <row r="5" spans="1:8" s="261" customFormat="1" ht="29.25" customHeight="1" x14ac:dyDescent="0.35">
      <c r="A5" s="258">
        <v>1</v>
      </c>
      <c r="B5" s="259" t="s">
        <v>56</v>
      </c>
      <c r="C5" s="260">
        <v>44.28776978417266</v>
      </c>
      <c r="D5" s="260">
        <v>12.776978417266189</v>
      </c>
      <c r="E5" s="260">
        <v>57.390476190476193</v>
      </c>
      <c r="F5" s="260">
        <v>15.676190476190479</v>
      </c>
      <c r="G5" s="260"/>
      <c r="H5" s="260"/>
    </row>
    <row r="6" spans="1:8" s="261" customFormat="1" ht="24.75" customHeight="1" x14ac:dyDescent="0.35">
      <c r="A6" s="258">
        <v>2</v>
      </c>
      <c r="B6" s="262" t="s">
        <v>13</v>
      </c>
      <c r="C6" s="260">
        <v>16.58924451335438</v>
      </c>
      <c r="D6" s="260">
        <v>14.60334643852557</v>
      </c>
      <c r="E6" s="260">
        <v>16.978244606038839</v>
      </c>
      <c r="F6" s="260">
        <v>14.83307897178083</v>
      </c>
      <c r="G6" s="260">
        <v>42.901496259351617</v>
      </c>
      <c r="H6" s="260">
        <v>18.52437089095443</v>
      </c>
    </row>
    <row r="7" spans="1:8" s="261" customFormat="1" ht="24.75" customHeight="1" x14ac:dyDescent="0.35">
      <c r="A7" s="258">
        <v>3</v>
      </c>
      <c r="B7" s="262" t="s">
        <v>14</v>
      </c>
      <c r="C7" s="260">
        <v>24.954393305439329</v>
      </c>
      <c r="D7" s="260">
        <v>21.212133891213391</v>
      </c>
      <c r="E7" s="260">
        <v>26.001332741003999</v>
      </c>
      <c r="F7" s="260">
        <v>22.027987561083961</v>
      </c>
      <c r="G7" s="260">
        <v>25.817042606516289</v>
      </c>
      <c r="H7" s="260">
        <v>18.345029239766081</v>
      </c>
    </row>
    <row r="8" spans="1:8" s="261" customFormat="1" ht="24.75" customHeight="1" x14ac:dyDescent="0.35">
      <c r="A8" s="258">
        <v>4</v>
      </c>
      <c r="B8" s="259" t="s">
        <v>15</v>
      </c>
      <c r="C8" s="260">
        <v>28.192714453584021</v>
      </c>
      <c r="D8" s="260">
        <v>24.425809208417899</v>
      </c>
      <c r="E8" s="260">
        <v>29.25308807220161</v>
      </c>
      <c r="F8" s="260">
        <v>25.21128915063673</v>
      </c>
      <c r="G8" s="260">
        <v>39.411332633788042</v>
      </c>
      <c r="H8" s="260">
        <v>17.231059811122769</v>
      </c>
    </row>
    <row r="9" spans="1:8" s="261" customFormat="1" ht="24.75" customHeight="1" x14ac:dyDescent="0.35">
      <c r="A9" s="258">
        <v>5</v>
      </c>
      <c r="B9" s="259" t="s">
        <v>16</v>
      </c>
      <c r="C9" s="260">
        <v>61.083713513752933</v>
      </c>
      <c r="D9" s="260">
        <v>57.381627319838771</v>
      </c>
      <c r="E9" s="260">
        <v>65.354500208399742</v>
      </c>
      <c r="F9" s="260">
        <v>61.264594110868657</v>
      </c>
      <c r="G9" s="260">
        <v>58.567837190742218</v>
      </c>
      <c r="H9" s="260">
        <v>25.284716679968081</v>
      </c>
    </row>
    <row r="10" spans="1:8" s="261" customFormat="1" ht="24.75" customHeight="1" x14ac:dyDescent="0.35">
      <c r="A10" s="258">
        <v>6</v>
      </c>
      <c r="B10" s="262" t="s">
        <v>17</v>
      </c>
      <c r="C10" s="260">
        <v>29.00664819944598</v>
      </c>
      <c r="D10" s="260">
        <v>20.5</v>
      </c>
      <c r="E10" s="260">
        <v>29.67603983596954</v>
      </c>
      <c r="F10" s="260">
        <v>20.681019332161689</v>
      </c>
      <c r="G10" s="260">
        <v>33.912596401028267</v>
      </c>
      <c r="H10" s="260">
        <v>14.176735218509</v>
      </c>
    </row>
    <row r="11" spans="1:8" s="261" customFormat="1" ht="24.75" customHeight="1" x14ac:dyDescent="0.35">
      <c r="A11" s="258">
        <v>7</v>
      </c>
      <c r="B11" s="262" t="s">
        <v>18</v>
      </c>
      <c r="C11" s="263">
        <v>23.9894611331205</v>
      </c>
      <c r="D11" s="260">
        <v>22.785299434593639</v>
      </c>
      <c r="E11" s="260">
        <v>24.248993288590601</v>
      </c>
      <c r="F11" s="260">
        <v>23.037228582708249</v>
      </c>
      <c r="G11" s="260">
        <v>30.88515330823023</v>
      </c>
      <c r="H11" s="260">
        <v>22.629639591178051</v>
      </c>
    </row>
    <row r="12" spans="1:8" s="261" customFormat="1" ht="24.75" customHeight="1" x14ac:dyDescent="0.35">
      <c r="A12" s="258">
        <v>8</v>
      </c>
      <c r="B12" s="262" t="s">
        <v>19</v>
      </c>
      <c r="C12" s="260">
        <v>48.838126102473638</v>
      </c>
      <c r="D12" s="260">
        <v>20.10887311810313</v>
      </c>
      <c r="E12" s="260">
        <v>50.98652537938252</v>
      </c>
      <c r="F12" s="260">
        <v>20.45783185068899</v>
      </c>
      <c r="G12" s="260">
        <v>108.2935949648278</v>
      </c>
      <c r="H12" s="260">
        <v>21.895470813279029</v>
      </c>
    </row>
    <row r="13" spans="1:8" s="261" customFormat="1" ht="24.75" customHeight="1" x14ac:dyDescent="0.35">
      <c r="A13" s="258">
        <v>9</v>
      </c>
      <c r="B13" s="262" t="s">
        <v>20</v>
      </c>
      <c r="C13" s="260">
        <v>15.257554296506139</v>
      </c>
      <c r="D13" s="260">
        <v>13.9789896128423</v>
      </c>
      <c r="E13" s="260">
        <v>15.523848019401781</v>
      </c>
      <c r="F13" s="260">
        <v>14.151172190784161</v>
      </c>
      <c r="G13" s="260">
        <v>24.412724306688421</v>
      </c>
      <c r="H13" s="260">
        <v>16.10277324632953</v>
      </c>
    </row>
    <row r="14" spans="1:8" s="261" customFormat="1" ht="24.75" customHeight="1" x14ac:dyDescent="0.35">
      <c r="A14" s="258">
        <v>10</v>
      </c>
      <c r="B14" s="262" t="s">
        <v>21</v>
      </c>
      <c r="C14" s="260">
        <v>27.212572385807331</v>
      </c>
      <c r="D14" s="260">
        <v>25.833220211705921</v>
      </c>
      <c r="E14" s="260">
        <v>28.067713654036751</v>
      </c>
      <c r="F14" s="260">
        <v>26.628665091103151</v>
      </c>
      <c r="G14" s="260">
        <v>26.041284623877871</v>
      </c>
      <c r="H14" s="260">
        <v>21.510537180164182</v>
      </c>
    </row>
    <row r="15" spans="1:8" s="261" customFormat="1" ht="24.75" customHeight="1" x14ac:dyDescent="0.35">
      <c r="A15" s="258">
        <v>11</v>
      </c>
      <c r="B15" s="262" t="s">
        <v>22</v>
      </c>
      <c r="C15" s="260">
        <v>24.96806000712251</v>
      </c>
      <c r="D15" s="260">
        <v>21.97484864672365</v>
      </c>
      <c r="E15" s="260">
        <v>25.932364408034349</v>
      </c>
      <c r="F15" s="260">
        <v>22.61617233381039</v>
      </c>
      <c r="G15" s="260">
        <v>32.413439019996403</v>
      </c>
      <c r="H15" s="260">
        <v>20.308232750855701</v>
      </c>
    </row>
    <row r="16" spans="1:8" s="261" customFormat="1" ht="24.75" customHeight="1" x14ac:dyDescent="0.35">
      <c r="A16" s="258">
        <v>12</v>
      </c>
      <c r="B16" s="262" t="s">
        <v>23</v>
      </c>
      <c r="C16" s="260">
        <v>28.662818366087951</v>
      </c>
      <c r="D16" s="260">
        <v>23.19723274874416</v>
      </c>
      <c r="E16" s="260">
        <v>30.765048927547689</v>
      </c>
      <c r="F16" s="260">
        <v>24.6593851932391</v>
      </c>
      <c r="G16" s="260">
        <v>35.098027671474831</v>
      </c>
      <c r="H16" s="260">
        <v>16.91404180158964</v>
      </c>
    </row>
    <row r="17" spans="1:8" s="261" customFormat="1" ht="24.75" customHeight="1" x14ac:dyDescent="0.35">
      <c r="A17" s="258">
        <v>13</v>
      </c>
      <c r="B17" s="262" t="s">
        <v>24</v>
      </c>
      <c r="C17" s="260">
        <v>29.318575233022639</v>
      </c>
      <c r="D17" s="260">
        <v>20.627330226364851</v>
      </c>
      <c r="E17" s="260">
        <v>31.17579413705344</v>
      </c>
      <c r="F17" s="260">
        <v>21.3509284569705</v>
      </c>
      <c r="G17" s="260">
        <v>50.242301184433167</v>
      </c>
      <c r="H17" s="260">
        <v>14.96920473773266</v>
      </c>
    </row>
    <row r="18" spans="1:8" s="261" customFormat="1" ht="24.75" customHeight="1" x14ac:dyDescent="0.35">
      <c r="A18" s="258">
        <v>14</v>
      </c>
      <c r="B18" s="262" t="s">
        <v>25</v>
      </c>
      <c r="C18" s="260">
        <v>50.707095709570957</v>
      </c>
      <c r="D18" s="260">
        <v>48.105665566556652</v>
      </c>
      <c r="E18" s="260">
        <v>56.777941082497293</v>
      </c>
      <c r="F18" s="260">
        <v>53.785609304108888</v>
      </c>
      <c r="G18" s="260">
        <v>38.391974057559793</v>
      </c>
      <c r="H18" s="260">
        <v>28.90129712201054</v>
      </c>
    </row>
    <row r="19" spans="1:8" s="261" customFormat="1" ht="24.75" customHeight="1" x14ac:dyDescent="0.35">
      <c r="A19" s="258">
        <v>15</v>
      </c>
      <c r="B19" s="262" t="s">
        <v>26</v>
      </c>
      <c r="C19" s="260">
        <v>16.875206516309991</v>
      </c>
      <c r="D19" s="260">
        <v>16.114739821467449</v>
      </c>
      <c r="E19" s="260">
        <v>17.303694681282991</v>
      </c>
      <c r="F19" s="260">
        <v>16.467968795313499</v>
      </c>
      <c r="G19" s="260">
        <v>19.96229440942826</v>
      </c>
      <c r="H19" s="260">
        <v>15.663260358781191</v>
      </c>
    </row>
    <row r="20" spans="1:8" s="261" customFormat="1" ht="24.75" customHeight="1" x14ac:dyDescent="0.35">
      <c r="A20" s="258">
        <v>16</v>
      </c>
      <c r="B20" s="262" t="s">
        <v>27</v>
      </c>
      <c r="C20" s="260">
        <v>17.531798650384651</v>
      </c>
      <c r="D20" s="260">
        <v>14.16068396261241</v>
      </c>
      <c r="E20" s="260">
        <v>17.662939732751571</v>
      </c>
      <c r="F20" s="260">
        <v>14.004234909125911</v>
      </c>
      <c r="G20" s="260">
        <v>54.550353837778992</v>
      </c>
      <c r="H20" s="260">
        <v>13.164035565233171</v>
      </c>
    </row>
    <row r="21" spans="1:8" s="261" customFormat="1" ht="24.75" customHeight="1" x14ac:dyDescent="0.35">
      <c r="A21" s="258">
        <v>17</v>
      </c>
      <c r="B21" s="249" t="s">
        <v>28</v>
      </c>
      <c r="C21" s="260">
        <v>12.36079545454546</v>
      </c>
      <c r="D21" s="260">
        <v>12.36079545454546</v>
      </c>
      <c r="E21" s="260">
        <v>13.240157480314959</v>
      </c>
      <c r="F21" s="260">
        <v>13.240157480314959</v>
      </c>
      <c r="G21" s="260">
        <v>8.1914893617021285</v>
      </c>
      <c r="H21" s="260">
        <v>8.1914893617021285</v>
      </c>
    </row>
    <row r="22" spans="1:8" s="261" customFormat="1" ht="24.75" customHeight="1" x14ac:dyDescent="0.35">
      <c r="A22" s="258">
        <v>18</v>
      </c>
      <c r="B22" s="262" t="s">
        <v>82</v>
      </c>
      <c r="C22" s="260">
        <v>8.8358208955223887</v>
      </c>
      <c r="D22" s="260">
        <v>8.8358208955223887</v>
      </c>
      <c r="E22" s="260">
        <v>8.8358208955223887</v>
      </c>
      <c r="F22" s="260">
        <v>8.8358208955223887</v>
      </c>
      <c r="G22" s="260"/>
      <c r="H22" s="260"/>
    </row>
    <row r="23" spans="1:8" s="261" customFormat="1" ht="24.75" customHeight="1" x14ac:dyDescent="0.35">
      <c r="A23" s="258">
        <v>19</v>
      </c>
      <c r="B23" s="262" t="s">
        <v>29</v>
      </c>
      <c r="C23" s="260">
        <v>28.927504452359749</v>
      </c>
      <c r="D23" s="260">
        <v>27.03541852181656</v>
      </c>
      <c r="E23" s="260">
        <v>29.854730843498331</v>
      </c>
      <c r="F23" s="260">
        <v>27.878514576366971</v>
      </c>
      <c r="G23" s="260">
        <v>28.23082931909908</v>
      </c>
      <c r="H23" s="260">
        <v>20.94688191641713</v>
      </c>
    </row>
    <row r="24" spans="1:8" s="261" customFormat="1" ht="24.75" customHeight="1" x14ac:dyDescent="0.35">
      <c r="A24" s="258">
        <v>20</v>
      </c>
      <c r="B24" s="262" t="s">
        <v>30</v>
      </c>
      <c r="C24" s="260">
        <v>24.43680047193843</v>
      </c>
      <c r="D24" s="260">
        <v>21.355766497734159</v>
      </c>
      <c r="E24" s="260">
        <v>26.081526403829169</v>
      </c>
      <c r="F24" s="260">
        <v>22.51813403334231</v>
      </c>
      <c r="G24" s="260">
        <v>39.042626062556742</v>
      </c>
      <c r="H24" s="260">
        <v>15.572377651233801</v>
      </c>
    </row>
    <row r="25" spans="1:8" s="261" customFormat="1" ht="24.75" customHeight="1" x14ac:dyDescent="0.35">
      <c r="A25" s="258">
        <v>21</v>
      </c>
      <c r="B25" s="262" t="s">
        <v>31</v>
      </c>
      <c r="C25" s="260">
        <v>16.406720233747262</v>
      </c>
      <c r="D25" s="260">
        <v>15.73732651570489</v>
      </c>
      <c r="E25" s="260">
        <v>16.71294587945879</v>
      </c>
      <c r="F25" s="260">
        <v>16.010455104551049</v>
      </c>
      <c r="G25" s="260">
        <v>19.762859633827379</v>
      </c>
      <c r="H25" s="260">
        <v>15.7794245858762</v>
      </c>
    </row>
    <row r="26" spans="1:8" s="261" customFormat="1" ht="24.75" customHeight="1" x14ac:dyDescent="0.35">
      <c r="A26" s="258">
        <v>22</v>
      </c>
      <c r="B26" s="262" t="s">
        <v>32</v>
      </c>
      <c r="C26" s="260">
        <v>25.451459767386659</v>
      </c>
      <c r="D26" s="260">
        <v>23.6589128886779</v>
      </c>
      <c r="E26" s="260">
        <v>26.8886866059818</v>
      </c>
      <c r="F26" s="260">
        <v>24.92457737321196</v>
      </c>
      <c r="G26" s="260">
        <v>28.99388379204893</v>
      </c>
      <c r="H26" s="260">
        <v>21.29561671763507</v>
      </c>
    </row>
    <row r="27" spans="1:8" s="261" customFormat="1" ht="24.75" customHeight="1" x14ac:dyDescent="0.35">
      <c r="A27" s="258">
        <v>23</v>
      </c>
      <c r="B27" s="262" t="s">
        <v>33</v>
      </c>
      <c r="C27" s="260">
        <v>19.80663465735487</v>
      </c>
      <c r="D27" s="260">
        <v>16.90353557398516</v>
      </c>
      <c r="E27" s="260">
        <v>19.111774281063479</v>
      </c>
      <c r="F27" s="260">
        <v>15.806294085729791</v>
      </c>
      <c r="G27" s="260">
        <v>33.737160120845921</v>
      </c>
      <c r="H27" s="260">
        <v>15.33232628398792</v>
      </c>
    </row>
    <row r="28" spans="1:8" s="261" customFormat="1" ht="24.75" customHeight="1" x14ac:dyDescent="0.35">
      <c r="A28" s="258">
        <v>24</v>
      </c>
      <c r="B28" s="262" t="s">
        <v>34</v>
      </c>
      <c r="C28" s="260">
        <v>17.07137883008356</v>
      </c>
      <c r="D28" s="260">
        <v>15.742688022284121</v>
      </c>
      <c r="E28" s="260">
        <v>18.4327946393378</v>
      </c>
      <c r="F28" s="260">
        <v>17.01103665746945</v>
      </c>
      <c r="G28" s="260">
        <v>22.3377358490566</v>
      </c>
      <c r="H28" s="260">
        <v>15.532075471698111</v>
      </c>
    </row>
    <row r="29" spans="1:8" s="261" customFormat="1" ht="24.75" customHeight="1" x14ac:dyDescent="0.35">
      <c r="A29" s="258">
        <v>25</v>
      </c>
      <c r="B29" s="262" t="s">
        <v>35</v>
      </c>
      <c r="C29" s="260">
        <v>24.024493020805899</v>
      </c>
      <c r="D29" s="260">
        <v>22.750450760722028</v>
      </c>
      <c r="E29" s="260">
        <v>25.681884348960949</v>
      </c>
      <c r="F29" s="260">
        <v>24.11007930930629</v>
      </c>
      <c r="G29" s="260">
        <v>27.396784486990668</v>
      </c>
      <c r="H29" s="260">
        <v>19.710603829160529</v>
      </c>
    </row>
    <row r="30" spans="1:8" s="261" customFormat="1" ht="24.75" customHeight="1" x14ac:dyDescent="0.35">
      <c r="A30" s="258">
        <v>26</v>
      </c>
      <c r="B30" s="264" t="s">
        <v>36</v>
      </c>
      <c r="C30" s="260">
        <v>13.157409653165169</v>
      </c>
      <c r="D30" s="260">
        <v>9.9577977201067185</v>
      </c>
      <c r="E30" s="260">
        <v>13.203158290512601</v>
      </c>
      <c r="F30" s="260">
        <v>9.8964782554204795</v>
      </c>
      <c r="G30" s="260">
        <v>16.030541276081038</v>
      </c>
      <c r="H30" s="260">
        <v>8.0523132748714854</v>
      </c>
    </row>
    <row r="31" spans="1:8" s="261" customFormat="1" ht="24.75" customHeight="1" x14ac:dyDescent="0.35">
      <c r="A31" s="258">
        <v>27</v>
      </c>
      <c r="B31" s="262" t="s">
        <v>37</v>
      </c>
      <c r="C31" s="260">
        <v>17.508844692220141</v>
      </c>
      <c r="D31" s="260">
        <v>15.826192634888789</v>
      </c>
      <c r="E31" s="260">
        <v>18.463415159345391</v>
      </c>
      <c r="F31" s="260">
        <v>16.585745047372949</v>
      </c>
      <c r="G31" s="260">
        <v>20.902890840330748</v>
      </c>
      <c r="H31" s="260">
        <v>15.313569642971601</v>
      </c>
    </row>
    <row r="32" spans="1:8" s="261" customFormat="1" ht="24.75" customHeight="1" x14ac:dyDescent="0.35">
      <c r="A32" s="258">
        <v>28</v>
      </c>
      <c r="B32" s="265" t="s">
        <v>38</v>
      </c>
      <c r="C32" s="260">
        <v>27.022465187119231</v>
      </c>
      <c r="D32" s="260">
        <v>25.019027415143601</v>
      </c>
      <c r="E32" s="260">
        <v>28.409727400778859</v>
      </c>
      <c r="F32" s="260">
        <v>26.23292259981298</v>
      </c>
      <c r="G32" s="260">
        <v>29.058673191952149</v>
      </c>
      <c r="H32" s="260">
        <v>19.05851005981512</v>
      </c>
    </row>
    <row r="33" spans="1:8" s="261" customFormat="1" ht="24.75" customHeight="1" x14ac:dyDescent="0.35">
      <c r="A33" s="258">
        <v>29</v>
      </c>
      <c r="B33" s="266" t="s">
        <v>39</v>
      </c>
      <c r="C33" s="260">
        <v>20.053750738334319</v>
      </c>
      <c r="D33" s="260">
        <v>16.93089190785588</v>
      </c>
      <c r="E33" s="260">
        <v>20.23604060913706</v>
      </c>
      <c r="F33" s="260">
        <v>16.881345177664979</v>
      </c>
      <c r="G33" s="260">
        <v>19.29449838187702</v>
      </c>
      <c r="H33" s="260">
        <v>13.59115426105717</v>
      </c>
    </row>
    <row r="34" spans="1:8" s="261" customFormat="1" ht="24.75" customHeight="1" x14ac:dyDescent="0.35">
      <c r="A34" s="258">
        <v>30</v>
      </c>
      <c r="B34" s="267" t="s">
        <v>40</v>
      </c>
      <c r="C34" s="260">
        <v>16.057249743889951</v>
      </c>
      <c r="D34" s="260">
        <v>14.42720071710815</v>
      </c>
      <c r="E34" s="260">
        <v>16.77796672115004</v>
      </c>
      <c r="F34" s="260">
        <v>14.96994954365945</v>
      </c>
      <c r="G34" s="260">
        <v>26.910917337421751</v>
      </c>
      <c r="H34" s="260">
        <v>15.534176568289251</v>
      </c>
    </row>
    <row r="35" spans="1:8" s="261" customFormat="1" ht="24.75" customHeight="1" x14ac:dyDescent="0.35">
      <c r="A35" s="258">
        <v>31</v>
      </c>
      <c r="B35" s="268" t="s">
        <v>41</v>
      </c>
      <c r="C35" s="260">
        <v>18.82546589726611</v>
      </c>
      <c r="D35" s="260">
        <v>16.76149370920443</v>
      </c>
      <c r="E35" s="260">
        <v>19.146029271236731</v>
      </c>
      <c r="F35" s="260">
        <v>16.95136548810542</v>
      </c>
      <c r="G35" s="260">
        <v>36.796012537001573</v>
      </c>
      <c r="H35" s="260">
        <v>21.599599512449942</v>
      </c>
    </row>
    <row r="36" spans="1:8" s="261" customFormat="1" ht="28" x14ac:dyDescent="0.35">
      <c r="A36" s="258">
        <v>32</v>
      </c>
      <c r="B36" s="268" t="s">
        <v>58</v>
      </c>
      <c r="C36" s="260">
        <v>19.32618683001531</v>
      </c>
      <c r="D36" s="260">
        <v>19.272588055130171</v>
      </c>
      <c r="E36" s="260">
        <v>19.587774294670851</v>
      </c>
      <c r="F36" s="260">
        <v>19.587774294670851</v>
      </c>
      <c r="G36" s="260">
        <v>24</v>
      </c>
      <c r="H36" s="260">
        <v>24</v>
      </c>
    </row>
    <row r="37" spans="1:8" s="261" customFormat="1" ht="24.75" customHeight="1" x14ac:dyDescent="0.35">
      <c r="A37" s="258">
        <v>33</v>
      </c>
      <c r="B37" s="267" t="s">
        <v>42</v>
      </c>
      <c r="C37" s="260">
        <v>36.925058548009368</v>
      </c>
      <c r="D37" s="260">
        <v>34.687186349949819</v>
      </c>
      <c r="E37" s="260">
        <v>38.48828956706884</v>
      </c>
      <c r="F37" s="260">
        <v>36.11462029808375</v>
      </c>
      <c r="G37" s="260">
        <v>35.129850746268659</v>
      </c>
      <c r="H37" s="260">
        <v>25.146268656716419</v>
      </c>
    </row>
    <row r="38" spans="1:8" s="261" customFormat="1" ht="24.75" customHeight="1" x14ac:dyDescent="0.35">
      <c r="A38" s="258">
        <v>34</v>
      </c>
      <c r="B38" s="262" t="s">
        <v>43</v>
      </c>
      <c r="C38" s="260">
        <v>33.857025409632342</v>
      </c>
      <c r="D38" s="260">
        <v>32.992141942144812</v>
      </c>
      <c r="E38" s="260">
        <v>36.04866512898009</v>
      </c>
      <c r="F38" s="260">
        <v>35.12293008828442</v>
      </c>
      <c r="G38" s="260">
        <v>25.493722075465541</v>
      </c>
      <c r="H38" s="260">
        <v>19.799921729772041</v>
      </c>
    </row>
    <row r="39" spans="1:8" s="261" customFormat="1" ht="24.75" customHeight="1" x14ac:dyDescent="0.35">
      <c r="A39" s="258">
        <v>35</v>
      </c>
      <c r="B39" s="262" t="s">
        <v>44</v>
      </c>
      <c r="C39" s="260">
        <v>27.881230063795851</v>
      </c>
      <c r="D39" s="260">
        <v>21.915221291866029</v>
      </c>
      <c r="E39" s="260">
        <v>29.469431592861859</v>
      </c>
      <c r="F39" s="260">
        <v>22.876459572593081</v>
      </c>
      <c r="G39" s="260">
        <v>34.728881547899952</v>
      </c>
      <c r="H39" s="260">
        <v>20.606418121755549</v>
      </c>
    </row>
    <row r="40" spans="1:8" s="261" customFormat="1" ht="24.75" customHeight="1" x14ac:dyDescent="0.35">
      <c r="A40" s="258">
        <v>36</v>
      </c>
      <c r="B40" s="262" t="s">
        <v>45</v>
      </c>
      <c r="C40" s="260">
        <v>31.332314617086301</v>
      </c>
      <c r="D40" s="260">
        <v>26.568648261575639</v>
      </c>
      <c r="E40" s="260">
        <v>33.594630242987357</v>
      </c>
      <c r="F40" s="260">
        <v>28.136017234809621</v>
      </c>
      <c r="G40" s="260">
        <v>56.058625983496448</v>
      </c>
      <c r="H40" s="260">
        <v>20.320475916330839</v>
      </c>
    </row>
    <row r="41" spans="1:8" s="270" customFormat="1" ht="24.75" customHeight="1" x14ac:dyDescent="0.35">
      <c r="A41" s="845" t="s">
        <v>46</v>
      </c>
      <c r="B41" s="845"/>
      <c r="C41" s="269">
        <v>25.017764882866299</v>
      </c>
      <c r="D41" s="269">
        <v>22.475517435262141</v>
      </c>
      <c r="E41" s="269">
        <v>26.263822821118161</v>
      </c>
      <c r="F41" s="269">
        <v>23.46048935765808</v>
      </c>
      <c r="G41" s="269">
        <v>33.186030417208563</v>
      </c>
      <c r="H41" s="269">
        <v>18.5410037210764</v>
      </c>
    </row>
    <row r="42" spans="1:8" s="271" customFormat="1" ht="16.149999999999999" customHeight="1" x14ac:dyDescent="0.3">
      <c r="C42" s="272"/>
    </row>
  </sheetData>
  <mergeCells count="7">
    <mergeCell ref="A1:H1"/>
    <mergeCell ref="A2:A3"/>
    <mergeCell ref="B2:B3"/>
    <mergeCell ref="C2:D2"/>
    <mergeCell ref="E2:F2"/>
    <mergeCell ref="G2:H2"/>
    <mergeCell ref="A41:B41"/>
  </mergeCells>
  <pageMargins left="0.59055118110236227" right="0.35433070866141736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2023-24&amp;RT-25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7291-F6BA-4650-9422-3B252DE80B38}">
  <dimension ref="A1:AF20"/>
  <sheetViews>
    <sheetView view="pageBreakPreview" zoomScaleNormal="100" zoomScaleSheetLayoutView="100" workbookViewId="0">
      <pane xSplit="2" topLeftCell="C1" activePane="topRight" state="frozen"/>
      <selection activeCell="B16" sqref="B16:M16"/>
      <selection pane="topRight" activeCell="B16" sqref="B16:M16"/>
    </sheetView>
  </sheetViews>
  <sheetFormatPr defaultColWidth="9.26953125" defaultRowHeight="13" x14ac:dyDescent="0.3"/>
  <cols>
    <col min="1" max="1" width="5.81640625" style="273" customWidth="1"/>
    <col min="2" max="2" width="23.54296875" style="273" customWidth="1"/>
    <col min="3" max="5" width="10" style="273" customWidth="1"/>
    <col min="6" max="8" width="9.26953125" style="273" customWidth="1"/>
    <col min="9" max="9" width="11.26953125" style="273" bestFit="1" customWidth="1"/>
    <col min="10" max="10" width="11.81640625" style="273" customWidth="1"/>
    <col min="11" max="11" width="11.26953125" style="273" bestFit="1" customWidth="1"/>
    <col min="12" max="12" width="13.1796875" style="273" customWidth="1"/>
    <col min="13" max="14" width="13.1796875" style="273" bestFit="1" customWidth="1"/>
    <col min="15" max="17" width="8.453125" style="273" bestFit="1" customWidth="1"/>
    <col min="18" max="20" width="10.1796875" style="273" bestFit="1" customWidth="1"/>
    <col min="21" max="22" width="8.453125" style="273" bestFit="1" customWidth="1"/>
    <col min="23" max="26" width="10.1796875" style="273" bestFit="1" customWidth="1"/>
    <col min="27" max="29" width="13.1796875" style="273" bestFit="1" customWidth="1"/>
    <col min="30" max="30" width="9.26953125" style="273"/>
    <col min="31" max="31" width="10.453125" style="273" customWidth="1"/>
    <col min="32" max="16384" width="9.26953125" style="273"/>
  </cols>
  <sheetData>
    <row r="1" spans="1:32" ht="33" customHeight="1" x14ac:dyDescent="0.3">
      <c r="B1" s="206"/>
      <c r="C1" s="805" t="s">
        <v>1007</v>
      </c>
      <c r="D1" s="805"/>
      <c r="E1" s="805"/>
      <c r="F1" s="805"/>
      <c r="G1" s="805"/>
      <c r="H1" s="805"/>
      <c r="I1" s="805"/>
      <c r="J1" s="805"/>
      <c r="K1" s="805"/>
      <c r="L1" s="805" t="str">
        <f>C1</f>
        <v>Table 26. Level-wise Enrolment in various types of Universities
(a) Teaching departments and it's Constituent Units/Off-campus Centres</v>
      </c>
      <c r="M1" s="805"/>
      <c r="N1" s="805"/>
      <c r="O1" s="805"/>
      <c r="P1" s="805"/>
      <c r="Q1" s="805"/>
      <c r="R1" s="805"/>
      <c r="S1" s="805"/>
      <c r="T1" s="805"/>
      <c r="U1" s="805" t="str">
        <f>L1</f>
        <v>Table 26. Level-wise Enrolment in various types of Universities
(a) Teaching departments and it's Constituent Units/Off-campus Centres</v>
      </c>
      <c r="V1" s="805"/>
      <c r="W1" s="805"/>
      <c r="X1" s="805"/>
      <c r="Y1" s="805"/>
      <c r="Z1" s="805"/>
      <c r="AA1" s="805"/>
      <c r="AB1" s="805"/>
      <c r="AC1" s="805"/>
    </row>
    <row r="2" spans="1:32" s="274" customFormat="1" ht="15" x14ac:dyDescent="0.3">
      <c r="A2" s="841" t="s">
        <v>882</v>
      </c>
      <c r="B2" s="846" t="s">
        <v>907</v>
      </c>
      <c r="C2" s="846" t="s">
        <v>95</v>
      </c>
      <c r="D2" s="846"/>
      <c r="E2" s="846"/>
      <c r="F2" s="846" t="s">
        <v>96</v>
      </c>
      <c r="G2" s="846"/>
      <c r="H2" s="846"/>
      <c r="I2" s="846" t="s">
        <v>97</v>
      </c>
      <c r="J2" s="846"/>
      <c r="K2" s="846"/>
      <c r="L2" s="846" t="s">
        <v>98</v>
      </c>
      <c r="M2" s="846"/>
      <c r="N2" s="846"/>
      <c r="O2" s="846" t="s">
        <v>99</v>
      </c>
      <c r="P2" s="846"/>
      <c r="Q2" s="846"/>
      <c r="R2" s="846" t="s">
        <v>100</v>
      </c>
      <c r="S2" s="846"/>
      <c r="T2" s="846"/>
      <c r="U2" s="846" t="s">
        <v>101</v>
      </c>
      <c r="V2" s="846"/>
      <c r="W2" s="846"/>
      <c r="X2" s="846" t="s">
        <v>102</v>
      </c>
      <c r="Y2" s="846"/>
      <c r="Z2" s="846"/>
      <c r="AA2" s="846" t="s">
        <v>12</v>
      </c>
      <c r="AB2" s="846"/>
      <c r="AC2" s="846"/>
    </row>
    <row r="3" spans="1:32" s="275" customFormat="1" ht="15.75" customHeight="1" x14ac:dyDescent="0.3">
      <c r="A3" s="842"/>
      <c r="B3" s="846"/>
      <c r="C3" s="132" t="s">
        <v>103</v>
      </c>
      <c r="D3" s="132" t="s">
        <v>104</v>
      </c>
      <c r="E3" s="132" t="s">
        <v>89</v>
      </c>
      <c r="F3" s="132" t="s">
        <v>103</v>
      </c>
      <c r="G3" s="132" t="s">
        <v>104</v>
      </c>
      <c r="H3" s="132" t="s">
        <v>89</v>
      </c>
      <c r="I3" s="132" t="s">
        <v>103</v>
      </c>
      <c r="J3" s="132" t="s">
        <v>104</v>
      </c>
      <c r="K3" s="132" t="s">
        <v>89</v>
      </c>
      <c r="L3" s="132" t="s">
        <v>103</v>
      </c>
      <c r="M3" s="132" t="s">
        <v>104</v>
      </c>
      <c r="N3" s="132" t="s">
        <v>89</v>
      </c>
      <c r="O3" s="132" t="s">
        <v>103</v>
      </c>
      <c r="P3" s="132" t="s">
        <v>104</v>
      </c>
      <c r="Q3" s="132" t="s">
        <v>89</v>
      </c>
      <c r="R3" s="132" t="s">
        <v>103</v>
      </c>
      <c r="S3" s="132" t="s">
        <v>104</v>
      </c>
      <c r="T3" s="132" t="s">
        <v>89</v>
      </c>
      <c r="U3" s="132" t="s">
        <v>103</v>
      </c>
      <c r="V3" s="132" t="s">
        <v>104</v>
      </c>
      <c r="W3" s="132" t="s">
        <v>89</v>
      </c>
      <c r="X3" s="132" t="s">
        <v>103</v>
      </c>
      <c r="Y3" s="132" t="s">
        <v>104</v>
      </c>
      <c r="Z3" s="132" t="s">
        <v>89</v>
      </c>
      <c r="AA3" s="132" t="s">
        <v>103</v>
      </c>
      <c r="AB3" s="132" t="s">
        <v>104</v>
      </c>
      <c r="AC3" s="132" t="s">
        <v>89</v>
      </c>
    </row>
    <row r="4" spans="1:32" s="328" customFormat="1" ht="12" customHeight="1" x14ac:dyDescent="0.25">
      <c r="A4" s="322">
        <v>1</v>
      </c>
      <c r="B4" s="327">
        <v>2</v>
      </c>
      <c r="C4" s="322">
        <v>3</v>
      </c>
      <c r="D4" s="327">
        <v>4</v>
      </c>
      <c r="E4" s="322">
        <v>5</v>
      </c>
      <c r="F4" s="327">
        <v>6</v>
      </c>
      <c r="G4" s="322">
        <v>7</v>
      </c>
      <c r="H4" s="327">
        <v>8</v>
      </c>
      <c r="I4" s="322">
        <v>9</v>
      </c>
      <c r="J4" s="327">
        <v>10</v>
      </c>
      <c r="K4" s="322">
        <v>11</v>
      </c>
      <c r="L4" s="327">
        <v>12</v>
      </c>
      <c r="M4" s="322">
        <v>13</v>
      </c>
      <c r="N4" s="327">
        <v>14</v>
      </c>
      <c r="O4" s="322">
        <v>15</v>
      </c>
      <c r="P4" s="327">
        <v>16</v>
      </c>
      <c r="Q4" s="322">
        <v>17</v>
      </c>
      <c r="R4" s="327">
        <v>18</v>
      </c>
      <c r="S4" s="322">
        <v>19</v>
      </c>
      <c r="T4" s="327">
        <v>20</v>
      </c>
      <c r="U4" s="322">
        <v>21</v>
      </c>
      <c r="V4" s="327">
        <v>22</v>
      </c>
      <c r="W4" s="322">
        <v>23</v>
      </c>
      <c r="X4" s="327">
        <v>24</v>
      </c>
      <c r="Y4" s="322">
        <v>25</v>
      </c>
      <c r="Z4" s="327">
        <v>26</v>
      </c>
      <c r="AA4" s="322">
        <v>27</v>
      </c>
      <c r="AB4" s="327">
        <v>28</v>
      </c>
      <c r="AC4" s="322">
        <v>29</v>
      </c>
    </row>
    <row r="5" spans="1:32" ht="34.5" customHeight="1" x14ac:dyDescent="0.35">
      <c r="A5" s="258">
        <v>1</v>
      </c>
      <c r="B5" s="44" t="s">
        <v>2</v>
      </c>
      <c r="C5" s="25">
        <v>18929</v>
      </c>
      <c r="D5" s="25">
        <v>16689</v>
      </c>
      <c r="E5" s="25">
        <v>35618</v>
      </c>
      <c r="F5" s="25">
        <v>14</v>
      </c>
      <c r="G5" s="25">
        <v>1</v>
      </c>
      <c r="H5" s="25">
        <v>15</v>
      </c>
      <c r="I5" s="25">
        <v>77311</v>
      </c>
      <c r="J5" s="25">
        <v>77078</v>
      </c>
      <c r="K5" s="25">
        <v>154389</v>
      </c>
      <c r="L5" s="25">
        <v>293440</v>
      </c>
      <c r="M5" s="25">
        <v>274888</v>
      </c>
      <c r="N5" s="25">
        <v>568328</v>
      </c>
      <c r="O5" s="25">
        <v>2736</v>
      </c>
      <c r="P5" s="25">
        <v>2695</v>
      </c>
      <c r="Q5" s="25">
        <v>5431</v>
      </c>
      <c r="R5" s="25">
        <v>7586</v>
      </c>
      <c r="S5" s="25">
        <v>3025</v>
      </c>
      <c r="T5" s="25">
        <v>10611</v>
      </c>
      <c r="U5" s="25">
        <v>3285</v>
      </c>
      <c r="V5" s="25">
        <v>2483</v>
      </c>
      <c r="W5" s="25">
        <v>5768</v>
      </c>
      <c r="X5" s="25">
        <v>8342</v>
      </c>
      <c r="Y5" s="25">
        <v>6965</v>
      </c>
      <c r="Z5" s="25">
        <v>15307</v>
      </c>
      <c r="AA5" s="25">
        <v>411643</v>
      </c>
      <c r="AB5" s="25">
        <v>383824</v>
      </c>
      <c r="AC5" s="25">
        <v>795467</v>
      </c>
      <c r="AD5" s="276"/>
      <c r="AE5"/>
      <c r="AF5" s="277"/>
    </row>
    <row r="6" spans="1:32" ht="34.5" customHeight="1" x14ac:dyDescent="0.35">
      <c r="A6" s="258">
        <v>2</v>
      </c>
      <c r="B6" s="44" t="s">
        <v>3</v>
      </c>
      <c r="C6" s="25">
        <v>374</v>
      </c>
      <c r="D6" s="25">
        <v>523</v>
      </c>
      <c r="E6" s="25">
        <v>897</v>
      </c>
      <c r="F6" s="25"/>
      <c r="G6" s="25"/>
      <c r="H6" s="25"/>
      <c r="I6" s="25">
        <v>201783</v>
      </c>
      <c r="J6" s="25">
        <v>274488</v>
      </c>
      <c r="K6" s="25">
        <v>476271</v>
      </c>
      <c r="L6" s="25">
        <v>428656</v>
      </c>
      <c r="M6" s="25">
        <v>332102</v>
      </c>
      <c r="N6" s="25">
        <v>760758</v>
      </c>
      <c r="O6" s="25">
        <v>12048</v>
      </c>
      <c r="P6" s="25">
        <v>9628</v>
      </c>
      <c r="Q6" s="25">
        <v>21676</v>
      </c>
      <c r="R6" s="25">
        <v>9010</v>
      </c>
      <c r="S6" s="25">
        <v>29868</v>
      </c>
      <c r="T6" s="25">
        <v>38878</v>
      </c>
      <c r="U6" s="25">
        <v>1</v>
      </c>
      <c r="V6" s="25"/>
      <c r="W6" s="25">
        <v>1</v>
      </c>
      <c r="X6" s="25"/>
      <c r="Y6" s="25"/>
      <c r="Z6" s="25"/>
      <c r="AA6" s="25">
        <v>651872</v>
      </c>
      <c r="AB6" s="25">
        <v>646609</v>
      </c>
      <c r="AC6" s="25">
        <v>1298481</v>
      </c>
      <c r="AD6" s="276"/>
      <c r="AE6"/>
      <c r="AF6" s="277"/>
    </row>
    <row r="7" spans="1:32" ht="34.5" customHeight="1" x14ac:dyDescent="0.35">
      <c r="A7" s="258">
        <v>3</v>
      </c>
      <c r="B7" s="278" t="s">
        <v>4</v>
      </c>
      <c r="C7" s="25">
        <v>30086</v>
      </c>
      <c r="D7" s="25">
        <v>15917</v>
      </c>
      <c r="E7" s="25">
        <v>46003</v>
      </c>
      <c r="F7" s="25">
        <v>24</v>
      </c>
      <c r="G7" s="25">
        <v>126</v>
      </c>
      <c r="H7" s="25">
        <v>150</v>
      </c>
      <c r="I7" s="25">
        <v>57744</v>
      </c>
      <c r="J7" s="25">
        <v>25777</v>
      </c>
      <c r="K7" s="25">
        <v>83521</v>
      </c>
      <c r="L7" s="25">
        <v>168344</v>
      </c>
      <c r="M7" s="25">
        <v>60629</v>
      </c>
      <c r="N7" s="25">
        <v>228973</v>
      </c>
      <c r="O7" s="25">
        <v>953</v>
      </c>
      <c r="P7" s="25">
        <v>529</v>
      </c>
      <c r="Q7" s="25">
        <v>1482</v>
      </c>
      <c r="R7" s="25">
        <v>792</v>
      </c>
      <c r="S7" s="25">
        <v>531</v>
      </c>
      <c r="T7" s="25">
        <v>1323</v>
      </c>
      <c r="U7" s="25">
        <v>15659</v>
      </c>
      <c r="V7" s="25">
        <v>14801</v>
      </c>
      <c r="W7" s="25">
        <v>30460</v>
      </c>
      <c r="X7" s="25">
        <v>17682</v>
      </c>
      <c r="Y7" s="25">
        <v>7493</v>
      </c>
      <c r="Z7" s="25">
        <v>25175</v>
      </c>
      <c r="AA7" s="25">
        <v>291284</v>
      </c>
      <c r="AB7" s="25">
        <v>125803</v>
      </c>
      <c r="AC7" s="25">
        <v>417087</v>
      </c>
      <c r="AD7" s="276"/>
      <c r="AE7"/>
      <c r="AF7" s="277"/>
    </row>
    <row r="8" spans="1:32" ht="34.5" customHeight="1" x14ac:dyDescent="0.35">
      <c r="A8" s="258">
        <v>4</v>
      </c>
      <c r="B8" s="44" t="s">
        <v>5</v>
      </c>
      <c r="C8" s="25">
        <v>43560</v>
      </c>
      <c r="D8" s="25">
        <v>44141</v>
      </c>
      <c r="E8" s="25">
        <v>87701</v>
      </c>
      <c r="F8" s="25">
        <v>129</v>
      </c>
      <c r="G8" s="25">
        <v>147</v>
      </c>
      <c r="H8" s="25">
        <v>276</v>
      </c>
      <c r="I8" s="25">
        <v>447277</v>
      </c>
      <c r="J8" s="25">
        <v>604416</v>
      </c>
      <c r="K8" s="25">
        <v>1051693</v>
      </c>
      <c r="L8" s="25">
        <v>979313</v>
      </c>
      <c r="M8" s="25">
        <v>836361</v>
      </c>
      <c r="N8" s="25">
        <v>1815674</v>
      </c>
      <c r="O8" s="25">
        <v>21696</v>
      </c>
      <c r="P8" s="25">
        <v>23815</v>
      </c>
      <c r="Q8" s="25">
        <v>45511</v>
      </c>
      <c r="R8" s="25">
        <v>51250</v>
      </c>
      <c r="S8" s="25">
        <v>32280</v>
      </c>
      <c r="T8" s="25">
        <v>83530</v>
      </c>
      <c r="U8" s="25">
        <v>7104</v>
      </c>
      <c r="V8" s="25">
        <v>22235</v>
      </c>
      <c r="W8" s="25">
        <v>29339</v>
      </c>
      <c r="X8" s="25">
        <v>33764</v>
      </c>
      <c r="Y8" s="25">
        <v>36180</v>
      </c>
      <c r="Z8" s="25">
        <v>69944</v>
      </c>
      <c r="AA8" s="25">
        <v>1584093</v>
      </c>
      <c r="AB8" s="25">
        <v>1599575</v>
      </c>
      <c r="AC8" s="25">
        <v>3183668</v>
      </c>
      <c r="AD8" s="276"/>
      <c r="AE8"/>
      <c r="AF8" s="277"/>
    </row>
    <row r="9" spans="1:32" ht="34.5" customHeight="1" x14ac:dyDescent="0.35">
      <c r="A9" s="258">
        <v>5</v>
      </c>
      <c r="B9" s="44" t="s">
        <v>7</v>
      </c>
      <c r="C9" s="25">
        <v>313</v>
      </c>
      <c r="D9" s="25">
        <v>321</v>
      </c>
      <c r="E9" s="25">
        <v>634</v>
      </c>
      <c r="F9" s="25"/>
      <c r="G9" s="25"/>
      <c r="H9" s="25"/>
      <c r="I9" s="25">
        <v>211842</v>
      </c>
      <c r="J9" s="25">
        <v>265594</v>
      </c>
      <c r="K9" s="25">
        <v>477436</v>
      </c>
      <c r="L9" s="25">
        <v>619339</v>
      </c>
      <c r="M9" s="25">
        <v>448546</v>
      </c>
      <c r="N9" s="25">
        <v>1067885</v>
      </c>
      <c r="O9" s="25">
        <v>3459</v>
      </c>
      <c r="P9" s="25">
        <v>3200</v>
      </c>
      <c r="Q9" s="25">
        <v>6659</v>
      </c>
      <c r="R9" s="25">
        <v>31333</v>
      </c>
      <c r="S9" s="25">
        <v>25290</v>
      </c>
      <c r="T9" s="25">
        <v>56623</v>
      </c>
      <c r="U9" s="25">
        <v>23907</v>
      </c>
      <c r="V9" s="25">
        <v>16712</v>
      </c>
      <c r="W9" s="25">
        <v>40619</v>
      </c>
      <c r="X9" s="25"/>
      <c r="Y9" s="25"/>
      <c r="Z9" s="25"/>
      <c r="AA9" s="25">
        <v>890193</v>
      </c>
      <c r="AB9" s="25">
        <v>759663</v>
      </c>
      <c r="AC9" s="25">
        <v>1649856</v>
      </c>
      <c r="AD9" s="276"/>
      <c r="AE9"/>
      <c r="AF9" s="277"/>
    </row>
    <row r="10" spans="1:32" ht="34.5" customHeight="1" x14ac:dyDescent="0.35">
      <c r="A10" s="258">
        <v>6</v>
      </c>
      <c r="B10" s="44" t="s">
        <v>8</v>
      </c>
      <c r="C10" s="25">
        <v>29805</v>
      </c>
      <c r="D10" s="25">
        <v>33640</v>
      </c>
      <c r="E10" s="25">
        <v>63445</v>
      </c>
      <c r="F10" s="25">
        <v>60</v>
      </c>
      <c r="G10" s="25">
        <v>221</v>
      </c>
      <c r="H10" s="25">
        <v>281</v>
      </c>
      <c r="I10" s="25">
        <v>256876</v>
      </c>
      <c r="J10" s="25">
        <v>190750</v>
      </c>
      <c r="K10" s="25">
        <v>447626</v>
      </c>
      <c r="L10" s="25">
        <v>1028008</v>
      </c>
      <c r="M10" s="25">
        <v>541592</v>
      </c>
      <c r="N10" s="25">
        <v>1569600</v>
      </c>
      <c r="O10" s="25">
        <v>7027</v>
      </c>
      <c r="P10" s="25">
        <v>4148</v>
      </c>
      <c r="Q10" s="25">
        <v>11175</v>
      </c>
      <c r="R10" s="25">
        <v>103719</v>
      </c>
      <c r="S10" s="25">
        <v>31095</v>
      </c>
      <c r="T10" s="25">
        <v>134814</v>
      </c>
      <c r="U10" s="25">
        <v>3126</v>
      </c>
      <c r="V10" s="25">
        <v>1426</v>
      </c>
      <c r="W10" s="25">
        <v>4552</v>
      </c>
      <c r="X10" s="25">
        <v>49251</v>
      </c>
      <c r="Y10" s="25">
        <v>38721</v>
      </c>
      <c r="Z10" s="25">
        <v>87972</v>
      </c>
      <c r="AA10" s="25">
        <v>1477872</v>
      </c>
      <c r="AB10" s="25">
        <v>841593</v>
      </c>
      <c r="AC10" s="25">
        <v>2319465</v>
      </c>
      <c r="AD10" s="276"/>
      <c r="AE10"/>
      <c r="AF10" s="277"/>
    </row>
    <row r="11" spans="1:32" ht="34.5" customHeight="1" x14ac:dyDescent="0.35">
      <c r="A11" s="258">
        <v>7</v>
      </c>
      <c r="B11" s="44" t="s">
        <v>6</v>
      </c>
      <c r="C11" s="25">
        <v>372</v>
      </c>
      <c r="D11" s="25">
        <v>175</v>
      </c>
      <c r="E11" s="25">
        <v>547</v>
      </c>
      <c r="F11" s="25"/>
      <c r="G11" s="25"/>
      <c r="H11" s="25"/>
      <c r="I11" s="25">
        <v>611</v>
      </c>
      <c r="J11" s="25">
        <v>606</v>
      </c>
      <c r="K11" s="25">
        <v>1217</v>
      </c>
      <c r="L11" s="25">
        <v>1085</v>
      </c>
      <c r="M11" s="25">
        <v>2858</v>
      </c>
      <c r="N11" s="25">
        <v>3943</v>
      </c>
      <c r="O11" s="25">
        <v>18</v>
      </c>
      <c r="P11" s="25">
        <v>1</v>
      </c>
      <c r="Q11" s="25">
        <v>19</v>
      </c>
      <c r="R11" s="25">
        <v>1038</v>
      </c>
      <c r="S11" s="25">
        <v>1390</v>
      </c>
      <c r="T11" s="25">
        <v>2428</v>
      </c>
      <c r="U11" s="25">
        <v>67</v>
      </c>
      <c r="V11" s="25">
        <v>77</v>
      </c>
      <c r="W11" s="25">
        <v>144</v>
      </c>
      <c r="X11" s="25"/>
      <c r="Y11" s="25"/>
      <c r="Z11" s="25"/>
      <c r="AA11" s="25">
        <v>3191</v>
      </c>
      <c r="AB11" s="25">
        <v>5107</v>
      </c>
      <c r="AC11" s="25">
        <v>8298</v>
      </c>
      <c r="AD11" s="276"/>
      <c r="AE11"/>
      <c r="AF11" s="277"/>
    </row>
    <row r="12" spans="1:32" ht="34.5" customHeight="1" x14ac:dyDescent="0.35">
      <c r="A12" s="258">
        <v>8</v>
      </c>
      <c r="B12" s="44" t="s">
        <v>9</v>
      </c>
      <c r="C12" s="25">
        <v>6003</v>
      </c>
      <c r="D12" s="25">
        <v>3915</v>
      </c>
      <c r="E12" s="25">
        <v>9918</v>
      </c>
      <c r="F12" s="25">
        <v>12</v>
      </c>
      <c r="G12" s="25">
        <v>30</v>
      </c>
      <c r="H12" s="25">
        <v>42</v>
      </c>
      <c r="I12" s="25">
        <v>6129</v>
      </c>
      <c r="J12" s="25">
        <v>3728</v>
      </c>
      <c r="K12" s="25">
        <v>9857</v>
      </c>
      <c r="L12" s="25">
        <v>11400</v>
      </c>
      <c r="M12" s="25">
        <v>4622</v>
      </c>
      <c r="N12" s="25">
        <v>16022</v>
      </c>
      <c r="O12" s="25">
        <v>588</v>
      </c>
      <c r="P12" s="25">
        <v>204</v>
      </c>
      <c r="Q12" s="25">
        <v>792</v>
      </c>
      <c r="R12" s="25">
        <v>1212</v>
      </c>
      <c r="S12" s="25">
        <v>439</v>
      </c>
      <c r="T12" s="25">
        <v>1651</v>
      </c>
      <c r="U12" s="25">
        <v>355</v>
      </c>
      <c r="V12" s="25">
        <v>169</v>
      </c>
      <c r="W12" s="25">
        <v>524</v>
      </c>
      <c r="X12" s="25">
        <v>1749</v>
      </c>
      <c r="Y12" s="25">
        <v>606</v>
      </c>
      <c r="Z12" s="25">
        <v>2355</v>
      </c>
      <c r="AA12" s="25">
        <v>27448</v>
      </c>
      <c r="AB12" s="25">
        <v>13713</v>
      </c>
      <c r="AC12" s="25">
        <v>41161</v>
      </c>
      <c r="AD12" s="276"/>
      <c r="AE12"/>
      <c r="AF12" s="277"/>
    </row>
    <row r="13" spans="1:32" ht="34.5" customHeight="1" x14ac:dyDescent="0.35">
      <c r="A13" s="258">
        <v>9</v>
      </c>
      <c r="B13" s="44" t="s">
        <v>10</v>
      </c>
      <c r="C13" s="25">
        <v>1350</v>
      </c>
      <c r="D13" s="25">
        <v>2612</v>
      </c>
      <c r="E13" s="25">
        <v>3962</v>
      </c>
      <c r="F13" s="25">
        <v>1</v>
      </c>
      <c r="G13" s="25">
        <v>1</v>
      </c>
      <c r="H13" s="25">
        <v>2</v>
      </c>
      <c r="I13" s="25">
        <v>6197</v>
      </c>
      <c r="J13" s="25">
        <v>7516</v>
      </c>
      <c r="K13" s="25">
        <v>13713</v>
      </c>
      <c r="L13" s="25">
        <v>15925</v>
      </c>
      <c r="M13" s="25">
        <v>16475</v>
      </c>
      <c r="N13" s="25">
        <v>32400</v>
      </c>
      <c r="O13" s="25">
        <v>151</v>
      </c>
      <c r="P13" s="25">
        <v>154</v>
      </c>
      <c r="Q13" s="25">
        <v>305</v>
      </c>
      <c r="R13" s="25">
        <v>1979</v>
      </c>
      <c r="S13" s="25">
        <v>736</v>
      </c>
      <c r="T13" s="25">
        <v>2715</v>
      </c>
      <c r="U13" s="25">
        <v>267</v>
      </c>
      <c r="V13" s="25">
        <v>363</v>
      </c>
      <c r="W13" s="25">
        <v>630</v>
      </c>
      <c r="X13" s="25">
        <v>713</v>
      </c>
      <c r="Y13" s="25">
        <v>1036</v>
      </c>
      <c r="Z13" s="25">
        <v>1749</v>
      </c>
      <c r="AA13" s="25">
        <v>26583</v>
      </c>
      <c r="AB13" s="25">
        <v>28893</v>
      </c>
      <c r="AC13" s="25">
        <v>55476</v>
      </c>
      <c r="AD13" s="276"/>
      <c r="AE13"/>
      <c r="AF13" s="277"/>
    </row>
    <row r="14" spans="1:32" ht="34.5" customHeight="1" x14ac:dyDescent="0.35">
      <c r="A14" s="363">
        <v>10</v>
      </c>
      <c r="B14" s="364" t="s">
        <v>11</v>
      </c>
      <c r="C14" s="365">
        <v>19669</v>
      </c>
      <c r="D14" s="365">
        <v>24158</v>
      </c>
      <c r="E14" s="365">
        <v>43827</v>
      </c>
      <c r="F14" s="365">
        <v>17</v>
      </c>
      <c r="G14" s="365">
        <v>118</v>
      </c>
      <c r="H14" s="365">
        <v>135</v>
      </c>
      <c r="I14" s="365">
        <v>126744</v>
      </c>
      <c r="J14" s="365">
        <v>115896</v>
      </c>
      <c r="K14" s="365">
        <v>242640</v>
      </c>
      <c r="L14" s="365">
        <v>454406</v>
      </c>
      <c r="M14" s="365">
        <v>296186</v>
      </c>
      <c r="N14" s="365">
        <v>750592</v>
      </c>
      <c r="O14" s="365">
        <v>569</v>
      </c>
      <c r="P14" s="365">
        <v>486</v>
      </c>
      <c r="Q14" s="365">
        <v>1055</v>
      </c>
      <c r="R14" s="365">
        <v>4257</v>
      </c>
      <c r="S14" s="365">
        <v>2876</v>
      </c>
      <c r="T14" s="365">
        <v>7133</v>
      </c>
      <c r="U14" s="365">
        <v>2999</v>
      </c>
      <c r="V14" s="365">
        <v>3103</v>
      </c>
      <c r="W14" s="365">
        <v>6102</v>
      </c>
      <c r="X14" s="365">
        <v>21488</v>
      </c>
      <c r="Y14" s="365">
        <v>16967</v>
      </c>
      <c r="Z14" s="365">
        <v>38455</v>
      </c>
      <c r="AA14" s="365">
        <v>630149</v>
      </c>
      <c r="AB14" s="365">
        <v>459790</v>
      </c>
      <c r="AC14" s="365">
        <v>1089939</v>
      </c>
      <c r="AD14" s="276"/>
      <c r="AE14"/>
      <c r="AF14" s="277"/>
    </row>
    <row r="15" spans="1:32" s="279" customFormat="1" ht="34.5" customHeight="1" x14ac:dyDescent="0.35">
      <c r="A15" s="847" t="s">
        <v>12</v>
      </c>
      <c r="B15" s="847"/>
      <c r="C15" s="41">
        <v>150461</v>
      </c>
      <c r="D15" s="41">
        <v>142091</v>
      </c>
      <c r="E15" s="41">
        <v>292552</v>
      </c>
      <c r="F15" s="41">
        <v>257</v>
      </c>
      <c r="G15" s="41">
        <v>644</v>
      </c>
      <c r="H15" s="41">
        <v>901</v>
      </c>
      <c r="I15" s="41">
        <v>1392514</v>
      </c>
      <c r="J15" s="41">
        <v>1565849</v>
      </c>
      <c r="K15" s="41">
        <v>2958363</v>
      </c>
      <c r="L15" s="41">
        <v>3999916</v>
      </c>
      <c r="M15" s="41">
        <v>2814259</v>
      </c>
      <c r="N15" s="41">
        <v>6814175</v>
      </c>
      <c r="O15" s="41">
        <v>49245</v>
      </c>
      <c r="P15" s="41">
        <v>44860</v>
      </c>
      <c r="Q15" s="41">
        <v>94105</v>
      </c>
      <c r="R15" s="41">
        <v>212176</v>
      </c>
      <c r="S15" s="41">
        <v>127530</v>
      </c>
      <c r="T15" s="41">
        <v>339706</v>
      </c>
      <c r="U15" s="41">
        <v>56770</v>
      </c>
      <c r="V15" s="41">
        <v>61369</v>
      </c>
      <c r="W15" s="41">
        <v>118139</v>
      </c>
      <c r="X15" s="41">
        <v>132989</v>
      </c>
      <c r="Y15" s="41">
        <v>107968</v>
      </c>
      <c r="Z15" s="41">
        <v>240957</v>
      </c>
      <c r="AA15" s="41">
        <v>5994328</v>
      </c>
      <c r="AB15" s="41">
        <v>4864570</v>
      </c>
      <c r="AC15" s="41">
        <v>10858898</v>
      </c>
      <c r="AD15" s="276"/>
      <c r="AE15"/>
      <c r="AF15" s="277"/>
    </row>
    <row r="16" spans="1:32" s="279" customFormat="1" ht="34.5" customHeight="1" x14ac:dyDescent="0.3">
      <c r="B16" s="367"/>
      <c r="C16" s="366"/>
      <c r="D16" s="366"/>
      <c r="E16" s="366"/>
      <c r="F16" s="366"/>
      <c r="G16" s="366"/>
      <c r="H16" s="366"/>
      <c r="I16" s="366"/>
      <c r="J16" s="366"/>
      <c r="K16" s="366"/>
      <c r="L16" s="366"/>
      <c r="M16" s="366"/>
      <c r="N16" s="366"/>
      <c r="O16" s="366"/>
      <c r="P16" s="366"/>
      <c r="Q16" s="366"/>
      <c r="R16" s="366"/>
      <c r="S16" s="366"/>
      <c r="T16" s="366"/>
      <c r="U16" s="366"/>
      <c r="V16" s="366"/>
      <c r="W16" s="366"/>
      <c r="X16" s="366"/>
      <c r="Y16" s="366"/>
      <c r="Z16" s="366"/>
      <c r="AA16" s="366"/>
      <c r="AB16" s="366"/>
      <c r="AC16" s="366"/>
    </row>
    <row r="17" spans="1:29" s="279" customFormat="1" ht="34.5" customHeight="1" x14ac:dyDescent="0.3">
      <c r="A17" s="848"/>
      <c r="B17" s="848"/>
      <c r="C17" s="838" t="s">
        <v>1008</v>
      </c>
      <c r="D17" s="838"/>
      <c r="E17" s="838"/>
      <c r="F17" s="838"/>
      <c r="G17" s="838"/>
      <c r="H17" s="838"/>
      <c r="I17" s="838"/>
      <c r="J17" s="838"/>
      <c r="K17" s="838"/>
      <c r="L17" s="838" t="str">
        <f>C17</f>
        <v>Table 26. Level-wise Enrolment in various types of Universities
(b) Affiliated and Constituent Colleges(Based on Actual Response)</v>
      </c>
      <c r="M17" s="838"/>
      <c r="N17" s="838"/>
      <c r="O17" s="838"/>
      <c r="P17" s="838"/>
      <c r="Q17" s="838"/>
      <c r="R17" s="838"/>
      <c r="S17" s="838"/>
      <c r="T17" s="838"/>
      <c r="U17" s="838" t="str">
        <f>L17</f>
        <v>Table 26. Level-wise Enrolment in various types of Universities
(b) Affiliated and Constituent Colleges(Based on Actual Response)</v>
      </c>
      <c r="V17" s="838"/>
      <c r="W17" s="838"/>
      <c r="X17" s="838"/>
      <c r="Y17" s="838"/>
      <c r="Z17" s="838"/>
      <c r="AA17" s="838"/>
      <c r="AB17" s="838"/>
      <c r="AC17" s="838"/>
    </row>
    <row r="18" spans="1:29" ht="34.5" customHeight="1" x14ac:dyDescent="0.3">
      <c r="A18" s="258">
        <v>1</v>
      </c>
      <c r="B18" s="280" t="s">
        <v>2</v>
      </c>
      <c r="C18" s="25">
        <v>691</v>
      </c>
      <c r="D18" s="25">
        <v>918</v>
      </c>
      <c r="E18" s="25">
        <v>1609</v>
      </c>
      <c r="F18" s="25">
        <v>4</v>
      </c>
      <c r="G18" s="25">
        <v>8</v>
      </c>
      <c r="H18" s="25">
        <v>12</v>
      </c>
      <c r="I18" s="25">
        <v>12514</v>
      </c>
      <c r="J18" s="25">
        <v>21109</v>
      </c>
      <c r="K18" s="25">
        <v>33623</v>
      </c>
      <c r="L18" s="25">
        <v>334259</v>
      </c>
      <c r="M18" s="25">
        <v>396644</v>
      </c>
      <c r="N18" s="25">
        <v>730903</v>
      </c>
      <c r="O18" s="25">
        <v>401</v>
      </c>
      <c r="P18" s="25">
        <v>422</v>
      </c>
      <c r="Q18" s="25">
        <v>823</v>
      </c>
      <c r="R18" s="25">
        <v>7446</v>
      </c>
      <c r="S18" s="25">
        <v>5666</v>
      </c>
      <c r="T18" s="25">
        <v>13112</v>
      </c>
      <c r="U18" s="25">
        <v>1023</v>
      </c>
      <c r="V18" s="25">
        <v>1171</v>
      </c>
      <c r="W18" s="25">
        <v>2194</v>
      </c>
      <c r="X18" s="25">
        <v>1684</v>
      </c>
      <c r="Y18" s="25">
        <v>2415</v>
      </c>
      <c r="Z18" s="25">
        <v>4099</v>
      </c>
      <c r="AA18" s="25">
        <v>358022</v>
      </c>
      <c r="AB18" s="25">
        <v>428353</v>
      </c>
      <c r="AC18" s="25">
        <v>786375</v>
      </c>
    </row>
    <row r="19" spans="1:29" ht="34.5" customHeight="1" x14ac:dyDescent="0.3">
      <c r="A19" s="258">
        <v>2</v>
      </c>
      <c r="B19" s="280" t="s">
        <v>5</v>
      </c>
      <c r="C19" s="25">
        <v>20723</v>
      </c>
      <c r="D19" s="25">
        <v>27856</v>
      </c>
      <c r="E19" s="25">
        <v>48579</v>
      </c>
      <c r="F19" s="25">
        <v>406</v>
      </c>
      <c r="G19" s="25">
        <v>757</v>
      </c>
      <c r="H19" s="25">
        <v>1163</v>
      </c>
      <c r="I19" s="25">
        <v>1080763</v>
      </c>
      <c r="J19" s="25">
        <v>1609767</v>
      </c>
      <c r="K19" s="25">
        <v>2690530</v>
      </c>
      <c r="L19" s="25">
        <v>12755519</v>
      </c>
      <c r="M19" s="25">
        <v>13515679</v>
      </c>
      <c r="N19" s="25">
        <v>26271198</v>
      </c>
      <c r="O19" s="25">
        <v>23452</v>
      </c>
      <c r="P19" s="25">
        <v>26848</v>
      </c>
      <c r="Q19" s="25">
        <v>50300</v>
      </c>
      <c r="R19" s="25">
        <v>489870</v>
      </c>
      <c r="S19" s="25">
        <v>378540</v>
      </c>
      <c r="T19" s="25">
        <v>868410</v>
      </c>
      <c r="U19" s="25">
        <v>32764</v>
      </c>
      <c r="V19" s="25">
        <v>40695</v>
      </c>
      <c r="W19" s="25">
        <v>73459</v>
      </c>
      <c r="X19" s="25">
        <v>161212</v>
      </c>
      <c r="Y19" s="25">
        <v>161898</v>
      </c>
      <c r="Z19" s="25">
        <v>323110</v>
      </c>
      <c r="AA19" s="25">
        <v>14564709</v>
      </c>
      <c r="AB19" s="25">
        <v>15762040</v>
      </c>
      <c r="AC19" s="25">
        <v>30326749</v>
      </c>
    </row>
    <row r="20" spans="1:29" s="279" customFormat="1" ht="34.5" customHeight="1" x14ac:dyDescent="0.3">
      <c r="A20" s="837" t="s">
        <v>12</v>
      </c>
      <c r="B20" s="837"/>
      <c r="C20" s="41">
        <v>21414</v>
      </c>
      <c r="D20" s="41">
        <v>28774</v>
      </c>
      <c r="E20" s="41">
        <v>50188</v>
      </c>
      <c r="F20" s="41">
        <v>410</v>
      </c>
      <c r="G20" s="41">
        <v>765</v>
      </c>
      <c r="H20" s="41">
        <v>1175</v>
      </c>
      <c r="I20" s="41">
        <v>1093277</v>
      </c>
      <c r="J20" s="41">
        <v>1630876</v>
      </c>
      <c r="K20" s="41">
        <v>2724153</v>
      </c>
      <c r="L20" s="41">
        <v>13089778</v>
      </c>
      <c r="M20" s="41">
        <v>13912323</v>
      </c>
      <c r="N20" s="41">
        <v>27002101</v>
      </c>
      <c r="O20" s="41">
        <v>23853</v>
      </c>
      <c r="P20" s="41">
        <v>27270</v>
      </c>
      <c r="Q20" s="41">
        <v>51123</v>
      </c>
      <c r="R20" s="41">
        <v>497316</v>
      </c>
      <c r="S20" s="41">
        <v>384206</v>
      </c>
      <c r="T20" s="41">
        <v>881522</v>
      </c>
      <c r="U20" s="41">
        <v>33787</v>
      </c>
      <c r="V20" s="41">
        <v>41866</v>
      </c>
      <c r="W20" s="41">
        <v>75653</v>
      </c>
      <c r="X20" s="41">
        <v>162896</v>
      </c>
      <c r="Y20" s="41">
        <v>164313</v>
      </c>
      <c r="Z20" s="41">
        <v>327209</v>
      </c>
      <c r="AA20" s="41">
        <v>14922731</v>
      </c>
      <c r="AB20" s="41">
        <v>16190393</v>
      </c>
      <c r="AC20" s="41">
        <v>31113124</v>
      </c>
    </row>
  </sheetData>
  <mergeCells count="20">
    <mergeCell ref="A2:A3"/>
    <mergeCell ref="A15:B15"/>
    <mergeCell ref="A17:B17"/>
    <mergeCell ref="A20:B20"/>
    <mergeCell ref="B2:B3"/>
    <mergeCell ref="U17:AC17"/>
    <mergeCell ref="C1:K1"/>
    <mergeCell ref="L1:T1"/>
    <mergeCell ref="U1:AC1"/>
    <mergeCell ref="O2:Q2"/>
    <mergeCell ref="R2:T2"/>
    <mergeCell ref="U2:W2"/>
    <mergeCell ref="X2:Z2"/>
    <mergeCell ref="AA2:AC2"/>
    <mergeCell ref="C2:E2"/>
    <mergeCell ref="F2:H2"/>
    <mergeCell ref="I2:K2"/>
    <mergeCell ref="L2:N2"/>
    <mergeCell ref="C17:K17"/>
    <mergeCell ref="L17:T17"/>
  </mergeCells>
  <pageMargins left="0.43307086614173229" right="0.35433070866141736" top="0.39370078740157483" bottom="0.39370078740157483" header="0.31496062992125984" footer="0.19685039370078741"/>
  <pageSetup paperSize="9" scale="75" firstPageNumber="87" orientation="portrait" r:id="rId1"/>
  <headerFooter>
    <oddFooter>&amp;L&amp;"Arial,Italic"&amp;9AISHE 2023-24&amp;RT-26</oddFooter>
  </headerFooter>
  <colBreaks count="2" manualBreakCount="2">
    <brk id="11" max="19" man="1"/>
    <brk id="20" max="19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28DD-41CF-41A7-A977-936D2A5900CC}">
  <dimension ref="A1:Z41"/>
  <sheetViews>
    <sheetView view="pageBreakPreview" zoomScale="120" zoomScaleNormal="100" zoomScaleSheetLayoutView="120" workbookViewId="0">
      <pane xSplit="2" ySplit="4" topLeftCell="O14" activePane="bottomRight" state="frozen"/>
      <selection activeCell="B16" sqref="B16:M16"/>
      <selection pane="topRight" activeCell="B16" sqref="B16:M16"/>
      <selection pane="bottomLeft" activeCell="B16" sqref="B16:M16"/>
      <selection pane="bottomRight" activeCell="B7" sqref="B7"/>
    </sheetView>
  </sheetViews>
  <sheetFormatPr defaultColWidth="9.26953125" defaultRowHeight="14" x14ac:dyDescent="0.35"/>
  <cols>
    <col min="1" max="1" width="4.7265625" style="283" customWidth="1"/>
    <col min="2" max="2" width="19.7265625" style="283" customWidth="1"/>
    <col min="3" max="5" width="12.7265625" style="283" customWidth="1"/>
    <col min="6" max="8" width="11.7265625" style="283" customWidth="1"/>
    <col min="9" max="11" width="11.54296875" style="283" customWidth="1"/>
    <col min="12" max="13" width="11.1796875" style="283" customWidth="1"/>
    <col min="14" max="14" width="13.26953125" style="283" customWidth="1"/>
    <col min="15" max="26" width="11.81640625" style="283" customWidth="1"/>
    <col min="27" max="27" width="9.26953125" style="283"/>
    <col min="28" max="28" width="9.26953125" style="283" customWidth="1"/>
    <col min="29" max="16384" width="9.26953125" style="283"/>
  </cols>
  <sheetData>
    <row r="1" spans="1:26" s="281" customFormat="1" ht="15.5" x14ac:dyDescent="0.35">
      <c r="A1" s="848"/>
      <c r="B1" s="848"/>
      <c r="C1" s="838" t="s">
        <v>1009</v>
      </c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838" t="s">
        <v>1036</v>
      </c>
      <c r="P1" s="838"/>
      <c r="Q1" s="838"/>
      <c r="R1" s="838"/>
      <c r="S1" s="838"/>
      <c r="T1" s="838"/>
      <c r="U1" s="838"/>
      <c r="V1" s="838"/>
      <c r="W1" s="838"/>
      <c r="X1" s="838"/>
      <c r="Y1" s="838"/>
      <c r="Z1" s="838"/>
    </row>
    <row r="2" spans="1:26" x14ac:dyDescent="0.35">
      <c r="A2" s="851" t="s">
        <v>882</v>
      </c>
      <c r="B2" s="846" t="s">
        <v>907</v>
      </c>
      <c r="C2" s="850" t="s">
        <v>89</v>
      </c>
      <c r="D2" s="850"/>
      <c r="E2" s="850"/>
      <c r="F2" s="850" t="s">
        <v>883</v>
      </c>
      <c r="G2" s="850"/>
      <c r="H2" s="850"/>
      <c r="I2" s="850" t="s">
        <v>884</v>
      </c>
      <c r="J2" s="850"/>
      <c r="K2" s="850"/>
      <c r="L2" s="850" t="s">
        <v>889</v>
      </c>
      <c r="M2" s="850"/>
      <c r="N2" s="850"/>
      <c r="O2" s="850" t="s">
        <v>1037</v>
      </c>
      <c r="P2" s="850"/>
      <c r="Q2" s="850"/>
      <c r="R2" s="850" t="s">
        <v>704</v>
      </c>
      <c r="S2" s="850"/>
      <c r="T2" s="850"/>
      <c r="U2" s="850" t="s">
        <v>705</v>
      </c>
      <c r="V2" s="850"/>
      <c r="W2" s="850"/>
      <c r="X2" s="850" t="s">
        <v>706</v>
      </c>
      <c r="Y2" s="850"/>
      <c r="Z2" s="850"/>
    </row>
    <row r="3" spans="1:26" x14ac:dyDescent="0.35">
      <c r="A3" s="851"/>
      <c r="B3" s="846"/>
      <c r="C3" s="282" t="s">
        <v>103</v>
      </c>
      <c r="D3" s="282" t="s">
        <v>104</v>
      </c>
      <c r="E3" s="282" t="s">
        <v>89</v>
      </c>
      <c r="F3" s="282" t="s">
        <v>103</v>
      </c>
      <c r="G3" s="282" t="s">
        <v>104</v>
      </c>
      <c r="H3" s="282" t="s">
        <v>89</v>
      </c>
      <c r="I3" s="282" t="s">
        <v>103</v>
      </c>
      <c r="J3" s="282" t="s">
        <v>104</v>
      </c>
      <c r="K3" s="282" t="s">
        <v>89</v>
      </c>
      <c r="L3" s="282" t="s">
        <v>103</v>
      </c>
      <c r="M3" s="282" t="s">
        <v>104</v>
      </c>
      <c r="N3" s="282" t="s">
        <v>89</v>
      </c>
      <c r="O3" s="282" t="s">
        <v>103</v>
      </c>
      <c r="P3" s="282" t="s">
        <v>104</v>
      </c>
      <c r="Q3" s="282" t="s">
        <v>89</v>
      </c>
      <c r="R3" s="282" t="s">
        <v>103</v>
      </c>
      <c r="S3" s="282" t="s">
        <v>104</v>
      </c>
      <c r="T3" s="282" t="s">
        <v>89</v>
      </c>
      <c r="U3" s="282" t="s">
        <v>103</v>
      </c>
      <c r="V3" s="282" t="s">
        <v>104</v>
      </c>
      <c r="W3" s="282" t="s">
        <v>89</v>
      </c>
      <c r="X3" s="282" t="s">
        <v>103</v>
      </c>
      <c r="Y3" s="282" t="s">
        <v>104</v>
      </c>
      <c r="Z3" s="282" t="s">
        <v>89</v>
      </c>
    </row>
    <row r="4" spans="1:26" x14ac:dyDescent="0.35">
      <c r="A4" s="284">
        <v>1</v>
      </c>
      <c r="B4" s="285">
        <v>2</v>
      </c>
      <c r="C4" s="284">
        <v>3</v>
      </c>
      <c r="D4" s="285">
        <v>4</v>
      </c>
      <c r="E4" s="284">
        <v>5</v>
      </c>
      <c r="F4" s="285">
        <v>6</v>
      </c>
      <c r="G4" s="284">
        <v>7</v>
      </c>
      <c r="H4" s="285">
        <v>8</v>
      </c>
      <c r="I4" s="284">
        <v>9</v>
      </c>
      <c r="J4" s="285">
        <v>10</v>
      </c>
      <c r="K4" s="284">
        <v>11</v>
      </c>
      <c r="L4" s="285">
        <v>12</v>
      </c>
      <c r="M4" s="284">
        <v>13</v>
      </c>
      <c r="N4" s="285">
        <v>14</v>
      </c>
      <c r="O4" s="284">
        <v>15</v>
      </c>
      <c r="P4" s="285">
        <v>16</v>
      </c>
      <c r="Q4" s="284">
        <v>17</v>
      </c>
      <c r="R4" s="285">
        <v>18</v>
      </c>
      <c r="S4" s="284">
        <v>19</v>
      </c>
      <c r="T4" s="285">
        <v>20</v>
      </c>
      <c r="U4" s="284">
        <v>21</v>
      </c>
      <c r="V4" s="285">
        <v>22</v>
      </c>
      <c r="W4" s="284">
        <v>23</v>
      </c>
      <c r="X4" s="285">
        <v>24</v>
      </c>
      <c r="Y4" s="284">
        <v>25</v>
      </c>
      <c r="Z4" s="285">
        <v>26</v>
      </c>
    </row>
    <row r="5" spans="1:26" x14ac:dyDescent="0.35">
      <c r="A5" s="258">
        <v>1</v>
      </c>
      <c r="B5" s="324" t="s">
        <v>908</v>
      </c>
      <c r="C5" s="286">
        <v>411643</v>
      </c>
      <c r="D5" s="97">
        <v>383824</v>
      </c>
      <c r="E5" s="97">
        <v>795467</v>
      </c>
      <c r="F5" s="286">
        <v>54624</v>
      </c>
      <c r="G5" s="97">
        <v>50133</v>
      </c>
      <c r="H5" s="97">
        <v>104757</v>
      </c>
      <c r="I5" s="286">
        <v>17051</v>
      </c>
      <c r="J5" s="97">
        <v>17850</v>
      </c>
      <c r="K5" s="97">
        <v>34901</v>
      </c>
      <c r="L5" s="286">
        <v>80964</v>
      </c>
      <c r="M5" s="97">
        <v>62591</v>
      </c>
      <c r="N5" s="97">
        <v>143555</v>
      </c>
      <c r="O5" s="286">
        <v>3342.5499999999997</v>
      </c>
      <c r="P5" s="97">
        <v>1615.4</v>
      </c>
      <c r="Q5" s="97">
        <v>4957.95</v>
      </c>
      <c r="R5" s="286">
        <v>41837</v>
      </c>
      <c r="S5" s="97">
        <v>35692</v>
      </c>
      <c r="T5" s="97">
        <v>77529</v>
      </c>
      <c r="U5" s="286">
        <v>3764</v>
      </c>
      <c r="V5" s="111">
        <v>4958</v>
      </c>
      <c r="W5" s="111">
        <v>8722</v>
      </c>
      <c r="X5" s="286">
        <v>19206</v>
      </c>
      <c r="Y5" s="111">
        <v>13300</v>
      </c>
      <c r="Z5" s="111">
        <v>32506</v>
      </c>
    </row>
    <row r="6" spans="1:26" ht="28" x14ac:dyDescent="0.35">
      <c r="A6" s="258">
        <v>2</v>
      </c>
      <c r="B6" s="324" t="s">
        <v>909</v>
      </c>
      <c r="C6" s="286">
        <v>651872</v>
      </c>
      <c r="D6" s="97">
        <v>646609</v>
      </c>
      <c r="E6" s="97">
        <v>1298481</v>
      </c>
      <c r="F6" s="286">
        <v>86922</v>
      </c>
      <c r="G6" s="97">
        <v>79147</v>
      </c>
      <c r="H6" s="97">
        <v>166069</v>
      </c>
      <c r="I6" s="286">
        <v>37800</v>
      </c>
      <c r="J6" s="97">
        <v>42786</v>
      </c>
      <c r="K6" s="97">
        <v>80586</v>
      </c>
      <c r="L6" s="286">
        <v>189556</v>
      </c>
      <c r="M6" s="97">
        <v>168495</v>
      </c>
      <c r="N6" s="97">
        <v>358051</v>
      </c>
      <c r="O6" s="286">
        <v>461</v>
      </c>
      <c r="P6" s="97">
        <v>221</v>
      </c>
      <c r="Q6" s="97">
        <v>682</v>
      </c>
      <c r="R6" s="286">
        <v>1703</v>
      </c>
      <c r="S6" s="97">
        <v>987</v>
      </c>
      <c r="T6" s="97">
        <v>2690</v>
      </c>
      <c r="U6" s="286">
        <v>1245</v>
      </c>
      <c r="V6" s="111">
        <v>964</v>
      </c>
      <c r="W6" s="111">
        <v>2209</v>
      </c>
      <c r="X6" s="286">
        <v>15905</v>
      </c>
      <c r="Y6" s="111">
        <v>10948</v>
      </c>
      <c r="Z6" s="111">
        <v>26853</v>
      </c>
    </row>
    <row r="7" spans="1:26" ht="28" x14ac:dyDescent="0.35">
      <c r="A7" s="258">
        <v>3</v>
      </c>
      <c r="B7" s="324" t="s">
        <v>910</v>
      </c>
      <c r="C7" s="286">
        <v>291284</v>
      </c>
      <c r="D7" s="97">
        <v>125803</v>
      </c>
      <c r="E7" s="97">
        <v>417087</v>
      </c>
      <c r="F7" s="286">
        <v>39944</v>
      </c>
      <c r="G7" s="97">
        <v>15976</v>
      </c>
      <c r="H7" s="97">
        <v>55920</v>
      </c>
      <c r="I7" s="286">
        <v>18599</v>
      </c>
      <c r="J7" s="97">
        <v>8442</v>
      </c>
      <c r="K7" s="97">
        <v>27041</v>
      </c>
      <c r="L7" s="286">
        <v>80670</v>
      </c>
      <c r="M7" s="97">
        <v>29581</v>
      </c>
      <c r="N7" s="97">
        <v>110251</v>
      </c>
      <c r="O7" s="286">
        <v>3791</v>
      </c>
      <c r="P7" s="97">
        <v>947</v>
      </c>
      <c r="Q7" s="97">
        <v>4738</v>
      </c>
      <c r="R7" s="286">
        <v>5523</v>
      </c>
      <c r="S7" s="97">
        <v>2066</v>
      </c>
      <c r="T7" s="97">
        <v>7589</v>
      </c>
      <c r="U7" s="286">
        <v>5768</v>
      </c>
      <c r="V7" s="111">
        <v>2725</v>
      </c>
      <c r="W7" s="111">
        <v>8493</v>
      </c>
      <c r="X7" s="286">
        <v>28388</v>
      </c>
      <c r="Y7" s="111">
        <v>8913</v>
      </c>
      <c r="Z7" s="111">
        <v>37301</v>
      </c>
    </row>
    <row r="8" spans="1:26" ht="28" x14ac:dyDescent="0.35">
      <c r="A8" s="258">
        <v>4</v>
      </c>
      <c r="B8" s="324" t="s">
        <v>911</v>
      </c>
      <c r="C8" s="286">
        <v>1584093</v>
      </c>
      <c r="D8" s="97">
        <v>1599575</v>
      </c>
      <c r="E8" s="97">
        <v>3183668</v>
      </c>
      <c r="F8" s="286">
        <v>242179</v>
      </c>
      <c r="G8" s="97">
        <v>230197</v>
      </c>
      <c r="H8" s="97">
        <v>472376</v>
      </c>
      <c r="I8" s="286">
        <v>113976</v>
      </c>
      <c r="J8" s="97">
        <v>113698</v>
      </c>
      <c r="K8" s="97">
        <v>227674</v>
      </c>
      <c r="L8" s="286">
        <v>645563</v>
      </c>
      <c r="M8" s="97">
        <v>646050</v>
      </c>
      <c r="N8" s="97">
        <v>1291613</v>
      </c>
      <c r="O8" s="286">
        <v>4213.3499999999995</v>
      </c>
      <c r="P8" s="97">
        <v>2315.3000000000002</v>
      </c>
      <c r="Q8" s="97">
        <v>6528.65</v>
      </c>
      <c r="R8" s="286">
        <v>73700</v>
      </c>
      <c r="S8" s="97">
        <v>82463</v>
      </c>
      <c r="T8" s="97">
        <v>156163</v>
      </c>
      <c r="U8" s="286">
        <v>60799</v>
      </c>
      <c r="V8" s="111">
        <v>66923</v>
      </c>
      <c r="W8" s="111">
        <v>127722</v>
      </c>
      <c r="X8" s="286">
        <v>34881</v>
      </c>
      <c r="Y8" s="111">
        <v>31340</v>
      </c>
      <c r="Z8" s="111">
        <v>66221</v>
      </c>
    </row>
    <row r="9" spans="1:26" x14ac:dyDescent="0.35">
      <c r="A9" s="258">
        <v>5</v>
      </c>
      <c r="B9" s="324" t="s">
        <v>912</v>
      </c>
      <c r="C9" s="286">
        <v>890193</v>
      </c>
      <c r="D9" s="97">
        <v>759663</v>
      </c>
      <c r="E9" s="97">
        <v>1649856</v>
      </c>
      <c r="F9" s="286">
        <v>146008</v>
      </c>
      <c r="G9" s="97">
        <v>117667</v>
      </c>
      <c r="H9" s="97">
        <v>263675</v>
      </c>
      <c r="I9" s="286">
        <v>60991</v>
      </c>
      <c r="J9" s="97">
        <v>51833</v>
      </c>
      <c r="K9" s="97">
        <v>112824</v>
      </c>
      <c r="L9" s="286">
        <v>338253</v>
      </c>
      <c r="M9" s="97">
        <v>280923</v>
      </c>
      <c r="N9" s="97">
        <v>619176</v>
      </c>
      <c r="O9" s="286">
        <v>3424</v>
      </c>
      <c r="P9" s="97">
        <v>1781</v>
      </c>
      <c r="Q9" s="97">
        <v>5205</v>
      </c>
      <c r="R9" s="286">
        <v>38357</v>
      </c>
      <c r="S9" s="97">
        <v>36179</v>
      </c>
      <c r="T9" s="97">
        <v>74536</v>
      </c>
      <c r="U9" s="286">
        <v>2688</v>
      </c>
      <c r="V9" s="111">
        <v>3202</v>
      </c>
      <c r="W9" s="111">
        <v>5890</v>
      </c>
      <c r="X9" s="286">
        <v>9897</v>
      </c>
      <c r="Y9" s="111">
        <v>26288</v>
      </c>
      <c r="Z9" s="111">
        <v>36185</v>
      </c>
    </row>
    <row r="10" spans="1:26" ht="28" x14ac:dyDescent="0.35">
      <c r="A10" s="258">
        <v>6</v>
      </c>
      <c r="B10" s="324" t="s">
        <v>913</v>
      </c>
      <c r="C10" s="286">
        <v>1477872</v>
      </c>
      <c r="D10" s="97">
        <v>841593</v>
      </c>
      <c r="E10" s="97">
        <v>2319465</v>
      </c>
      <c r="F10" s="286">
        <v>109311</v>
      </c>
      <c r="G10" s="97">
        <v>61466</v>
      </c>
      <c r="H10" s="97">
        <v>170777</v>
      </c>
      <c r="I10" s="286">
        <v>58828</v>
      </c>
      <c r="J10" s="97">
        <v>42887</v>
      </c>
      <c r="K10" s="97">
        <v>101715</v>
      </c>
      <c r="L10" s="286">
        <v>382820</v>
      </c>
      <c r="M10" s="97">
        <v>187684</v>
      </c>
      <c r="N10" s="97">
        <v>570504</v>
      </c>
      <c r="O10" s="286">
        <v>775.95</v>
      </c>
      <c r="P10" s="97">
        <v>411.95000000000005</v>
      </c>
      <c r="Q10" s="97">
        <v>1187.9000000000001</v>
      </c>
      <c r="R10" s="286">
        <v>57728</v>
      </c>
      <c r="S10" s="97">
        <v>25635</v>
      </c>
      <c r="T10" s="97">
        <v>83363</v>
      </c>
      <c r="U10" s="286">
        <v>31132</v>
      </c>
      <c r="V10" s="111">
        <v>27629</v>
      </c>
      <c r="W10" s="111">
        <v>58761</v>
      </c>
      <c r="X10" s="286">
        <v>20395</v>
      </c>
      <c r="Y10" s="111">
        <v>12830</v>
      </c>
      <c r="Z10" s="111">
        <v>33225</v>
      </c>
    </row>
    <row r="11" spans="1:26" ht="28" x14ac:dyDescent="0.35">
      <c r="A11" s="258">
        <v>7</v>
      </c>
      <c r="B11" s="324" t="s">
        <v>914</v>
      </c>
      <c r="C11" s="286">
        <v>3191</v>
      </c>
      <c r="D11" s="97">
        <v>5107</v>
      </c>
      <c r="E11" s="97">
        <v>8298</v>
      </c>
      <c r="F11" s="286">
        <v>464</v>
      </c>
      <c r="G11" s="97">
        <v>874</v>
      </c>
      <c r="H11" s="97">
        <v>1338</v>
      </c>
      <c r="I11" s="286">
        <v>337</v>
      </c>
      <c r="J11" s="97">
        <v>412</v>
      </c>
      <c r="K11" s="97">
        <v>749</v>
      </c>
      <c r="L11" s="286">
        <v>959</v>
      </c>
      <c r="M11" s="97">
        <v>1967</v>
      </c>
      <c r="N11" s="97">
        <v>2926</v>
      </c>
      <c r="O11" s="286">
        <v>1</v>
      </c>
      <c r="P11" s="97">
        <v>5</v>
      </c>
      <c r="Q11" s="97">
        <v>6</v>
      </c>
      <c r="R11" s="286">
        <v>23</v>
      </c>
      <c r="S11" s="97">
        <v>115</v>
      </c>
      <c r="T11" s="97">
        <v>138</v>
      </c>
      <c r="U11" s="286"/>
      <c r="V11" s="111">
        <v>27</v>
      </c>
      <c r="W11" s="111">
        <v>27</v>
      </c>
      <c r="X11" s="286">
        <v>103</v>
      </c>
      <c r="Y11" s="111">
        <v>242</v>
      </c>
      <c r="Z11" s="111">
        <v>345</v>
      </c>
    </row>
    <row r="12" spans="1:26" ht="28" x14ac:dyDescent="0.35">
      <c r="A12" s="258">
        <v>8</v>
      </c>
      <c r="B12" s="324" t="s">
        <v>915</v>
      </c>
      <c r="C12" s="286">
        <v>27448</v>
      </c>
      <c r="D12" s="97">
        <v>13713</v>
      </c>
      <c r="E12" s="97">
        <v>41161</v>
      </c>
      <c r="F12" s="286">
        <v>3324</v>
      </c>
      <c r="G12" s="97">
        <v>1598</v>
      </c>
      <c r="H12" s="97">
        <v>4922</v>
      </c>
      <c r="I12" s="286">
        <v>2733</v>
      </c>
      <c r="J12" s="97">
        <v>1661</v>
      </c>
      <c r="K12" s="97">
        <v>4394</v>
      </c>
      <c r="L12" s="286">
        <v>6406</v>
      </c>
      <c r="M12" s="97">
        <v>3227</v>
      </c>
      <c r="N12" s="97">
        <v>9633</v>
      </c>
      <c r="O12" s="286">
        <v>78</v>
      </c>
      <c r="P12" s="97">
        <v>29</v>
      </c>
      <c r="Q12" s="97">
        <v>107</v>
      </c>
      <c r="R12" s="286">
        <v>360</v>
      </c>
      <c r="S12" s="97">
        <v>99</v>
      </c>
      <c r="T12" s="97">
        <v>459</v>
      </c>
      <c r="U12" s="286">
        <v>1070</v>
      </c>
      <c r="V12" s="111">
        <v>542</v>
      </c>
      <c r="W12" s="111">
        <v>1612</v>
      </c>
      <c r="X12" s="286">
        <v>2037</v>
      </c>
      <c r="Y12" s="111">
        <v>807</v>
      </c>
      <c r="Z12" s="111">
        <v>2844</v>
      </c>
    </row>
    <row r="13" spans="1:26" ht="28" x14ac:dyDescent="0.35">
      <c r="A13" s="258">
        <v>9</v>
      </c>
      <c r="B13" s="324" t="s">
        <v>916</v>
      </c>
      <c r="C13" s="286">
        <v>26583</v>
      </c>
      <c r="D13" s="97">
        <v>28893</v>
      </c>
      <c r="E13" s="97">
        <v>55476</v>
      </c>
      <c r="F13" s="286">
        <v>2987</v>
      </c>
      <c r="G13" s="97">
        <v>3422</v>
      </c>
      <c r="H13" s="97">
        <v>6409</v>
      </c>
      <c r="I13" s="286">
        <v>698</v>
      </c>
      <c r="J13" s="97">
        <v>843</v>
      </c>
      <c r="K13" s="97">
        <v>1541</v>
      </c>
      <c r="L13" s="286">
        <v>7483</v>
      </c>
      <c r="M13" s="97">
        <v>11350</v>
      </c>
      <c r="N13" s="97">
        <v>18833</v>
      </c>
      <c r="O13" s="286">
        <v>64</v>
      </c>
      <c r="P13" s="97">
        <v>47</v>
      </c>
      <c r="Q13" s="97">
        <v>111</v>
      </c>
      <c r="R13" s="286">
        <v>4135</v>
      </c>
      <c r="S13" s="97">
        <v>3595</v>
      </c>
      <c r="T13" s="97">
        <v>7730</v>
      </c>
      <c r="U13" s="286">
        <v>549</v>
      </c>
      <c r="V13" s="111">
        <v>1253</v>
      </c>
      <c r="W13" s="111">
        <v>1802</v>
      </c>
      <c r="X13" s="286">
        <v>815</v>
      </c>
      <c r="Y13" s="111">
        <v>567</v>
      </c>
      <c r="Z13" s="111">
        <v>1382</v>
      </c>
    </row>
    <row r="14" spans="1:26" ht="28" x14ac:dyDescent="0.35">
      <c r="A14" s="258">
        <v>10</v>
      </c>
      <c r="B14" s="324" t="s">
        <v>917</v>
      </c>
      <c r="C14" s="286">
        <v>630149</v>
      </c>
      <c r="D14" s="97">
        <v>459790</v>
      </c>
      <c r="E14" s="97">
        <v>1089939</v>
      </c>
      <c r="F14" s="286">
        <v>36260</v>
      </c>
      <c r="G14" s="97">
        <v>24809</v>
      </c>
      <c r="H14" s="97">
        <v>61069</v>
      </c>
      <c r="I14" s="286">
        <v>7896</v>
      </c>
      <c r="J14" s="97">
        <v>6048</v>
      </c>
      <c r="K14" s="97">
        <v>13944</v>
      </c>
      <c r="L14" s="286">
        <v>225734</v>
      </c>
      <c r="M14" s="97">
        <v>148569</v>
      </c>
      <c r="N14" s="97">
        <v>374303</v>
      </c>
      <c r="O14" s="286">
        <v>498</v>
      </c>
      <c r="P14" s="97">
        <v>272.64999999999998</v>
      </c>
      <c r="Q14" s="97">
        <v>770.65</v>
      </c>
      <c r="R14" s="286">
        <v>26610</v>
      </c>
      <c r="S14" s="97">
        <v>15065</v>
      </c>
      <c r="T14" s="97">
        <v>41675</v>
      </c>
      <c r="U14" s="286">
        <v>30425</v>
      </c>
      <c r="V14" s="111">
        <v>24676</v>
      </c>
      <c r="W14" s="111">
        <v>55101</v>
      </c>
      <c r="X14" s="286">
        <v>14288</v>
      </c>
      <c r="Y14" s="111">
        <v>10475</v>
      </c>
      <c r="Z14" s="111">
        <v>24763</v>
      </c>
    </row>
    <row r="15" spans="1:26" s="287" customFormat="1" x14ac:dyDescent="0.35">
      <c r="A15" s="852" t="s">
        <v>12</v>
      </c>
      <c r="B15" s="852"/>
      <c r="C15" s="98">
        <v>5994328</v>
      </c>
      <c r="D15" s="99">
        <v>4864570</v>
      </c>
      <c r="E15" s="99">
        <v>10858898</v>
      </c>
      <c r="F15" s="98">
        <v>722023</v>
      </c>
      <c r="G15" s="99">
        <v>585289</v>
      </c>
      <c r="H15" s="99">
        <v>1307312</v>
      </c>
      <c r="I15" s="98">
        <v>318909</v>
      </c>
      <c r="J15" s="99">
        <v>286460</v>
      </c>
      <c r="K15" s="99">
        <v>605369</v>
      </c>
      <c r="L15" s="98">
        <v>1958408</v>
      </c>
      <c r="M15" s="99">
        <v>1540437</v>
      </c>
      <c r="N15" s="99">
        <v>3498845</v>
      </c>
      <c r="O15" s="98">
        <v>16648.849999999999</v>
      </c>
      <c r="P15" s="98">
        <v>7645.3</v>
      </c>
      <c r="Q15" s="98">
        <v>24294.15</v>
      </c>
      <c r="R15" s="98">
        <v>249976</v>
      </c>
      <c r="S15" s="99">
        <v>201896</v>
      </c>
      <c r="T15" s="99">
        <v>451872</v>
      </c>
      <c r="U15" s="98">
        <v>137440</v>
      </c>
      <c r="V15" s="109">
        <v>132899</v>
      </c>
      <c r="W15" s="109">
        <v>270339</v>
      </c>
      <c r="X15" s="98">
        <v>145915</v>
      </c>
      <c r="Y15" s="109">
        <v>115710</v>
      </c>
      <c r="Z15" s="109">
        <v>261625</v>
      </c>
    </row>
    <row r="16" spans="1:26" s="281" customFormat="1" ht="15.5" x14ac:dyDescent="0.3">
      <c r="B16" s="566"/>
      <c r="C16" s="849" t="s">
        <v>1010</v>
      </c>
      <c r="D16" s="849"/>
      <c r="E16" s="849"/>
      <c r="F16" s="849"/>
      <c r="G16" s="849"/>
      <c r="H16" s="849"/>
      <c r="I16" s="849"/>
      <c r="J16" s="849"/>
      <c r="K16" s="849"/>
      <c r="L16" s="849"/>
      <c r="M16" s="849"/>
      <c r="N16" s="849"/>
      <c r="O16" s="849" t="s">
        <v>1038</v>
      </c>
      <c r="P16" s="849"/>
      <c r="Q16" s="849"/>
      <c r="R16" s="849"/>
      <c r="S16" s="849"/>
      <c r="T16" s="849"/>
      <c r="U16" s="849"/>
      <c r="V16" s="849"/>
      <c r="W16" s="849"/>
      <c r="X16" s="849"/>
      <c r="Y16" s="849"/>
      <c r="Z16" s="849"/>
    </row>
    <row r="17" spans="1:26" x14ac:dyDescent="0.35">
      <c r="A17" s="258">
        <v>1</v>
      </c>
      <c r="B17" s="324" t="s">
        <v>2</v>
      </c>
      <c r="C17" s="97">
        <v>358022</v>
      </c>
      <c r="D17" s="97">
        <v>428353</v>
      </c>
      <c r="E17" s="97">
        <v>786375</v>
      </c>
      <c r="F17" s="97">
        <v>40202</v>
      </c>
      <c r="G17" s="97">
        <v>44534</v>
      </c>
      <c r="H17" s="97">
        <v>84736</v>
      </c>
      <c r="I17" s="97">
        <v>104062</v>
      </c>
      <c r="J17" s="97">
        <v>119605</v>
      </c>
      <c r="K17" s="97">
        <v>223667</v>
      </c>
      <c r="L17" s="97">
        <v>89683</v>
      </c>
      <c r="M17" s="97">
        <v>103949</v>
      </c>
      <c r="N17" s="97">
        <v>193632</v>
      </c>
      <c r="O17" s="97">
        <v>1339.2999999999997</v>
      </c>
      <c r="P17" s="97">
        <v>1056.1500000000001</v>
      </c>
      <c r="Q17" s="97">
        <v>2395.4499999999998</v>
      </c>
      <c r="R17" s="97">
        <v>13699</v>
      </c>
      <c r="S17" s="97">
        <v>16722</v>
      </c>
      <c r="T17" s="111">
        <v>30421</v>
      </c>
      <c r="U17" s="97">
        <v>33837</v>
      </c>
      <c r="V17" s="111">
        <v>39334</v>
      </c>
      <c r="W17" s="111">
        <v>73171</v>
      </c>
      <c r="X17" s="97">
        <v>13202</v>
      </c>
      <c r="Y17" s="111">
        <v>13526</v>
      </c>
      <c r="Z17" s="111">
        <v>26728</v>
      </c>
    </row>
    <row r="18" spans="1:26" ht="28" x14ac:dyDescent="0.35">
      <c r="A18" s="258">
        <v>2</v>
      </c>
      <c r="B18" s="324" t="s">
        <v>5</v>
      </c>
      <c r="C18" s="97">
        <v>14564709</v>
      </c>
      <c r="D18" s="97">
        <v>15762040</v>
      </c>
      <c r="E18" s="97">
        <v>30326749</v>
      </c>
      <c r="F18" s="97">
        <v>2393157</v>
      </c>
      <c r="G18" s="97">
        <v>2624190</v>
      </c>
      <c r="H18" s="97">
        <v>5017347</v>
      </c>
      <c r="I18" s="97">
        <v>854129</v>
      </c>
      <c r="J18" s="97">
        <v>973914</v>
      </c>
      <c r="K18" s="97">
        <v>1828043</v>
      </c>
      <c r="L18" s="97">
        <v>6261019</v>
      </c>
      <c r="M18" s="97">
        <v>6872421</v>
      </c>
      <c r="N18" s="97">
        <v>13133440</v>
      </c>
      <c r="O18" s="97">
        <v>14004.65</v>
      </c>
      <c r="P18" s="97">
        <v>10121.35</v>
      </c>
      <c r="Q18" s="97">
        <v>24126</v>
      </c>
      <c r="R18" s="97">
        <v>731282</v>
      </c>
      <c r="S18" s="97">
        <v>882911</v>
      </c>
      <c r="T18" s="111">
        <v>1614193</v>
      </c>
      <c r="U18" s="97">
        <v>299955</v>
      </c>
      <c r="V18" s="111">
        <v>362100</v>
      </c>
      <c r="W18" s="111">
        <v>662055</v>
      </c>
      <c r="X18" s="97">
        <v>275269</v>
      </c>
      <c r="Y18" s="111">
        <v>274882</v>
      </c>
      <c r="Z18" s="111">
        <v>550151</v>
      </c>
    </row>
    <row r="19" spans="1:26" s="287" customFormat="1" x14ac:dyDescent="0.35">
      <c r="A19" s="853" t="s">
        <v>12</v>
      </c>
      <c r="B19" s="854"/>
      <c r="C19" s="99">
        <v>14922731</v>
      </c>
      <c r="D19" s="99">
        <v>16190393</v>
      </c>
      <c r="E19" s="99">
        <v>31113124</v>
      </c>
      <c r="F19" s="99">
        <v>2433359</v>
      </c>
      <c r="G19" s="99">
        <v>2668724</v>
      </c>
      <c r="H19" s="99">
        <v>5102083</v>
      </c>
      <c r="I19" s="99">
        <v>958191</v>
      </c>
      <c r="J19" s="99">
        <v>1093519</v>
      </c>
      <c r="K19" s="99">
        <v>2051710</v>
      </c>
      <c r="L19" s="99">
        <v>6350702</v>
      </c>
      <c r="M19" s="99">
        <v>6976370</v>
      </c>
      <c r="N19" s="99">
        <v>13327072</v>
      </c>
      <c r="O19" s="99">
        <v>15343.949999999999</v>
      </c>
      <c r="P19" s="99">
        <v>11177.5</v>
      </c>
      <c r="Q19" s="99">
        <v>26521.45</v>
      </c>
      <c r="R19" s="99">
        <v>744981</v>
      </c>
      <c r="S19" s="99">
        <v>899633</v>
      </c>
      <c r="T19" s="109">
        <v>1644614</v>
      </c>
      <c r="U19" s="99">
        <v>333792</v>
      </c>
      <c r="V19" s="109">
        <v>401434</v>
      </c>
      <c r="W19" s="109">
        <v>735226</v>
      </c>
      <c r="X19" s="99">
        <v>288471</v>
      </c>
      <c r="Y19" s="109">
        <v>288408</v>
      </c>
      <c r="Z19" s="109">
        <v>576879</v>
      </c>
    </row>
    <row r="41" spans="14:26" x14ac:dyDescent="0.35">
      <c r="N41" s="640" t="s">
        <v>1045</v>
      </c>
      <c r="Z41" s="640" t="s">
        <v>1044</v>
      </c>
    </row>
  </sheetData>
  <mergeCells count="17">
    <mergeCell ref="A1:B1"/>
    <mergeCell ref="A2:A3"/>
    <mergeCell ref="A15:B15"/>
    <mergeCell ref="A19:B19"/>
    <mergeCell ref="B2:B3"/>
    <mergeCell ref="C16:N16"/>
    <mergeCell ref="O16:Z16"/>
    <mergeCell ref="C1:N1"/>
    <mergeCell ref="O1:Z1"/>
    <mergeCell ref="O2:Q2"/>
    <mergeCell ref="R2:T2"/>
    <mergeCell ref="U2:W2"/>
    <mergeCell ref="C2:E2"/>
    <mergeCell ref="F2:H2"/>
    <mergeCell ref="I2:K2"/>
    <mergeCell ref="L2:N2"/>
    <mergeCell ref="X2:Z2"/>
  </mergeCells>
  <pageMargins left="0.17" right="0.15748031496062992" top="0.39370078740157483" bottom="0.39370078740157483" header="0.31496062992125984" footer="0.19685039370078741"/>
  <pageSetup paperSize="9" scale="60" firstPageNumber="27" orientation="portrait" r:id="rId1"/>
  <headerFooter>
    <oddFooter>&amp;L&amp;"Arial,Italic"&amp;9AISHE 2023-24</oddFooter>
  </headerFooter>
  <colBreaks count="1" manualBreakCount="1">
    <brk id="14" max="40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384D-2BF3-4508-9B79-3E88C1B74B4F}">
  <dimension ref="A1:X19"/>
  <sheetViews>
    <sheetView view="pageBreakPreview" topLeftCell="E2" zoomScale="80" zoomScaleSheetLayoutView="80" workbookViewId="0">
      <selection activeCell="A16" sqref="A16:W16"/>
    </sheetView>
  </sheetViews>
  <sheetFormatPr defaultColWidth="9.26953125" defaultRowHeight="15.5" x14ac:dyDescent="0.35"/>
  <cols>
    <col min="1" max="1" width="4.1796875" style="291" customWidth="1"/>
    <col min="2" max="2" width="27.7265625" style="291" customWidth="1"/>
    <col min="3" max="6" width="12.1796875" style="291" customWidth="1"/>
    <col min="7" max="7" width="12.54296875" style="291" customWidth="1"/>
    <col min="8" max="11" width="12.1796875" style="291" customWidth="1"/>
    <col min="12" max="12" width="8.453125" style="291" bestFit="1" customWidth="1"/>
    <col min="13" max="13" width="9.1796875" style="291" customWidth="1"/>
    <col min="14" max="14" width="9" style="291" bestFit="1" customWidth="1"/>
    <col min="15" max="15" width="8.81640625" style="291" customWidth="1"/>
    <col min="16" max="16" width="9.453125" style="291" bestFit="1" customWidth="1"/>
    <col min="17" max="17" width="9" style="291" bestFit="1" customWidth="1"/>
    <col min="18" max="19" width="10.81640625" style="291" bestFit="1" customWidth="1"/>
    <col min="20" max="20" width="11.26953125" style="291" bestFit="1" customWidth="1"/>
    <col min="21" max="21" width="8.1796875" style="291" customWidth="1"/>
    <col min="22" max="22" width="9.453125" style="291" bestFit="1" customWidth="1"/>
    <col min="23" max="23" width="7.54296875" style="291" customWidth="1"/>
    <col min="24" max="16384" width="9.26953125" style="291"/>
  </cols>
  <sheetData>
    <row r="1" spans="1:23" s="94" customFormat="1" ht="53.25" customHeight="1" x14ac:dyDescent="0.35">
      <c r="B1" s="39"/>
      <c r="C1" s="708" t="s">
        <v>1011</v>
      </c>
      <c r="D1" s="708"/>
      <c r="E1" s="708"/>
      <c r="F1" s="708"/>
      <c r="G1" s="708"/>
      <c r="H1" s="708"/>
      <c r="I1" s="708"/>
      <c r="J1" s="708"/>
      <c r="K1" s="708"/>
      <c r="L1" s="708" t="str">
        <f>C1</f>
        <v>Table 29. Post-wise Number of Teachers in various types of Universities 
(Based on Actual Response)
(a) Teaching Departments and it's Constituent Units/Off-campus Centres</v>
      </c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</row>
    <row r="2" spans="1:23" s="289" customFormat="1" ht="33.75" customHeight="1" x14ac:dyDescent="0.35">
      <c r="A2" s="841" t="s">
        <v>882</v>
      </c>
      <c r="B2" s="711" t="s">
        <v>907</v>
      </c>
      <c r="C2" s="856" t="s">
        <v>890</v>
      </c>
      <c r="D2" s="856"/>
      <c r="E2" s="856"/>
      <c r="F2" s="856" t="s">
        <v>891</v>
      </c>
      <c r="G2" s="857"/>
      <c r="H2" s="857"/>
      <c r="I2" s="856" t="s">
        <v>892</v>
      </c>
      <c r="J2" s="857"/>
      <c r="K2" s="857"/>
      <c r="L2" s="856" t="s">
        <v>893</v>
      </c>
      <c r="M2" s="857"/>
      <c r="N2" s="857"/>
      <c r="O2" s="856" t="s">
        <v>896</v>
      </c>
      <c r="P2" s="857"/>
      <c r="Q2" s="857"/>
      <c r="R2" s="858" t="s">
        <v>12</v>
      </c>
      <c r="S2" s="859"/>
      <c r="T2" s="860"/>
      <c r="U2" s="856" t="s">
        <v>895</v>
      </c>
      <c r="V2" s="857"/>
      <c r="W2" s="857"/>
    </row>
    <row r="3" spans="1:23" s="289" customFormat="1" ht="30" customHeight="1" x14ac:dyDescent="0.35">
      <c r="A3" s="842"/>
      <c r="B3" s="711"/>
      <c r="C3" s="288" t="s">
        <v>103</v>
      </c>
      <c r="D3" s="288" t="s">
        <v>104</v>
      </c>
      <c r="E3" s="288" t="s">
        <v>89</v>
      </c>
      <c r="F3" s="288" t="s">
        <v>103</v>
      </c>
      <c r="G3" s="288" t="s">
        <v>104</v>
      </c>
      <c r="H3" s="288" t="s">
        <v>89</v>
      </c>
      <c r="I3" s="288" t="s">
        <v>103</v>
      </c>
      <c r="J3" s="288" t="s">
        <v>104</v>
      </c>
      <c r="K3" s="288" t="s">
        <v>89</v>
      </c>
      <c r="L3" s="288" t="s">
        <v>103</v>
      </c>
      <c r="M3" s="288" t="s">
        <v>104</v>
      </c>
      <c r="N3" s="288" t="s">
        <v>89</v>
      </c>
      <c r="O3" s="288" t="s">
        <v>103</v>
      </c>
      <c r="P3" s="288" t="s">
        <v>104</v>
      </c>
      <c r="Q3" s="288" t="s">
        <v>89</v>
      </c>
      <c r="R3" s="288" t="s">
        <v>103</v>
      </c>
      <c r="S3" s="288" t="s">
        <v>104</v>
      </c>
      <c r="T3" s="288" t="s">
        <v>89</v>
      </c>
      <c r="U3" s="288" t="s">
        <v>103</v>
      </c>
      <c r="V3" s="288" t="s">
        <v>104</v>
      </c>
      <c r="W3" s="288" t="s">
        <v>89</v>
      </c>
    </row>
    <row r="4" spans="1:23" s="332" customFormat="1" ht="27" customHeight="1" x14ac:dyDescent="0.35">
      <c r="A4" s="284">
        <v>1</v>
      </c>
      <c r="B4" s="285">
        <v>2</v>
      </c>
      <c r="C4" s="284">
        <v>3</v>
      </c>
      <c r="D4" s="285">
        <v>4</v>
      </c>
      <c r="E4" s="284">
        <v>5</v>
      </c>
      <c r="F4" s="285">
        <v>6</v>
      </c>
      <c r="G4" s="284">
        <v>7</v>
      </c>
      <c r="H4" s="285">
        <v>8</v>
      </c>
      <c r="I4" s="284">
        <v>9</v>
      </c>
      <c r="J4" s="285">
        <v>10</v>
      </c>
      <c r="K4" s="284">
        <v>11</v>
      </c>
      <c r="L4" s="285">
        <v>12</v>
      </c>
      <c r="M4" s="284">
        <v>13</v>
      </c>
      <c r="N4" s="285">
        <v>14</v>
      </c>
      <c r="O4" s="284">
        <v>15</v>
      </c>
      <c r="P4" s="285">
        <v>16</v>
      </c>
      <c r="Q4" s="284">
        <v>17</v>
      </c>
      <c r="R4" s="285">
        <v>18</v>
      </c>
      <c r="S4" s="284">
        <v>19</v>
      </c>
      <c r="T4" s="285">
        <v>20</v>
      </c>
      <c r="U4" s="284">
        <v>21</v>
      </c>
      <c r="V4" s="285">
        <v>22</v>
      </c>
      <c r="W4" s="284">
        <v>23</v>
      </c>
    </row>
    <row r="5" spans="1:23" ht="51.75" customHeight="1" x14ac:dyDescent="0.35">
      <c r="A5" s="258">
        <v>1</v>
      </c>
      <c r="B5" s="290" t="s">
        <v>908</v>
      </c>
      <c r="C5" s="25">
        <v>3278</v>
      </c>
      <c r="D5" s="25">
        <v>958</v>
      </c>
      <c r="E5" s="25">
        <v>4236</v>
      </c>
      <c r="F5" s="25">
        <v>1774</v>
      </c>
      <c r="G5" s="25">
        <v>559</v>
      </c>
      <c r="H5" s="25">
        <v>2333</v>
      </c>
      <c r="I5" s="25">
        <v>5501</v>
      </c>
      <c r="J5" s="25">
        <v>2506</v>
      </c>
      <c r="K5" s="25">
        <v>8007</v>
      </c>
      <c r="L5" s="25">
        <v>299</v>
      </c>
      <c r="M5" s="25">
        <v>12</v>
      </c>
      <c r="N5" s="25">
        <v>311</v>
      </c>
      <c r="O5" s="25">
        <v>680</v>
      </c>
      <c r="P5" s="25">
        <v>392</v>
      </c>
      <c r="Q5" s="25">
        <v>1072</v>
      </c>
      <c r="R5" s="25">
        <v>11595</v>
      </c>
      <c r="S5" s="25">
        <v>4467</v>
      </c>
      <c r="T5" s="25">
        <v>16062</v>
      </c>
      <c r="U5" s="25">
        <v>63</v>
      </c>
      <c r="V5" s="25">
        <v>40</v>
      </c>
      <c r="W5" s="25">
        <v>103</v>
      </c>
    </row>
    <row r="6" spans="1:23" ht="51.75" customHeight="1" x14ac:dyDescent="0.35">
      <c r="A6" s="258">
        <v>2</v>
      </c>
      <c r="B6" s="290" t="s">
        <v>909</v>
      </c>
      <c r="C6" s="25">
        <v>66</v>
      </c>
      <c r="D6" s="25">
        <v>59</v>
      </c>
      <c r="E6" s="25">
        <v>125</v>
      </c>
      <c r="F6" s="25">
        <v>33</v>
      </c>
      <c r="G6" s="25">
        <v>25</v>
      </c>
      <c r="H6" s="25">
        <v>58</v>
      </c>
      <c r="I6" s="25">
        <v>62</v>
      </c>
      <c r="J6" s="25">
        <v>59</v>
      </c>
      <c r="K6" s="25">
        <v>121</v>
      </c>
      <c r="L6" s="25"/>
      <c r="M6" s="25"/>
      <c r="N6" s="25"/>
      <c r="O6" s="25"/>
      <c r="P6" s="25"/>
      <c r="Q6" s="25"/>
      <c r="R6" s="25">
        <v>161</v>
      </c>
      <c r="S6" s="25">
        <v>143</v>
      </c>
      <c r="T6" s="25">
        <v>304</v>
      </c>
      <c r="U6" s="25"/>
      <c r="V6" s="25"/>
      <c r="W6" s="25"/>
    </row>
    <row r="7" spans="1:23" ht="51.75" customHeight="1" x14ac:dyDescent="0.35">
      <c r="A7" s="258">
        <v>3</v>
      </c>
      <c r="B7" s="290" t="s">
        <v>910</v>
      </c>
      <c r="C7" s="25">
        <v>5424</v>
      </c>
      <c r="D7" s="25">
        <v>1151</v>
      </c>
      <c r="E7" s="25">
        <v>6575</v>
      </c>
      <c r="F7" s="25">
        <v>4291</v>
      </c>
      <c r="G7" s="25">
        <v>1111</v>
      </c>
      <c r="H7" s="25">
        <v>5402</v>
      </c>
      <c r="I7" s="25">
        <v>7937</v>
      </c>
      <c r="J7" s="25">
        <v>2563</v>
      </c>
      <c r="K7" s="25">
        <v>10500</v>
      </c>
      <c r="L7" s="25">
        <v>79</v>
      </c>
      <c r="M7" s="25">
        <v>117</v>
      </c>
      <c r="N7" s="25">
        <v>196</v>
      </c>
      <c r="O7" s="25">
        <v>395</v>
      </c>
      <c r="P7" s="25">
        <v>199</v>
      </c>
      <c r="Q7" s="25">
        <v>594</v>
      </c>
      <c r="R7" s="25">
        <v>18271</v>
      </c>
      <c r="S7" s="25">
        <v>5169</v>
      </c>
      <c r="T7" s="25">
        <v>23440</v>
      </c>
      <c r="U7" s="25">
        <v>145</v>
      </c>
      <c r="V7" s="25">
        <v>28</v>
      </c>
      <c r="W7" s="25">
        <v>173</v>
      </c>
    </row>
    <row r="8" spans="1:23" ht="51.75" customHeight="1" x14ac:dyDescent="0.35">
      <c r="A8" s="258">
        <v>4</v>
      </c>
      <c r="B8" s="290" t="s">
        <v>911</v>
      </c>
      <c r="C8" s="25">
        <v>9355</v>
      </c>
      <c r="D8" s="25">
        <v>3491</v>
      </c>
      <c r="E8" s="25">
        <v>12846</v>
      </c>
      <c r="F8" s="25">
        <v>4969</v>
      </c>
      <c r="G8" s="25">
        <v>2509</v>
      </c>
      <c r="H8" s="25">
        <v>7478</v>
      </c>
      <c r="I8" s="25">
        <v>19517</v>
      </c>
      <c r="J8" s="25">
        <v>16528</v>
      </c>
      <c r="K8" s="25">
        <v>36045</v>
      </c>
      <c r="L8" s="25">
        <v>435</v>
      </c>
      <c r="M8" s="25">
        <v>421</v>
      </c>
      <c r="N8" s="25">
        <v>856</v>
      </c>
      <c r="O8" s="25">
        <v>4127</v>
      </c>
      <c r="P8" s="25">
        <v>3974</v>
      </c>
      <c r="Q8" s="25">
        <v>8101</v>
      </c>
      <c r="R8" s="25">
        <v>39321</v>
      </c>
      <c r="S8" s="25">
        <v>27621</v>
      </c>
      <c r="T8" s="25">
        <v>66942</v>
      </c>
      <c r="U8" s="25">
        <v>918</v>
      </c>
      <c r="V8" s="25">
        <v>698</v>
      </c>
      <c r="W8" s="25">
        <v>1616</v>
      </c>
    </row>
    <row r="9" spans="1:23" ht="51.75" customHeight="1" x14ac:dyDescent="0.35">
      <c r="A9" s="258">
        <v>5</v>
      </c>
      <c r="B9" s="290" t="s">
        <v>912</v>
      </c>
      <c r="C9" s="25">
        <v>93</v>
      </c>
      <c r="D9" s="25">
        <v>24</v>
      </c>
      <c r="E9" s="25">
        <v>117</v>
      </c>
      <c r="F9" s="25">
        <v>71</v>
      </c>
      <c r="G9" s="25">
        <v>17</v>
      </c>
      <c r="H9" s="25">
        <v>88</v>
      </c>
      <c r="I9" s="25">
        <v>299</v>
      </c>
      <c r="J9" s="25">
        <v>219</v>
      </c>
      <c r="K9" s="25">
        <v>518</v>
      </c>
      <c r="L9" s="25"/>
      <c r="M9" s="25"/>
      <c r="N9" s="25"/>
      <c r="O9" s="25">
        <v>186</v>
      </c>
      <c r="P9" s="25">
        <v>129</v>
      </c>
      <c r="Q9" s="25">
        <v>315</v>
      </c>
      <c r="R9" s="25">
        <v>661</v>
      </c>
      <c r="S9" s="25">
        <v>391</v>
      </c>
      <c r="T9" s="25">
        <v>1052</v>
      </c>
      <c r="U9" s="25">
        <v>12</v>
      </c>
      <c r="V9" s="25">
        <v>2</v>
      </c>
      <c r="W9" s="25">
        <v>14</v>
      </c>
    </row>
    <row r="10" spans="1:23" ht="51.75" customHeight="1" x14ac:dyDescent="0.35">
      <c r="A10" s="258">
        <v>6</v>
      </c>
      <c r="B10" s="290" t="s">
        <v>913</v>
      </c>
      <c r="C10" s="25">
        <v>9907</v>
      </c>
      <c r="D10" s="25">
        <v>4063</v>
      </c>
      <c r="E10" s="25">
        <v>13970</v>
      </c>
      <c r="F10" s="25">
        <v>9435</v>
      </c>
      <c r="G10" s="25">
        <v>5617</v>
      </c>
      <c r="H10" s="25">
        <v>15052</v>
      </c>
      <c r="I10" s="25">
        <v>43649</v>
      </c>
      <c r="J10" s="25">
        <v>36499</v>
      </c>
      <c r="K10" s="25">
        <v>80148</v>
      </c>
      <c r="L10" s="25">
        <v>3083</v>
      </c>
      <c r="M10" s="25">
        <v>3957</v>
      </c>
      <c r="N10" s="25">
        <v>7040</v>
      </c>
      <c r="O10" s="25">
        <v>777</v>
      </c>
      <c r="P10" s="25">
        <v>830</v>
      </c>
      <c r="Q10" s="25">
        <v>1607</v>
      </c>
      <c r="R10" s="25">
        <v>67844</v>
      </c>
      <c r="S10" s="25">
        <v>51729</v>
      </c>
      <c r="T10" s="25">
        <v>119573</v>
      </c>
      <c r="U10" s="25">
        <v>993</v>
      </c>
      <c r="V10" s="25">
        <v>763</v>
      </c>
      <c r="W10" s="25">
        <v>1756</v>
      </c>
    </row>
    <row r="11" spans="1:23" ht="51.75" customHeight="1" x14ac:dyDescent="0.35">
      <c r="A11" s="258">
        <v>7</v>
      </c>
      <c r="B11" s="290" t="s">
        <v>914</v>
      </c>
      <c r="C11" s="25">
        <v>299</v>
      </c>
      <c r="D11" s="25">
        <v>100</v>
      </c>
      <c r="E11" s="25">
        <v>399</v>
      </c>
      <c r="F11" s="25">
        <v>121</v>
      </c>
      <c r="G11" s="25">
        <v>65</v>
      </c>
      <c r="H11" s="25">
        <v>186</v>
      </c>
      <c r="I11" s="25">
        <v>365</v>
      </c>
      <c r="J11" s="25">
        <v>186</v>
      </c>
      <c r="K11" s="25">
        <v>551</v>
      </c>
      <c r="L11" s="25">
        <v>182</v>
      </c>
      <c r="M11" s="25">
        <v>154</v>
      </c>
      <c r="N11" s="25">
        <v>336</v>
      </c>
      <c r="O11" s="25">
        <v>3</v>
      </c>
      <c r="P11" s="25">
        <v>4</v>
      </c>
      <c r="Q11" s="25">
        <v>7</v>
      </c>
      <c r="R11" s="25">
        <v>972</v>
      </c>
      <c r="S11" s="25">
        <v>509</v>
      </c>
      <c r="T11" s="25">
        <v>1481</v>
      </c>
      <c r="U11" s="25">
        <v>2</v>
      </c>
      <c r="V11" s="25"/>
      <c r="W11" s="25">
        <v>2</v>
      </c>
    </row>
    <row r="12" spans="1:23" ht="51.75" customHeight="1" x14ac:dyDescent="0.35">
      <c r="A12" s="258">
        <v>8</v>
      </c>
      <c r="B12" s="290" t="s">
        <v>915</v>
      </c>
      <c r="C12" s="25">
        <v>1268</v>
      </c>
      <c r="D12" s="25">
        <v>276</v>
      </c>
      <c r="E12" s="25">
        <v>1544</v>
      </c>
      <c r="F12" s="25">
        <v>1021</v>
      </c>
      <c r="G12" s="25">
        <v>248</v>
      </c>
      <c r="H12" s="25">
        <v>1269</v>
      </c>
      <c r="I12" s="25">
        <v>1379</v>
      </c>
      <c r="J12" s="25">
        <v>557</v>
      </c>
      <c r="K12" s="25">
        <v>1936</v>
      </c>
      <c r="L12" s="25">
        <v>30</v>
      </c>
      <c r="M12" s="25">
        <v>10</v>
      </c>
      <c r="N12" s="25">
        <v>40</v>
      </c>
      <c r="O12" s="25">
        <v>46</v>
      </c>
      <c r="P12" s="25">
        <v>14</v>
      </c>
      <c r="Q12" s="25">
        <v>60</v>
      </c>
      <c r="R12" s="25">
        <v>3766</v>
      </c>
      <c r="S12" s="25">
        <v>1114</v>
      </c>
      <c r="T12" s="25">
        <v>4880</v>
      </c>
      <c r="U12" s="25">
        <v>22</v>
      </c>
      <c r="V12" s="25">
        <v>9</v>
      </c>
      <c r="W12" s="25">
        <v>31</v>
      </c>
    </row>
    <row r="13" spans="1:23" ht="51.75" customHeight="1" x14ac:dyDescent="0.35">
      <c r="A13" s="258">
        <v>9</v>
      </c>
      <c r="B13" s="290" t="s">
        <v>916</v>
      </c>
      <c r="C13" s="25">
        <v>261</v>
      </c>
      <c r="D13" s="25">
        <v>188</v>
      </c>
      <c r="E13" s="25">
        <v>449</v>
      </c>
      <c r="F13" s="25">
        <v>109</v>
      </c>
      <c r="G13" s="25">
        <v>103</v>
      </c>
      <c r="H13" s="25">
        <v>212</v>
      </c>
      <c r="I13" s="25">
        <v>653</v>
      </c>
      <c r="J13" s="25">
        <v>778</v>
      </c>
      <c r="K13" s="25">
        <v>1431</v>
      </c>
      <c r="L13" s="25">
        <v>41</v>
      </c>
      <c r="M13" s="25">
        <v>46</v>
      </c>
      <c r="N13" s="25">
        <v>87</v>
      </c>
      <c r="O13" s="25">
        <v>68</v>
      </c>
      <c r="P13" s="25">
        <v>124</v>
      </c>
      <c r="Q13" s="25">
        <v>192</v>
      </c>
      <c r="R13" s="25">
        <v>1133</v>
      </c>
      <c r="S13" s="25">
        <v>1239</v>
      </c>
      <c r="T13" s="25">
        <v>2372</v>
      </c>
      <c r="U13" s="25">
        <v>1</v>
      </c>
      <c r="V13" s="25"/>
      <c r="W13" s="25">
        <v>1</v>
      </c>
    </row>
    <row r="14" spans="1:23" ht="51.75" customHeight="1" x14ac:dyDescent="0.35">
      <c r="A14" s="258">
        <v>10</v>
      </c>
      <c r="B14" s="290" t="s">
        <v>917</v>
      </c>
      <c r="C14" s="25">
        <v>6931</v>
      </c>
      <c r="D14" s="25">
        <v>3503</v>
      </c>
      <c r="E14" s="25">
        <v>10434</v>
      </c>
      <c r="F14" s="25">
        <v>6769</v>
      </c>
      <c r="G14" s="25">
        <v>4547</v>
      </c>
      <c r="H14" s="25">
        <v>11316</v>
      </c>
      <c r="I14" s="25">
        <v>19147</v>
      </c>
      <c r="J14" s="25">
        <v>18171</v>
      </c>
      <c r="K14" s="25">
        <v>37318</v>
      </c>
      <c r="L14" s="25">
        <v>1085</v>
      </c>
      <c r="M14" s="25">
        <v>1664</v>
      </c>
      <c r="N14" s="25">
        <v>2749</v>
      </c>
      <c r="O14" s="25">
        <v>344</v>
      </c>
      <c r="P14" s="25">
        <v>259</v>
      </c>
      <c r="Q14" s="25">
        <v>603</v>
      </c>
      <c r="R14" s="25">
        <v>34627</v>
      </c>
      <c r="S14" s="25">
        <v>28374</v>
      </c>
      <c r="T14" s="25">
        <v>63001</v>
      </c>
      <c r="U14" s="25">
        <v>351</v>
      </c>
      <c r="V14" s="25">
        <v>230</v>
      </c>
      <c r="W14" s="25">
        <v>581</v>
      </c>
    </row>
    <row r="15" spans="1:23" s="292" customFormat="1" ht="58.5" customHeight="1" x14ac:dyDescent="0.35">
      <c r="A15" s="862" t="s">
        <v>12</v>
      </c>
      <c r="B15" s="862"/>
      <c r="C15" s="41">
        <v>36882</v>
      </c>
      <c r="D15" s="41">
        <v>13813</v>
      </c>
      <c r="E15" s="41">
        <v>50695</v>
      </c>
      <c r="F15" s="41">
        <v>28593</v>
      </c>
      <c r="G15" s="41">
        <v>14801</v>
      </c>
      <c r="H15" s="41">
        <v>43394</v>
      </c>
      <c r="I15" s="41">
        <v>98509</v>
      </c>
      <c r="J15" s="41">
        <v>78066</v>
      </c>
      <c r="K15" s="41">
        <v>176575</v>
      </c>
      <c r="L15" s="41">
        <v>5234</v>
      </c>
      <c r="M15" s="41">
        <v>6381</v>
      </c>
      <c r="N15" s="41">
        <v>11615</v>
      </c>
      <c r="O15" s="41">
        <v>6626</v>
      </c>
      <c r="P15" s="41">
        <v>5925</v>
      </c>
      <c r="Q15" s="41">
        <v>12551</v>
      </c>
      <c r="R15" s="41">
        <v>178351</v>
      </c>
      <c r="S15" s="41">
        <v>120756</v>
      </c>
      <c r="T15" s="41">
        <v>299107</v>
      </c>
      <c r="U15" s="41">
        <v>2507</v>
      </c>
      <c r="V15" s="41">
        <v>1770</v>
      </c>
      <c r="W15" s="41">
        <v>4277</v>
      </c>
    </row>
    <row r="16" spans="1:23" s="567" customFormat="1" ht="65.25" customHeight="1" x14ac:dyDescent="0.35">
      <c r="A16" s="861"/>
      <c r="B16" s="861"/>
      <c r="C16" s="855" t="s">
        <v>1012</v>
      </c>
      <c r="D16" s="855"/>
      <c r="E16" s="855"/>
      <c r="F16" s="855"/>
      <c r="G16" s="855"/>
      <c r="H16" s="855"/>
      <c r="I16" s="855"/>
      <c r="J16" s="855"/>
      <c r="K16" s="855"/>
      <c r="L16" s="855" t="str">
        <f>C16</f>
        <v>Table 29. Post-wise Number of Teachers in various types of Universities 
(Based on Actual Response)
(b) Affiliated and Constituent Colleges</v>
      </c>
      <c r="M16" s="855"/>
      <c r="N16" s="855"/>
      <c r="O16" s="855"/>
      <c r="P16" s="855"/>
      <c r="Q16" s="855"/>
      <c r="R16" s="855"/>
      <c r="S16" s="855"/>
      <c r="T16" s="855"/>
      <c r="U16" s="855"/>
      <c r="V16" s="855"/>
      <c r="W16" s="855"/>
    </row>
    <row r="17" spans="1:24" ht="50.25" customHeight="1" x14ac:dyDescent="0.35">
      <c r="A17" s="258">
        <v>1</v>
      </c>
      <c r="B17" s="290" t="s">
        <v>2</v>
      </c>
      <c r="C17" s="25">
        <v>1528</v>
      </c>
      <c r="D17" s="25">
        <v>1231</v>
      </c>
      <c r="E17" s="25">
        <v>2759</v>
      </c>
      <c r="F17" s="25">
        <v>2441</v>
      </c>
      <c r="G17" s="25">
        <v>2839</v>
      </c>
      <c r="H17" s="25">
        <v>5280</v>
      </c>
      <c r="I17" s="25">
        <v>10917</v>
      </c>
      <c r="J17" s="25">
        <v>12757</v>
      </c>
      <c r="K17" s="25">
        <v>23674</v>
      </c>
      <c r="L17" s="25">
        <v>513</v>
      </c>
      <c r="M17" s="25">
        <v>943</v>
      </c>
      <c r="N17" s="25">
        <v>1456</v>
      </c>
      <c r="O17" s="25">
        <v>849</v>
      </c>
      <c r="P17" s="25">
        <v>1031</v>
      </c>
      <c r="Q17" s="25">
        <v>1880</v>
      </c>
      <c r="R17" s="25">
        <v>16384</v>
      </c>
      <c r="S17" s="25">
        <v>18919</v>
      </c>
      <c r="T17" s="25">
        <v>35303</v>
      </c>
      <c r="U17" s="25">
        <v>136</v>
      </c>
      <c r="V17" s="25">
        <v>118</v>
      </c>
      <c r="W17" s="25">
        <v>254</v>
      </c>
    </row>
    <row r="18" spans="1:24" ht="50.25" customHeight="1" x14ac:dyDescent="0.35">
      <c r="A18" s="258">
        <v>2</v>
      </c>
      <c r="B18" s="290" t="s">
        <v>5</v>
      </c>
      <c r="C18" s="25">
        <v>68896</v>
      </c>
      <c r="D18" s="25">
        <v>32373</v>
      </c>
      <c r="E18" s="25">
        <v>101269</v>
      </c>
      <c r="F18" s="25">
        <v>70568</v>
      </c>
      <c r="G18" s="25">
        <v>46587</v>
      </c>
      <c r="H18" s="25">
        <v>117155</v>
      </c>
      <c r="I18" s="25">
        <v>459871</v>
      </c>
      <c r="J18" s="25">
        <v>395127</v>
      </c>
      <c r="K18" s="25">
        <v>854998</v>
      </c>
      <c r="L18" s="25">
        <v>22299</v>
      </c>
      <c r="M18" s="25">
        <v>42663</v>
      </c>
      <c r="N18" s="25">
        <v>64962</v>
      </c>
      <c r="O18" s="25">
        <v>42268</v>
      </c>
      <c r="P18" s="25">
        <v>39225</v>
      </c>
      <c r="Q18" s="25">
        <v>81493</v>
      </c>
      <c r="R18" s="25">
        <v>668220</v>
      </c>
      <c r="S18" s="25">
        <v>559949</v>
      </c>
      <c r="T18" s="25">
        <v>1228169</v>
      </c>
      <c r="U18" s="25">
        <v>4318</v>
      </c>
      <c r="V18" s="25">
        <v>3974</v>
      </c>
      <c r="W18" s="25">
        <v>8292</v>
      </c>
    </row>
    <row r="19" spans="1:24" s="292" customFormat="1" ht="58.5" customHeight="1" x14ac:dyDescent="0.35">
      <c r="A19" s="862" t="s">
        <v>12</v>
      </c>
      <c r="B19" s="862"/>
      <c r="C19" s="93">
        <v>70424</v>
      </c>
      <c r="D19" s="93">
        <v>33604</v>
      </c>
      <c r="E19" s="93">
        <v>104028</v>
      </c>
      <c r="F19" s="93">
        <v>73009</v>
      </c>
      <c r="G19" s="93">
        <v>49426</v>
      </c>
      <c r="H19" s="93">
        <v>122435</v>
      </c>
      <c r="I19" s="93">
        <v>470788</v>
      </c>
      <c r="J19" s="93">
        <v>407884</v>
      </c>
      <c r="K19" s="93">
        <v>878672</v>
      </c>
      <c r="L19" s="93">
        <v>22812</v>
      </c>
      <c r="M19" s="93">
        <v>43606</v>
      </c>
      <c r="N19" s="93">
        <v>66418</v>
      </c>
      <c r="O19" s="93">
        <v>43117</v>
      </c>
      <c r="P19" s="93">
        <v>40256</v>
      </c>
      <c r="Q19" s="93">
        <v>83373</v>
      </c>
      <c r="R19" s="41">
        <v>684604</v>
      </c>
      <c r="S19" s="41">
        <v>578868</v>
      </c>
      <c r="T19" s="41">
        <v>1263472</v>
      </c>
      <c r="U19" s="93">
        <v>4454</v>
      </c>
      <c r="V19" s="93">
        <v>4092</v>
      </c>
      <c r="W19" s="93">
        <v>8546</v>
      </c>
      <c r="X19" s="291"/>
    </row>
  </sheetData>
  <mergeCells count="16">
    <mergeCell ref="A2:A3"/>
    <mergeCell ref="A16:B16"/>
    <mergeCell ref="A15:B15"/>
    <mergeCell ref="A19:B19"/>
    <mergeCell ref="C16:K16"/>
    <mergeCell ref="L16:W16"/>
    <mergeCell ref="C1:K1"/>
    <mergeCell ref="L1:W1"/>
    <mergeCell ref="B2:B3"/>
    <mergeCell ref="C2:E2"/>
    <mergeCell ref="F2:H2"/>
    <mergeCell ref="I2:K2"/>
    <mergeCell ref="L2:N2"/>
    <mergeCell ref="O2:Q2"/>
    <mergeCell ref="R2:T2"/>
    <mergeCell ref="U2:W2"/>
  </mergeCells>
  <pageMargins left="0.59055118110236227" right="0.23622047244094491" top="0.39370078740157483" bottom="0.39370078740157483" header="0.31496062992125984" footer="0.19685039370078741"/>
  <pageSetup paperSize="9" scale="65" firstPageNumber="2" orientation="portrait" r:id="rId1"/>
  <headerFooter>
    <oddFooter>&amp;L&amp;"Arial,Italic"&amp;9AISHE 2023-24&amp;RT-29</oddFooter>
  </headerFooter>
  <colBreaks count="1" manualBreakCount="1">
    <brk id="11" max="18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A5B9-7E2C-4645-A134-6848689F6B76}">
  <dimension ref="A1:W20"/>
  <sheetViews>
    <sheetView view="pageBreakPreview" topLeftCell="A13" zoomScale="99" zoomScaleSheetLayoutView="99" workbookViewId="0">
      <selection activeCell="A16" sqref="A16:W16"/>
    </sheetView>
  </sheetViews>
  <sheetFormatPr defaultColWidth="9.26953125" defaultRowHeight="15.5" x14ac:dyDescent="0.35"/>
  <cols>
    <col min="1" max="1" width="4.26953125" style="297" bestFit="1" customWidth="1"/>
    <col min="2" max="2" width="24.7265625" style="297" bestFit="1" customWidth="1"/>
    <col min="3" max="11" width="11.453125" style="297" customWidth="1"/>
    <col min="12" max="14" width="10.1796875" style="297" bestFit="1" customWidth="1"/>
    <col min="15" max="15" width="7.26953125" style="297" bestFit="1" customWidth="1"/>
    <col min="16" max="16" width="8" style="297" bestFit="1" customWidth="1"/>
    <col min="17" max="17" width="7.26953125" style="297" bestFit="1" customWidth="1"/>
    <col min="18" max="22" width="8.453125" style="297" bestFit="1" customWidth="1"/>
    <col min="23" max="23" width="10.1796875" style="297" bestFit="1" customWidth="1"/>
    <col min="24" max="16384" width="9.26953125" style="297"/>
  </cols>
  <sheetData>
    <row r="1" spans="1:23" s="293" customFormat="1" ht="55.5" customHeight="1" x14ac:dyDescent="0.35">
      <c r="B1" s="206"/>
      <c r="C1" s="808" t="s">
        <v>1013</v>
      </c>
      <c r="D1" s="808"/>
      <c r="E1" s="808"/>
      <c r="F1" s="808"/>
      <c r="G1" s="808"/>
      <c r="H1" s="808"/>
      <c r="I1" s="808"/>
      <c r="J1" s="808"/>
      <c r="K1" s="808"/>
      <c r="L1" s="808" t="str">
        <f>C1</f>
        <v>Table 30. Social Group-wise Number of Teachers in various types of Universities
(Based on Actual Response)
(a) Teaching Departments and it's Constituent Units/Off-campus Centres</v>
      </c>
      <c r="M1" s="808"/>
      <c r="N1" s="808"/>
      <c r="O1" s="808"/>
      <c r="P1" s="808"/>
      <c r="Q1" s="808"/>
      <c r="R1" s="808"/>
      <c r="S1" s="808"/>
      <c r="T1" s="808"/>
      <c r="U1" s="808"/>
      <c r="V1" s="808"/>
      <c r="W1" s="808"/>
    </row>
    <row r="2" spans="1:23" s="295" customFormat="1" x14ac:dyDescent="0.35">
      <c r="A2" s="851" t="s">
        <v>882</v>
      </c>
      <c r="B2" s="846" t="s">
        <v>907</v>
      </c>
      <c r="C2" s="864" t="s">
        <v>394</v>
      </c>
      <c r="D2" s="864"/>
      <c r="E2" s="864"/>
      <c r="F2" s="864" t="s">
        <v>883</v>
      </c>
      <c r="G2" s="864"/>
      <c r="H2" s="864"/>
      <c r="I2" s="864" t="s">
        <v>884</v>
      </c>
      <c r="J2" s="864"/>
      <c r="K2" s="864"/>
      <c r="L2" s="864" t="s">
        <v>889</v>
      </c>
      <c r="M2" s="864"/>
      <c r="N2" s="864"/>
      <c r="O2" s="864" t="s">
        <v>1037</v>
      </c>
      <c r="P2" s="864"/>
      <c r="Q2" s="864"/>
      <c r="R2" s="864" t="s">
        <v>704</v>
      </c>
      <c r="S2" s="864"/>
      <c r="T2" s="864"/>
      <c r="U2" s="864" t="s">
        <v>705</v>
      </c>
      <c r="V2" s="864"/>
      <c r="W2" s="864"/>
    </row>
    <row r="3" spans="1:23" s="295" customFormat="1" x14ac:dyDescent="0.35">
      <c r="A3" s="851"/>
      <c r="B3" s="846"/>
      <c r="C3" s="294" t="s">
        <v>103</v>
      </c>
      <c r="D3" s="294" t="s">
        <v>104</v>
      </c>
      <c r="E3" s="294" t="s">
        <v>89</v>
      </c>
      <c r="F3" s="294" t="s">
        <v>103</v>
      </c>
      <c r="G3" s="294" t="s">
        <v>104</v>
      </c>
      <c r="H3" s="294" t="s">
        <v>89</v>
      </c>
      <c r="I3" s="294" t="s">
        <v>103</v>
      </c>
      <c r="J3" s="294" t="s">
        <v>104</v>
      </c>
      <c r="K3" s="294" t="s">
        <v>89</v>
      </c>
      <c r="L3" s="294" t="s">
        <v>103</v>
      </c>
      <c r="M3" s="294" t="s">
        <v>104</v>
      </c>
      <c r="N3" s="294" t="s">
        <v>89</v>
      </c>
      <c r="O3" s="294" t="s">
        <v>103</v>
      </c>
      <c r="P3" s="294" t="s">
        <v>104</v>
      </c>
      <c r="Q3" s="294" t="s">
        <v>89</v>
      </c>
      <c r="R3" s="294" t="s">
        <v>103</v>
      </c>
      <c r="S3" s="294" t="s">
        <v>104</v>
      </c>
      <c r="T3" s="294" t="s">
        <v>89</v>
      </c>
      <c r="U3" s="294" t="s">
        <v>103</v>
      </c>
      <c r="V3" s="294" t="s">
        <v>104</v>
      </c>
      <c r="W3" s="294" t="s">
        <v>89</v>
      </c>
    </row>
    <row r="4" spans="1:23" s="326" customFormat="1" ht="11.5" x14ac:dyDescent="0.35">
      <c r="A4" s="325">
        <v>1</v>
      </c>
      <c r="B4" s="325">
        <v>2</v>
      </c>
      <c r="C4" s="325">
        <v>3</v>
      </c>
      <c r="D4" s="325">
        <v>4</v>
      </c>
      <c r="E4" s="325">
        <v>5</v>
      </c>
      <c r="F4" s="325">
        <v>6</v>
      </c>
      <c r="G4" s="325">
        <v>7</v>
      </c>
      <c r="H4" s="325">
        <v>8</v>
      </c>
      <c r="I4" s="325">
        <v>9</v>
      </c>
      <c r="J4" s="325">
        <v>10</v>
      </c>
      <c r="K4" s="325">
        <v>11</v>
      </c>
      <c r="L4" s="325">
        <v>12</v>
      </c>
      <c r="M4" s="325">
        <v>13</v>
      </c>
      <c r="N4" s="325">
        <v>14</v>
      </c>
      <c r="O4" s="325">
        <v>15</v>
      </c>
      <c r="P4" s="325">
        <v>16</v>
      </c>
      <c r="Q4" s="325">
        <v>17</v>
      </c>
      <c r="R4" s="325">
        <v>18</v>
      </c>
      <c r="S4" s="325">
        <v>19</v>
      </c>
      <c r="T4" s="325">
        <v>20</v>
      </c>
      <c r="U4" s="325">
        <v>21</v>
      </c>
      <c r="V4" s="325">
        <v>22</v>
      </c>
      <c r="W4" s="325">
        <v>23</v>
      </c>
    </row>
    <row r="5" spans="1:23" ht="52.5" customHeight="1" x14ac:dyDescent="0.35">
      <c r="A5" s="258">
        <v>1</v>
      </c>
      <c r="B5" s="217" t="s">
        <v>908</v>
      </c>
      <c r="C5" s="296">
        <v>11595</v>
      </c>
      <c r="D5" s="296">
        <v>4467</v>
      </c>
      <c r="E5" s="296">
        <v>16062</v>
      </c>
      <c r="F5" s="296">
        <v>1384</v>
      </c>
      <c r="G5" s="296">
        <v>395</v>
      </c>
      <c r="H5" s="296">
        <v>1779</v>
      </c>
      <c r="I5" s="296">
        <v>683</v>
      </c>
      <c r="J5" s="296">
        <v>424</v>
      </c>
      <c r="K5" s="296">
        <v>1107</v>
      </c>
      <c r="L5" s="296">
        <v>2106</v>
      </c>
      <c r="M5" s="296">
        <v>710</v>
      </c>
      <c r="N5" s="296">
        <v>2816</v>
      </c>
      <c r="O5" s="296">
        <v>38</v>
      </c>
      <c r="P5" s="296">
        <v>207</v>
      </c>
      <c r="Q5" s="296">
        <v>245</v>
      </c>
      <c r="R5" s="296">
        <v>2188</v>
      </c>
      <c r="S5" s="296">
        <v>734</v>
      </c>
      <c r="T5" s="296">
        <v>2922</v>
      </c>
      <c r="U5" s="296">
        <v>656</v>
      </c>
      <c r="V5" s="296">
        <v>509</v>
      </c>
      <c r="W5" s="296">
        <v>1165</v>
      </c>
    </row>
    <row r="6" spans="1:23" ht="52.5" customHeight="1" x14ac:dyDescent="0.35">
      <c r="A6" s="258">
        <v>2</v>
      </c>
      <c r="B6" s="217" t="s">
        <v>909</v>
      </c>
      <c r="C6" s="296">
        <v>161</v>
      </c>
      <c r="D6" s="296">
        <v>143</v>
      </c>
      <c r="E6" s="296">
        <v>304</v>
      </c>
      <c r="F6" s="296">
        <v>22</v>
      </c>
      <c r="G6" s="296">
        <v>17</v>
      </c>
      <c r="H6" s="296">
        <v>39</v>
      </c>
      <c r="I6" s="296">
        <v>12</v>
      </c>
      <c r="J6" s="296">
        <v>6</v>
      </c>
      <c r="K6" s="296">
        <v>18</v>
      </c>
      <c r="L6" s="296">
        <v>31</v>
      </c>
      <c r="M6" s="296">
        <v>6</v>
      </c>
      <c r="N6" s="296">
        <v>37</v>
      </c>
      <c r="O6" s="296">
        <v>2</v>
      </c>
      <c r="P6" s="296">
        <v>4</v>
      </c>
      <c r="Q6" s="296">
        <v>6</v>
      </c>
      <c r="R6" s="296">
        <v>7</v>
      </c>
      <c r="S6" s="296">
        <v>2</v>
      </c>
      <c r="T6" s="296">
        <v>9</v>
      </c>
      <c r="U6" s="296">
        <v>7</v>
      </c>
      <c r="V6" s="296">
        <v>16</v>
      </c>
      <c r="W6" s="296">
        <v>23</v>
      </c>
    </row>
    <row r="7" spans="1:23" ht="52.5" customHeight="1" x14ac:dyDescent="0.35">
      <c r="A7" s="258">
        <v>3</v>
      </c>
      <c r="B7" s="217" t="s">
        <v>910</v>
      </c>
      <c r="C7" s="296">
        <v>18271</v>
      </c>
      <c r="D7" s="296">
        <v>5169</v>
      </c>
      <c r="E7" s="296">
        <v>23440</v>
      </c>
      <c r="F7" s="296">
        <v>1526</v>
      </c>
      <c r="G7" s="296">
        <v>409</v>
      </c>
      <c r="H7" s="296">
        <v>1935</v>
      </c>
      <c r="I7" s="296">
        <v>380</v>
      </c>
      <c r="J7" s="296">
        <v>150</v>
      </c>
      <c r="K7" s="296">
        <v>530</v>
      </c>
      <c r="L7" s="296">
        <v>2976</v>
      </c>
      <c r="M7" s="296">
        <v>688</v>
      </c>
      <c r="N7" s="296">
        <v>3664</v>
      </c>
      <c r="O7" s="296">
        <v>33</v>
      </c>
      <c r="P7" s="296">
        <v>149</v>
      </c>
      <c r="Q7" s="296">
        <v>182</v>
      </c>
      <c r="R7" s="296">
        <v>540</v>
      </c>
      <c r="S7" s="296">
        <v>114</v>
      </c>
      <c r="T7" s="296">
        <v>654</v>
      </c>
      <c r="U7" s="296">
        <v>840</v>
      </c>
      <c r="V7" s="296">
        <v>363</v>
      </c>
      <c r="W7" s="296">
        <v>1203</v>
      </c>
    </row>
    <row r="8" spans="1:23" ht="52.5" customHeight="1" x14ac:dyDescent="0.35">
      <c r="A8" s="258">
        <v>4</v>
      </c>
      <c r="B8" s="217" t="s">
        <v>911</v>
      </c>
      <c r="C8" s="296">
        <v>39321</v>
      </c>
      <c r="D8" s="296">
        <v>27621</v>
      </c>
      <c r="E8" s="296">
        <v>66942</v>
      </c>
      <c r="F8" s="296">
        <v>5175</v>
      </c>
      <c r="G8" s="296">
        <v>2625</v>
      </c>
      <c r="H8" s="296">
        <v>7800</v>
      </c>
      <c r="I8" s="296">
        <v>1368</v>
      </c>
      <c r="J8" s="296">
        <v>771</v>
      </c>
      <c r="K8" s="296">
        <v>2139</v>
      </c>
      <c r="L8" s="296">
        <v>10013</v>
      </c>
      <c r="M8" s="296">
        <v>6661</v>
      </c>
      <c r="N8" s="296">
        <v>16674</v>
      </c>
      <c r="O8" s="296">
        <v>108</v>
      </c>
      <c r="P8" s="296">
        <v>273</v>
      </c>
      <c r="Q8" s="296">
        <v>381</v>
      </c>
      <c r="R8" s="296">
        <v>2926</v>
      </c>
      <c r="S8" s="296">
        <v>1661</v>
      </c>
      <c r="T8" s="296">
        <v>4587</v>
      </c>
      <c r="U8" s="296">
        <v>2501</v>
      </c>
      <c r="V8" s="296">
        <v>3081</v>
      </c>
      <c r="W8" s="296">
        <v>5582</v>
      </c>
    </row>
    <row r="9" spans="1:23" ht="52.5" customHeight="1" x14ac:dyDescent="0.35">
      <c r="A9" s="258">
        <v>5</v>
      </c>
      <c r="B9" s="217" t="s">
        <v>912</v>
      </c>
      <c r="C9" s="296">
        <v>661</v>
      </c>
      <c r="D9" s="296">
        <v>391</v>
      </c>
      <c r="E9" s="296">
        <v>1052</v>
      </c>
      <c r="F9" s="296">
        <v>111</v>
      </c>
      <c r="G9" s="296">
        <v>56</v>
      </c>
      <c r="H9" s="296">
        <v>167</v>
      </c>
      <c r="I9" s="296">
        <v>17</v>
      </c>
      <c r="J9" s="296">
        <v>9</v>
      </c>
      <c r="K9" s="296">
        <v>26</v>
      </c>
      <c r="L9" s="296">
        <v>191</v>
      </c>
      <c r="M9" s="296">
        <v>122</v>
      </c>
      <c r="N9" s="296">
        <v>313</v>
      </c>
      <c r="O9" s="296">
        <v>1</v>
      </c>
      <c r="P9" s="296">
        <v>6</v>
      </c>
      <c r="Q9" s="296">
        <v>7</v>
      </c>
      <c r="R9" s="296">
        <v>40</v>
      </c>
      <c r="S9" s="296">
        <v>10</v>
      </c>
      <c r="T9" s="296">
        <v>50</v>
      </c>
      <c r="U9" s="296">
        <v>35</v>
      </c>
      <c r="V9" s="296">
        <v>22</v>
      </c>
      <c r="W9" s="296">
        <v>57</v>
      </c>
    </row>
    <row r="10" spans="1:23" ht="52.5" customHeight="1" x14ac:dyDescent="0.35">
      <c r="A10" s="258">
        <v>6</v>
      </c>
      <c r="B10" s="217" t="s">
        <v>913</v>
      </c>
      <c r="C10" s="296">
        <v>67844</v>
      </c>
      <c r="D10" s="296">
        <v>51729</v>
      </c>
      <c r="E10" s="296">
        <v>119573</v>
      </c>
      <c r="F10" s="296">
        <v>2880</v>
      </c>
      <c r="G10" s="296">
        <v>1931</v>
      </c>
      <c r="H10" s="296">
        <v>4811</v>
      </c>
      <c r="I10" s="296">
        <v>999</v>
      </c>
      <c r="J10" s="296">
        <v>1158</v>
      </c>
      <c r="K10" s="296">
        <v>2157</v>
      </c>
      <c r="L10" s="296">
        <v>12235</v>
      </c>
      <c r="M10" s="296">
        <v>7782</v>
      </c>
      <c r="N10" s="296">
        <v>20017</v>
      </c>
      <c r="O10" s="296">
        <v>271</v>
      </c>
      <c r="P10" s="296">
        <v>401</v>
      </c>
      <c r="Q10" s="296">
        <v>672</v>
      </c>
      <c r="R10" s="296">
        <v>4021</v>
      </c>
      <c r="S10" s="296">
        <v>2093</v>
      </c>
      <c r="T10" s="296">
        <v>6114</v>
      </c>
      <c r="U10" s="296">
        <v>3914</v>
      </c>
      <c r="V10" s="296">
        <v>4784</v>
      </c>
      <c r="W10" s="296">
        <v>8698</v>
      </c>
    </row>
    <row r="11" spans="1:23" ht="52.5" customHeight="1" x14ac:dyDescent="0.35">
      <c r="A11" s="258">
        <v>7</v>
      </c>
      <c r="B11" s="217" t="s">
        <v>914</v>
      </c>
      <c r="C11" s="25">
        <v>972</v>
      </c>
      <c r="D11" s="27">
        <v>509</v>
      </c>
      <c r="E11" s="25">
        <v>1481</v>
      </c>
      <c r="F11" s="25">
        <v>79</v>
      </c>
      <c r="G11" s="25">
        <v>46</v>
      </c>
      <c r="H11" s="25">
        <v>125</v>
      </c>
      <c r="I11" s="25">
        <v>10</v>
      </c>
      <c r="J11" s="25">
        <v>5</v>
      </c>
      <c r="K11" s="25">
        <v>15</v>
      </c>
      <c r="L11" s="25">
        <v>195</v>
      </c>
      <c r="M11" s="25">
        <v>110</v>
      </c>
      <c r="N11" s="25">
        <v>305</v>
      </c>
      <c r="O11" s="25">
        <v>1</v>
      </c>
      <c r="P11" s="25">
        <v>1</v>
      </c>
      <c r="Q11" s="25">
        <v>2</v>
      </c>
      <c r="R11" s="25">
        <v>165</v>
      </c>
      <c r="S11" s="25">
        <v>64</v>
      </c>
      <c r="T11" s="25">
        <v>229</v>
      </c>
      <c r="U11" s="25">
        <v>18</v>
      </c>
      <c r="V11" s="25">
        <v>38</v>
      </c>
      <c r="W11" s="25">
        <v>56</v>
      </c>
    </row>
    <row r="12" spans="1:23" ht="52.5" customHeight="1" x14ac:dyDescent="0.35">
      <c r="A12" s="258">
        <v>8</v>
      </c>
      <c r="B12" s="217" t="s">
        <v>915</v>
      </c>
      <c r="C12" s="25">
        <v>3766</v>
      </c>
      <c r="D12" s="25">
        <v>1114</v>
      </c>
      <c r="E12" s="25">
        <v>4880</v>
      </c>
      <c r="F12" s="25">
        <v>257</v>
      </c>
      <c r="G12" s="25">
        <v>51</v>
      </c>
      <c r="H12" s="25">
        <v>308</v>
      </c>
      <c r="I12" s="25">
        <v>113</v>
      </c>
      <c r="J12" s="25">
        <v>28</v>
      </c>
      <c r="K12" s="25">
        <v>141</v>
      </c>
      <c r="L12" s="25">
        <v>425</v>
      </c>
      <c r="M12" s="25">
        <v>125</v>
      </c>
      <c r="N12" s="25">
        <v>550</v>
      </c>
      <c r="O12" s="25">
        <v>10</v>
      </c>
      <c r="P12" s="25">
        <v>29</v>
      </c>
      <c r="Q12" s="25">
        <v>39</v>
      </c>
      <c r="R12" s="25">
        <v>64</v>
      </c>
      <c r="S12" s="25">
        <v>19</v>
      </c>
      <c r="T12" s="25">
        <v>83</v>
      </c>
      <c r="U12" s="25">
        <v>392</v>
      </c>
      <c r="V12" s="25">
        <v>103</v>
      </c>
      <c r="W12" s="25">
        <v>495</v>
      </c>
    </row>
    <row r="13" spans="1:23" ht="52.5" customHeight="1" x14ac:dyDescent="0.35">
      <c r="A13" s="258">
        <v>9</v>
      </c>
      <c r="B13" s="217" t="s">
        <v>916</v>
      </c>
      <c r="C13" s="25">
        <v>1133</v>
      </c>
      <c r="D13" s="25">
        <v>1239</v>
      </c>
      <c r="E13" s="25">
        <v>2372</v>
      </c>
      <c r="F13" s="25">
        <v>104</v>
      </c>
      <c r="G13" s="25">
        <v>80</v>
      </c>
      <c r="H13" s="25">
        <v>184</v>
      </c>
      <c r="I13" s="25">
        <v>31</v>
      </c>
      <c r="J13" s="25">
        <v>20</v>
      </c>
      <c r="K13" s="25">
        <v>51</v>
      </c>
      <c r="L13" s="25">
        <v>167</v>
      </c>
      <c r="M13" s="25">
        <v>409</v>
      </c>
      <c r="N13" s="25">
        <v>576</v>
      </c>
      <c r="O13" s="25">
        <v>6</v>
      </c>
      <c r="P13" s="25">
        <v>7</v>
      </c>
      <c r="Q13" s="25">
        <v>13</v>
      </c>
      <c r="R13" s="25">
        <v>212</v>
      </c>
      <c r="S13" s="25">
        <v>146</v>
      </c>
      <c r="T13" s="25">
        <v>358</v>
      </c>
      <c r="U13" s="25">
        <v>166</v>
      </c>
      <c r="V13" s="25">
        <v>150</v>
      </c>
      <c r="W13" s="25">
        <v>316</v>
      </c>
    </row>
    <row r="14" spans="1:23" ht="52.5" customHeight="1" x14ac:dyDescent="0.35">
      <c r="A14" s="258">
        <v>10</v>
      </c>
      <c r="B14" s="217" t="s">
        <v>917</v>
      </c>
      <c r="C14" s="25">
        <v>34627</v>
      </c>
      <c r="D14" s="25">
        <v>28374</v>
      </c>
      <c r="E14" s="25">
        <v>63001</v>
      </c>
      <c r="F14" s="25">
        <v>1592</v>
      </c>
      <c r="G14" s="25">
        <v>1279</v>
      </c>
      <c r="H14" s="25">
        <v>2871</v>
      </c>
      <c r="I14" s="25">
        <v>201</v>
      </c>
      <c r="J14" s="25">
        <v>167</v>
      </c>
      <c r="K14" s="25">
        <v>368</v>
      </c>
      <c r="L14" s="25">
        <v>11741</v>
      </c>
      <c r="M14" s="25">
        <v>10135</v>
      </c>
      <c r="N14" s="25">
        <v>21876</v>
      </c>
      <c r="O14" s="25">
        <v>111</v>
      </c>
      <c r="P14" s="25">
        <v>125</v>
      </c>
      <c r="Q14" s="25">
        <v>236</v>
      </c>
      <c r="R14" s="25">
        <v>1228</v>
      </c>
      <c r="S14" s="25">
        <v>762</v>
      </c>
      <c r="T14" s="25">
        <v>1990</v>
      </c>
      <c r="U14" s="25">
        <v>2644</v>
      </c>
      <c r="V14" s="25">
        <v>3153</v>
      </c>
      <c r="W14" s="25">
        <v>5797</v>
      </c>
    </row>
    <row r="15" spans="1:23" s="298" customFormat="1" ht="52.5" customHeight="1" x14ac:dyDescent="0.35">
      <c r="A15" s="865" t="s">
        <v>12</v>
      </c>
      <c r="B15" s="865"/>
      <c r="C15" s="41">
        <v>178351</v>
      </c>
      <c r="D15" s="41">
        <v>120756</v>
      </c>
      <c r="E15" s="41">
        <v>299107</v>
      </c>
      <c r="F15" s="93">
        <v>13130</v>
      </c>
      <c r="G15" s="93">
        <v>6889</v>
      </c>
      <c r="H15" s="93">
        <v>20019</v>
      </c>
      <c r="I15" s="93">
        <v>3814</v>
      </c>
      <c r="J15" s="93">
        <v>2738</v>
      </c>
      <c r="K15" s="93">
        <v>6552</v>
      </c>
      <c r="L15" s="93">
        <v>40080</v>
      </c>
      <c r="M15" s="93">
        <v>26748</v>
      </c>
      <c r="N15" s="93">
        <v>66828</v>
      </c>
      <c r="O15" s="93">
        <v>581</v>
      </c>
      <c r="P15" s="93">
        <v>1202</v>
      </c>
      <c r="Q15" s="93">
        <v>1783</v>
      </c>
      <c r="R15" s="93">
        <v>11391</v>
      </c>
      <c r="S15" s="93">
        <v>5605</v>
      </c>
      <c r="T15" s="93">
        <v>16996</v>
      </c>
      <c r="U15" s="93">
        <v>11173</v>
      </c>
      <c r="V15" s="93">
        <v>12219</v>
      </c>
      <c r="W15" s="93">
        <v>23392</v>
      </c>
    </row>
    <row r="16" spans="1:23" s="293" customFormat="1" ht="52.5" customHeight="1" x14ac:dyDescent="0.35">
      <c r="A16" s="848"/>
      <c r="B16" s="848"/>
      <c r="C16" s="863" t="s">
        <v>1014</v>
      </c>
      <c r="D16" s="863"/>
      <c r="E16" s="863"/>
      <c r="F16" s="863"/>
      <c r="G16" s="863"/>
      <c r="H16" s="863"/>
      <c r="I16" s="863"/>
      <c r="J16" s="863"/>
      <c r="K16" s="863"/>
      <c r="L16" s="863" t="str">
        <f>C16</f>
        <v>Table 30. Social Group-wise Number of Teachers in various types of Universities 
(Based on Actual Response)
(b) Affiliated and Constituent Colleges</v>
      </c>
      <c r="M16" s="863"/>
      <c r="N16" s="863"/>
      <c r="O16" s="863"/>
      <c r="P16" s="863"/>
      <c r="Q16" s="863"/>
      <c r="R16" s="863"/>
      <c r="S16" s="863"/>
      <c r="T16" s="863"/>
      <c r="U16" s="863"/>
      <c r="V16" s="863"/>
      <c r="W16" s="863"/>
    </row>
    <row r="17" spans="1:23" ht="52.5" customHeight="1" x14ac:dyDescent="0.35">
      <c r="A17" s="258">
        <v>1</v>
      </c>
      <c r="B17" s="217" t="s">
        <v>2</v>
      </c>
      <c r="C17" s="25">
        <v>16384</v>
      </c>
      <c r="D17" s="25">
        <v>18919</v>
      </c>
      <c r="E17" s="25">
        <v>35303</v>
      </c>
      <c r="F17" s="25">
        <v>1597</v>
      </c>
      <c r="G17" s="25">
        <v>1268</v>
      </c>
      <c r="H17" s="25">
        <v>2865</v>
      </c>
      <c r="I17" s="25">
        <v>3646</v>
      </c>
      <c r="J17" s="25">
        <v>5205</v>
      </c>
      <c r="K17" s="25">
        <v>8851</v>
      </c>
      <c r="L17" s="25">
        <v>3792</v>
      </c>
      <c r="M17" s="25">
        <v>3632</v>
      </c>
      <c r="N17" s="25">
        <v>7424</v>
      </c>
      <c r="O17" s="25">
        <v>138</v>
      </c>
      <c r="P17" s="25">
        <v>264</v>
      </c>
      <c r="Q17" s="25">
        <v>402</v>
      </c>
      <c r="R17" s="25">
        <v>807</v>
      </c>
      <c r="S17" s="25">
        <v>425</v>
      </c>
      <c r="T17" s="25">
        <v>1232</v>
      </c>
      <c r="U17" s="25">
        <v>3719</v>
      </c>
      <c r="V17" s="25">
        <v>5615</v>
      </c>
      <c r="W17" s="25">
        <v>9334</v>
      </c>
    </row>
    <row r="18" spans="1:23" ht="52.5" customHeight="1" x14ac:dyDescent="0.35">
      <c r="A18" s="258">
        <v>2</v>
      </c>
      <c r="B18" s="217" t="s">
        <v>5</v>
      </c>
      <c r="C18" s="25">
        <v>668220</v>
      </c>
      <c r="D18" s="25">
        <v>559949</v>
      </c>
      <c r="E18" s="25">
        <v>1228169</v>
      </c>
      <c r="F18" s="25">
        <v>75013</v>
      </c>
      <c r="G18" s="25">
        <v>48597</v>
      </c>
      <c r="H18" s="25">
        <v>123610</v>
      </c>
      <c r="I18" s="25">
        <v>16209</v>
      </c>
      <c r="J18" s="25">
        <v>11300</v>
      </c>
      <c r="K18" s="25">
        <v>27509</v>
      </c>
      <c r="L18" s="25">
        <v>236891</v>
      </c>
      <c r="M18" s="25">
        <v>193108</v>
      </c>
      <c r="N18" s="25">
        <v>429999</v>
      </c>
      <c r="O18" s="25">
        <v>2764</v>
      </c>
      <c r="P18" s="25">
        <v>4467</v>
      </c>
      <c r="Q18" s="25">
        <v>7231</v>
      </c>
      <c r="R18" s="25">
        <v>42052</v>
      </c>
      <c r="S18" s="25">
        <v>29483</v>
      </c>
      <c r="T18" s="25">
        <v>71535</v>
      </c>
      <c r="U18" s="25">
        <v>34768</v>
      </c>
      <c r="V18" s="25">
        <v>62303</v>
      </c>
      <c r="W18" s="25">
        <v>97071</v>
      </c>
    </row>
    <row r="19" spans="1:23" s="298" customFormat="1" ht="52.5" customHeight="1" x14ac:dyDescent="0.35">
      <c r="A19" s="865" t="s">
        <v>12</v>
      </c>
      <c r="B19" s="865"/>
      <c r="C19" s="41">
        <v>684604</v>
      </c>
      <c r="D19" s="41">
        <v>578868</v>
      </c>
      <c r="E19" s="41">
        <v>1263472</v>
      </c>
      <c r="F19" s="41">
        <v>76610</v>
      </c>
      <c r="G19" s="41">
        <v>49865</v>
      </c>
      <c r="H19" s="41">
        <v>126475</v>
      </c>
      <c r="I19" s="41">
        <v>19855</v>
      </c>
      <c r="J19" s="41">
        <v>16505</v>
      </c>
      <c r="K19" s="41">
        <v>36360</v>
      </c>
      <c r="L19" s="41">
        <v>240683</v>
      </c>
      <c r="M19" s="41">
        <v>196740</v>
      </c>
      <c r="N19" s="41">
        <v>437423</v>
      </c>
      <c r="O19" s="41">
        <v>2902</v>
      </c>
      <c r="P19" s="41">
        <v>4731</v>
      </c>
      <c r="Q19" s="41">
        <v>7633</v>
      </c>
      <c r="R19" s="41">
        <v>42859</v>
      </c>
      <c r="S19" s="41">
        <v>29908</v>
      </c>
      <c r="T19" s="41">
        <v>72767</v>
      </c>
      <c r="U19" s="41">
        <v>38487</v>
      </c>
      <c r="V19" s="41">
        <v>67918</v>
      </c>
      <c r="W19" s="41">
        <v>106405</v>
      </c>
    </row>
    <row r="20" spans="1:23" x14ac:dyDescent="0.35">
      <c r="L20" s="299"/>
    </row>
  </sheetData>
  <mergeCells count="16">
    <mergeCell ref="A2:A3"/>
    <mergeCell ref="A15:B15"/>
    <mergeCell ref="A19:B19"/>
    <mergeCell ref="A16:B16"/>
    <mergeCell ref="C16:K16"/>
    <mergeCell ref="L16:W16"/>
    <mergeCell ref="C1:K1"/>
    <mergeCell ref="L1:W1"/>
    <mergeCell ref="B2:B3"/>
    <mergeCell ref="C2:E2"/>
    <mergeCell ref="F2:H2"/>
    <mergeCell ref="I2:K2"/>
    <mergeCell ref="L2:N2"/>
    <mergeCell ref="O2:Q2"/>
    <mergeCell ref="R2:T2"/>
    <mergeCell ref="U2:W2"/>
  </mergeCells>
  <pageMargins left="0.51181102362204722" right="0.15748031496062992" top="0.39370078740157483" bottom="0.39370078740157483" header="0.31496062992125984" footer="0.19685039370078741"/>
  <pageSetup paperSize="9" scale="70" firstPageNumber="2" orientation="portrait" r:id="rId1"/>
  <headerFooter>
    <oddFooter>&amp;L&amp;"Arial,Italic"&amp;9AISHE 2023-24&amp;RT-30</oddFooter>
  </headerFooter>
  <colBreaks count="1" manualBreakCount="1">
    <brk id="11" max="18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9D54-E447-48A2-AA9E-B18F2A3E8856}">
  <sheetPr>
    <pageSetUpPr fitToPage="1"/>
  </sheetPr>
  <dimension ref="A1:N41"/>
  <sheetViews>
    <sheetView view="pageBreakPreview" topLeftCell="B16" zoomScale="120" zoomScaleNormal="100" zoomScaleSheetLayoutView="120" workbookViewId="0">
      <selection activeCell="B16" sqref="B16:M16"/>
    </sheetView>
  </sheetViews>
  <sheetFormatPr defaultColWidth="9.453125" defaultRowHeight="15.5" x14ac:dyDescent="0.35"/>
  <cols>
    <col min="1" max="1" width="5" style="382" customWidth="1"/>
    <col min="2" max="2" width="22.1796875" style="383" customWidth="1"/>
    <col min="3" max="8" width="11.453125" style="382" customWidth="1"/>
    <col min="9" max="9" width="12" style="382" customWidth="1"/>
    <col min="10" max="10" width="12.453125" style="382" customWidth="1"/>
    <col min="11" max="11" width="12" style="382" customWidth="1"/>
    <col min="12" max="12" width="12.7265625" style="382" customWidth="1"/>
    <col min="13" max="14" width="11.453125" style="382" customWidth="1"/>
    <col min="15" max="16384" width="9.453125" style="382"/>
  </cols>
  <sheetData>
    <row r="1" spans="1:14" ht="38.25" customHeight="1" x14ac:dyDescent="0.35">
      <c r="A1" s="291"/>
      <c r="B1" s="708" t="s">
        <v>939</v>
      </c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</row>
    <row r="2" spans="1:14" ht="17.25" customHeight="1" x14ac:dyDescent="0.3">
      <c r="A2" s="711" t="s">
        <v>84</v>
      </c>
      <c r="B2" s="711" t="s">
        <v>938</v>
      </c>
      <c r="C2" s="868" t="s">
        <v>937</v>
      </c>
      <c r="D2" s="868"/>
      <c r="E2" s="868"/>
      <c r="F2" s="868" t="s">
        <v>936</v>
      </c>
      <c r="G2" s="868"/>
      <c r="H2" s="868"/>
      <c r="I2" s="868" t="s">
        <v>935</v>
      </c>
      <c r="J2" s="868"/>
      <c r="K2" s="868"/>
      <c r="L2" s="868" t="s">
        <v>934</v>
      </c>
      <c r="M2" s="868"/>
      <c r="N2" s="868"/>
    </row>
    <row r="3" spans="1:14" ht="19.399999999999999" customHeight="1" x14ac:dyDescent="0.3">
      <c r="A3" s="711"/>
      <c r="B3" s="711"/>
      <c r="C3" s="386" t="s">
        <v>92</v>
      </c>
      <c r="D3" s="386" t="s">
        <v>933</v>
      </c>
      <c r="E3" s="386" t="s">
        <v>932</v>
      </c>
      <c r="F3" s="386" t="s">
        <v>92</v>
      </c>
      <c r="G3" s="386" t="s">
        <v>933</v>
      </c>
      <c r="H3" s="386" t="s">
        <v>932</v>
      </c>
      <c r="I3" s="386" t="s">
        <v>92</v>
      </c>
      <c r="J3" s="386" t="s">
        <v>933</v>
      </c>
      <c r="K3" s="386" t="s">
        <v>932</v>
      </c>
      <c r="L3" s="386" t="s">
        <v>92</v>
      </c>
      <c r="M3" s="386" t="s">
        <v>933</v>
      </c>
      <c r="N3" s="386" t="s">
        <v>932</v>
      </c>
    </row>
    <row r="4" spans="1:14" x14ac:dyDescent="0.35">
      <c r="A4" s="325">
        <v>1</v>
      </c>
      <c r="B4" s="325">
        <v>2</v>
      </c>
      <c r="C4" s="325">
        <v>3</v>
      </c>
      <c r="D4" s="325">
        <v>4</v>
      </c>
      <c r="E4" s="325">
        <v>5</v>
      </c>
      <c r="F4" s="325">
        <v>6</v>
      </c>
      <c r="G4" s="325">
        <v>7</v>
      </c>
      <c r="H4" s="325">
        <v>8</v>
      </c>
      <c r="I4" s="325">
        <v>9</v>
      </c>
      <c r="J4" s="325">
        <v>10</v>
      </c>
      <c r="K4" s="325">
        <v>11</v>
      </c>
      <c r="L4" s="325">
        <v>12</v>
      </c>
      <c r="M4" s="325">
        <v>13</v>
      </c>
      <c r="N4" s="325">
        <v>14</v>
      </c>
    </row>
    <row r="5" spans="1:14" s="385" customFormat="1" ht="30" customHeight="1" x14ac:dyDescent="0.35">
      <c r="A5" s="258">
        <v>1</v>
      </c>
      <c r="B5" s="384" t="s">
        <v>56</v>
      </c>
      <c r="C5" s="25">
        <v>2</v>
      </c>
      <c r="D5" s="25">
        <v>208</v>
      </c>
      <c r="E5" s="25">
        <v>130</v>
      </c>
      <c r="F5" s="25">
        <v>2</v>
      </c>
      <c r="G5" s="25">
        <v>180</v>
      </c>
      <c r="H5" s="25">
        <v>102</v>
      </c>
      <c r="I5" s="25"/>
      <c r="J5" s="25"/>
      <c r="K5" s="25"/>
      <c r="L5" s="25">
        <v>4</v>
      </c>
      <c r="M5" s="25">
        <v>388</v>
      </c>
      <c r="N5" s="25">
        <v>232</v>
      </c>
    </row>
    <row r="6" spans="1:14" ht="30" customHeight="1" x14ac:dyDescent="0.35">
      <c r="A6" s="258">
        <v>2</v>
      </c>
      <c r="B6" s="384" t="s">
        <v>13</v>
      </c>
      <c r="C6" s="25">
        <v>954</v>
      </c>
      <c r="D6" s="25">
        <v>243909</v>
      </c>
      <c r="E6" s="25">
        <v>163321</v>
      </c>
      <c r="F6" s="25">
        <v>1485</v>
      </c>
      <c r="G6" s="25">
        <v>423597</v>
      </c>
      <c r="H6" s="25">
        <v>232774</v>
      </c>
      <c r="I6" s="25">
        <v>29</v>
      </c>
      <c r="J6" s="25">
        <v>6266</v>
      </c>
      <c r="K6" s="25">
        <v>3896</v>
      </c>
      <c r="L6" s="25">
        <v>2468</v>
      </c>
      <c r="M6" s="25">
        <v>673772</v>
      </c>
      <c r="N6" s="25">
        <v>399991</v>
      </c>
    </row>
    <row r="7" spans="1:14" ht="30" customHeight="1" x14ac:dyDescent="0.35">
      <c r="A7" s="258">
        <v>3</v>
      </c>
      <c r="B7" s="384" t="s">
        <v>14</v>
      </c>
      <c r="C7" s="25">
        <v>58</v>
      </c>
      <c r="D7" s="25">
        <v>5844</v>
      </c>
      <c r="E7" s="25">
        <v>5183</v>
      </c>
      <c r="F7" s="25">
        <v>76</v>
      </c>
      <c r="G7" s="25">
        <v>6627</v>
      </c>
      <c r="H7" s="25">
        <v>5330</v>
      </c>
      <c r="I7" s="25"/>
      <c r="J7" s="25"/>
      <c r="K7" s="25"/>
      <c r="L7" s="25">
        <v>134</v>
      </c>
      <c r="M7" s="25">
        <v>12471</v>
      </c>
      <c r="N7" s="25">
        <v>10513</v>
      </c>
    </row>
    <row r="8" spans="1:14" ht="30" customHeight="1" x14ac:dyDescent="0.35">
      <c r="A8" s="258">
        <v>4</v>
      </c>
      <c r="B8" s="384" t="s">
        <v>15</v>
      </c>
      <c r="C8" s="25">
        <v>430</v>
      </c>
      <c r="D8" s="25">
        <v>45128</v>
      </c>
      <c r="E8" s="25">
        <v>35887</v>
      </c>
      <c r="F8" s="25">
        <v>718</v>
      </c>
      <c r="G8" s="25">
        <v>63185</v>
      </c>
      <c r="H8" s="25">
        <v>47304</v>
      </c>
      <c r="I8" s="25">
        <v>16</v>
      </c>
      <c r="J8" s="25">
        <v>1192</v>
      </c>
      <c r="K8" s="25">
        <v>1220</v>
      </c>
      <c r="L8" s="25">
        <v>1164</v>
      </c>
      <c r="M8" s="25">
        <v>109505</v>
      </c>
      <c r="N8" s="25">
        <v>84411</v>
      </c>
    </row>
    <row r="9" spans="1:14" s="385" customFormat="1" ht="30" customHeight="1" x14ac:dyDescent="0.35">
      <c r="A9" s="258">
        <v>5</v>
      </c>
      <c r="B9" s="384" t="s">
        <v>16</v>
      </c>
      <c r="C9" s="25">
        <v>736</v>
      </c>
      <c r="D9" s="25">
        <v>99289</v>
      </c>
      <c r="E9" s="25">
        <v>61673</v>
      </c>
      <c r="F9" s="25">
        <v>896</v>
      </c>
      <c r="G9" s="25">
        <v>104494</v>
      </c>
      <c r="H9" s="25">
        <v>55487</v>
      </c>
      <c r="I9" s="25">
        <v>24</v>
      </c>
      <c r="J9" s="25">
        <v>2632</v>
      </c>
      <c r="K9" s="25">
        <v>1344</v>
      </c>
      <c r="L9" s="25">
        <v>1656</v>
      </c>
      <c r="M9" s="25">
        <v>206415</v>
      </c>
      <c r="N9" s="25">
        <v>118504</v>
      </c>
    </row>
    <row r="10" spans="1:14" ht="30" customHeight="1" x14ac:dyDescent="0.35">
      <c r="A10" s="258">
        <v>6</v>
      </c>
      <c r="B10" s="384" t="s">
        <v>17</v>
      </c>
      <c r="C10" s="25">
        <v>32</v>
      </c>
      <c r="D10" s="25">
        <v>7448</v>
      </c>
      <c r="E10" s="25">
        <v>6111</v>
      </c>
      <c r="F10" s="25">
        <v>62</v>
      </c>
      <c r="G10" s="25">
        <v>11093</v>
      </c>
      <c r="H10" s="25">
        <v>9846</v>
      </c>
      <c r="I10" s="25">
        <v>3</v>
      </c>
      <c r="J10" s="25">
        <v>148</v>
      </c>
      <c r="K10" s="25">
        <v>129</v>
      </c>
      <c r="L10" s="25">
        <v>97</v>
      </c>
      <c r="M10" s="25">
        <v>18689</v>
      </c>
      <c r="N10" s="25">
        <v>16086</v>
      </c>
    </row>
    <row r="11" spans="1:14" ht="30" customHeight="1" x14ac:dyDescent="0.35">
      <c r="A11" s="258">
        <v>7</v>
      </c>
      <c r="B11" s="384" t="s">
        <v>18</v>
      </c>
      <c r="C11" s="25">
        <v>357</v>
      </c>
      <c r="D11" s="25">
        <v>40183</v>
      </c>
      <c r="E11" s="25">
        <v>24366</v>
      </c>
      <c r="F11" s="25">
        <v>530</v>
      </c>
      <c r="G11" s="25">
        <v>60817</v>
      </c>
      <c r="H11" s="25">
        <v>36317</v>
      </c>
      <c r="I11" s="25">
        <v>7</v>
      </c>
      <c r="J11" s="25">
        <v>490</v>
      </c>
      <c r="K11" s="25">
        <v>231</v>
      </c>
      <c r="L11" s="25">
        <v>894</v>
      </c>
      <c r="M11" s="25">
        <v>101490</v>
      </c>
      <c r="N11" s="25">
        <v>60914</v>
      </c>
    </row>
    <row r="12" spans="1:14" ht="30" customHeight="1" x14ac:dyDescent="0.35">
      <c r="A12" s="258">
        <v>8</v>
      </c>
      <c r="B12" s="384" t="s">
        <v>19</v>
      </c>
      <c r="C12" s="25">
        <v>150</v>
      </c>
      <c r="D12" s="25">
        <v>26301</v>
      </c>
      <c r="E12" s="25">
        <v>22622</v>
      </c>
      <c r="F12" s="25">
        <v>166</v>
      </c>
      <c r="G12" s="25">
        <v>28133</v>
      </c>
      <c r="H12" s="25">
        <v>22085</v>
      </c>
      <c r="I12" s="25">
        <v>22</v>
      </c>
      <c r="J12" s="25">
        <v>4373</v>
      </c>
      <c r="K12" s="25">
        <v>4522</v>
      </c>
      <c r="L12" s="25">
        <v>338</v>
      </c>
      <c r="M12" s="25">
        <v>58807</v>
      </c>
      <c r="N12" s="25">
        <v>49229</v>
      </c>
    </row>
    <row r="13" spans="1:14" ht="30" customHeight="1" x14ac:dyDescent="0.35">
      <c r="A13" s="258">
        <v>9</v>
      </c>
      <c r="B13" s="384" t="s">
        <v>20</v>
      </c>
      <c r="C13" s="25">
        <v>50</v>
      </c>
      <c r="D13" s="25">
        <v>8304</v>
      </c>
      <c r="E13" s="25">
        <v>6602</v>
      </c>
      <c r="F13" s="25">
        <v>34</v>
      </c>
      <c r="G13" s="25">
        <v>3233</v>
      </c>
      <c r="H13" s="25">
        <v>2400</v>
      </c>
      <c r="I13" s="25">
        <v>4</v>
      </c>
      <c r="J13" s="25">
        <v>124</v>
      </c>
      <c r="K13" s="25">
        <v>115</v>
      </c>
      <c r="L13" s="25">
        <v>88</v>
      </c>
      <c r="M13" s="25">
        <v>11661</v>
      </c>
      <c r="N13" s="25">
        <v>9117</v>
      </c>
    </row>
    <row r="14" spans="1:14" ht="30" customHeight="1" x14ac:dyDescent="0.35">
      <c r="A14" s="258">
        <v>10</v>
      </c>
      <c r="B14" s="384" t="s">
        <v>21</v>
      </c>
      <c r="C14" s="25">
        <v>1680</v>
      </c>
      <c r="D14" s="25">
        <v>271715</v>
      </c>
      <c r="E14" s="25">
        <v>134513</v>
      </c>
      <c r="F14" s="25">
        <v>1986</v>
      </c>
      <c r="G14" s="25">
        <v>351886</v>
      </c>
      <c r="H14" s="25">
        <v>144750</v>
      </c>
      <c r="I14" s="25">
        <v>109</v>
      </c>
      <c r="J14" s="25">
        <v>17784</v>
      </c>
      <c r="K14" s="25">
        <v>9660</v>
      </c>
      <c r="L14" s="25">
        <v>3775</v>
      </c>
      <c r="M14" s="25">
        <v>641385</v>
      </c>
      <c r="N14" s="25">
        <v>288923</v>
      </c>
    </row>
    <row r="15" spans="1:14" ht="30" customHeight="1" x14ac:dyDescent="0.35">
      <c r="A15" s="258">
        <v>11</v>
      </c>
      <c r="B15" s="384" t="s">
        <v>22</v>
      </c>
      <c r="C15" s="25">
        <v>511</v>
      </c>
      <c r="D15" s="25">
        <v>95298</v>
      </c>
      <c r="E15" s="25">
        <v>55467</v>
      </c>
      <c r="F15" s="25">
        <v>614</v>
      </c>
      <c r="G15" s="25">
        <v>104604</v>
      </c>
      <c r="H15" s="25">
        <v>54441</v>
      </c>
      <c r="I15" s="25">
        <v>27</v>
      </c>
      <c r="J15" s="25">
        <v>3714</v>
      </c>
      <c r="K15" s="25">
        <v>2536</v>
      </c>
      <c r="L15" s="25">
        <v>1152</v>
      </c>
      <c r="M15" s="25">
        <v>203616</v>
      </c>
      <c r="N15" s="25">
        <v>112444</v>
      </c>
    </row>
    <row r="16" spans="1:14" ht="30" customHeight="1" x14ac:dyDescent="0.35">
      <c r="A16" s="258">
        <v>12</v>
      </c>
      <c r="B16" s="384" t="s">
        <v>23</v>
      </c>
      <c r="C16" s="25">
        <v>196</v>
      </c>
      <c r="D16" s="25">
        <v>28941</v>
      </c>
      <c r="E16" s="25">
        <v>18463</v>
      </c>
      <c r="F16" s="25">
        <v>330</v>
      </c>
      <c r="G16" s="25">
        <v>38721</v>
      </c>
      <c r="H16" s="25">
        <v>23213</v>
      </c>
      <c r="I16" s="25">
        <v>10</v>
      </c>
      <c r="J16" s="25">
        <v>2537</v>
      </c>
      <c r="K16" s="25">
        <v>1221</v>
      </c>
      <c r="L16" s="25">
        <v>536</v>
      </c>
      <c r="M16" s="25">
        <v>70199</v>
      </c>
      <c r="N16" s="25">
        <v>42897</v>
      </c>
    </row>
    <row r="17" spans="1:14" ht="30" customHeight="1" x14ac:dyDescent="0.35">
      <c r="A17" s="258">
        <v>13</v>
      </c>
      <c r="B17" s="384" t="s">
        <v>24</v>
      </c>
      <c r="C17" s="25">
        <v>218</v>
      </c>
      <c r="D17" s="25">
        <v>24896</v>
      </c>
      <c r="E17" s="25">
        <v>15956</v>
      </c>
      <c r="F17" s="25">
        <v>267</v>
      </c>
      <c r="G17" s="25">
        <v>26967</v>
      </c>
      <c r="H17" s="25">
        <v>13867</v>
      </c>
      <c r="I17" s="25">
        <v>23</v>
      </c>
      <c r="J17" s="25">
        <v>1571</v>
      </c>
      <c r="K17" s="25">
        <v>800</v>
      </c>
      <c r="L17" s="25">
        <v>508</v>
      </c>
      <c r="M17" s="25">
        <v>53434</v>
      </c>
      <c r="N17" s="25">
        <v>30623</v>
      </c>
    </row>
    <row r="18" spans="1:14" ht="30" customHeight="1" x14ac:dyDescent="0.35">
      <c r="A18" s="258">
        <v>14</v>
      </c>
      <c r="B18" s="384" t="s">
        <v>25</v>
      </c>
      <c r="C18" s="25">
        <v>619</v>
      </c>
      <c r="D18" s="25">
        <v>111053</v>
      </c>
      <c r="E18" s="25">
        <v>59237</v>
      </c>
      <c r="F18" s="25">
        <v>604</v>
      </c>
      <c r="G18" s="25">
        <v>101222</v>
      </c>
      <c r="H18" s="25">
        <v>47639</v>
      </c>
      <c r="I18" s="25">
        <v>18</v>
      </c>
      <c r="J18" s="25">
        <v>818</v>
      </c>
      <c r="K18" s="25">
        <v>519</v>
      </c>
      <c r="L18" s="25">
        <v>1241</v>
      </c>
      <c r="M18" s="25">
        <v>213093</v>
      </c>
      <c r="N18" s="25">
        <v>107395</v>
      </c>
    </row>
    <row r="19" spans="1:14" ht="30" customHeight="1" x14ac:dyDescent="0.35">
      <c r="A19" s="258">
        <v>15</v>
      </c>
      <c r="B19" s="384" t="s">
        <v>26</v>
      </c>
      <c r="C19" s="25">
        <v>3172</v>
      </c>
      <c r="D19" s="25">
        <v>523105</v>
      </c>
      <c r="E19" s="25">
        <v>254440</v>
      </c>
      <c r="F19" s="25">
        <v>3615</v>
      </c>
      <c r="G19" s="25">
        <v>660930</v>
      </c>
      <c r="H19" s="25">
        <v>325945</v>
      </c>
      <c r="I19" s="25">
        <v>107</v>
      </c>
      <c r="J19" s="25">
        <v>16449</v>
      </c>
      <c r="K19" s="25">
        <v>9919</v>
      </c>
      <c r="L19" s="25">
        <v>6894</v>
      </c>
      <c r="M19" s="25">
        <v>1200484</v>
      </c>
      <c r="N19" s="25">
        <v>590304</v>
      </c>
    </row>
    <row r="20" spans="1:14" ht="30" customHeight="1" x14ac:dyDescent="0.35">
      <c r="A20" s="258">
        <v>16</v>
      </c>
      <c r="B20" s="384" t="s">
        <v>27</v>
      </c>
      <c r="C20" s="25">
        <v>922</v>
      </c>
      <c r="D20" s="25">
        <v>108714</v>
      </c>
      <c r="E20" s="25">
        <v>63396</v>
      </c>
      <c r="F20" s="25">
        <v>1561</v>
      </c>
      <c r="G20" s="25">
        <v>222335</v>
      </c>
      <c r="H20" s="25">
        <v>138595</v>
      </c>
      <c r="I20" s="25">
        <v>53</v>
      </c>
      <c r="J20" s="25">
        <v>5159</v>
      </c>
      <c r="K20" s="25">
        <v>3485</v>
      </c>
      <c r="L20" s="25">
        <v>2536</v>
      </c>
      <c r="M20" s="25">
        <v>336208</v>
      </c>
      <c r="N20" s="25">
        <v>205476</v>
      </c>
    </row>
    <row r="21" spans="1:14" s="385" customFormat="1" ht="30" customHeight="1" x14ac:dyDescent="0.35">
      <c r="A21" s="258">
        <v>17</v>
      </c>
      <c r="B21" s="384" t="s">
        <v>28</v>
      </c>
      <c r="C21" s="25">
        <v>7</v>
      </c>
      <c r="D21" s="25">
        <v>398</v>
      </c>
      <c r="E21" s="25">
        <v>340</v>
      </c>
      <c r="F21" s="25">
        <v>10</v>
      </c>
      <c r="G21" s="25">
        <v>450</v>
      </c>
      <c r="H21" s="25">
        <v>314</v>
      </c>
      <c r="I21" s="25">
        <v>1</v>
      </c>
      <c r="J21" s="25">
        <v>50</v>
      </c>
      <c r="K21" s="25"/>
      <c r="L21" s="25">
        <v>18</v>
      </c>
      <c r="M21" s="25">
        <v>898</v>
      </c>
      <c r="N21" s="25">
        <v>654</v>
      </c>
    </row>
    <row r="22" spans="1:14" ht="30" customHeight="1" x14ac:dyDescent="0.35">
      <c r="A22" s="258">
        <v>18</v>
      </c>
      <c r="B22" s="384" t="s">
        <v>82</v>
      </c>
      <c r="C22" s="25">
        <v>4</v>
      </c>
      <c r="D22" s="25">
        <v>280</v>
      </c>
      <c r="E22" s="25">
        <v>148</v>
      </c>
      <c r="F22" s="25">
        <v>2</v>
      </c>
      <c r="G22" s="25">
        <v>292</v>
      </c>
      <c r="H22" s="25">
        <v>187</v>
      </c>
      <c r="I22" s="25"/>
      <c r="J22" s="25"/>
      <c r="K22" s="25"/>
      <c r="L22" s="25">
        <v>6</v>
      </c>
      <c r="M22" s="25">
        <v>572</v>
      </c>
      <c r="N22" s="25">
        <v>335</v>
      </c>
    </row>
    <row r="23" spans="1:14" ht="30" customHeight="1" x14ac:dyDescent="0.35">
      <c r="A23" s="258">
        <v>19</v>
      </c>
      <c r="B23" s="384" t="s">
        <v>29</v>
      </c>
      <c r="C23" s="25">
        <v>818</v>
      </c>
      <c r="D23" s="25">
        <v>115125</v>
      </c>
      <c r="E23" s="25">
        <v>67314</v>
      </c>
      <c r="F23" s="25">
        <v>862</v>
      </c>
      <c r="G23" s="25">
        <v>103519</v>
      </c>
      <c r="H23" s="25">
        <v>57594</v>
      </c>
      <c r="I23" s="25">
        <v>70</v>
      </c>
      <c r="J23" s="25">
        <v>9655</v>
      </c>
      <c r="K23" s="25">
        <v>5186</v>
      </c>
      <c r="L23" s="25">
        <v>1750</v>
      </c>
      <c r="M23" s="25">
        <v>228299</v>
      </c>
      <c r="N23" s="25">
        <v>130094</v>
      </c>
    </row>
    <row r="24" spans="1:14" ht="30" customHeight="1" x14ac:dyDescent="0.35">
      <c r="A24" s="258">
        <v>20</v>
      </c>
      <c r="B24" s="384" t="s">
        <v>30</v>
      </c>
      <c r="C24" s="25">
        <v>2731</v>
      </c>
      <c r="D24" s="25">
        <v>365333</v>
      </c>
      <c r="E24" s="25">
        <v>190448</v>
      </c>
      <c r="F24" s="25">
        <v>3787</v>
      </c>
      <c r="G24" s="25">
        <v>443285</v>
      </c>
      <c r="H24" s="25">
        <v>230288</v>
      </c>
      <c r="I24" s="25">
        <v>178</v>
      </c>
      <c r="J24" s="25">
        <v>18395</v>
      </c>
      <c r="K24" s="25">
        <v>11747</v>
      </c>
      <c r="L24" s="25">
        <v>6696</v>
      </c>
      <c r="M24" s="25">
        <v>827013</v>
      </c>
      <c r="N24" s="25">
        <v>432483</v>
      </c>
    </row>
    <row r="25" spans="1:14" ht="30" customHeight="1" x14ac:dyDescent="0.35">
      <c r="A25" s="258">
        <v>21</v>
      </c>
      <c r="B25" s="384" t="s">
        <v>31</v>
      </c>
      <c r="C25" s="25">
        <v>139</v>
      </c>
      <c r="D25" s="25">
        <v>9464</v>
      </c>
      <c r="E25" s="25">
        <v>6923</v>
      </c>
      <c r="F25" s="25">
        <v>182</v>
      </c>
      <c r="G25" s="25">
        <v>13847</v>
      </c>
      <c r="H25" s="25">
        <v>9649</v>
      </c>
      <c r="I25" s="25">
        <v>11</v>
      </c>
      <c r="J25" s="25">
        <v>731</v>
      </c>
      <c r="K25" s="25">
        <v>381</v>
      </c>
      <c r="L25" s="25">
        <v>332</v>
      </c>
      <c r="M25" s="25">
        <v>24042</v>
      </c>
      <c r="N25" s="25">
        <v>16953</v>
      </c>
    </row>
    <row r="26" spans="1:14" ht="30" customHeight="1" x14ac:dyDescent="0.35">
      <c r="A26" s="258">
        <v>22</v>
      </c>
      <c r="B26" s="384" t="s">
        <v>32</v>
      </c>
      <c r="C26" s="25">
        <v>76</v>
      </c>
      <c r="D26" s="25">
        <v>6131</v>
      </c>
      <c r="E26" s="25">
        <v>4648</v>
      </c>
      <c r="F26" s="25">
        <v>103</v>
      </c>
      <c r="G26" s="25">
        <v>7607</v>
      </c>
      <c r="H26" s="25">
        <v>5975</v>
      </c>
      <c r="I26" s="25">
        <v>20</v>
      </c>
      <c r="J26" s="25">
        <v>1511</v>
      </c>
      <c r="K26" s="25">
        <v>1176</v>
      </c>
      <c r="L26" s="25">
        <v>199</v>
      </c>
      <c r="M26" s="25">
        <v>15249</v>
      </c>
      <c r="N26" s="25">
        <v>11799</v>
      </c>
    </row>
    <row r="27" spans="1:14" ht="30" customHeight="1" x14ac:dyDescent="0.35">
      <c r="A27" s="258">
        <v>23</v>
      </c>
      <c r="B27" s="384" t="s">
        <v>33</v>
      </c>
      <c r="C27" s="25">
        <v>50</v>
      </c>
      <c r="D27" s="25">
        <v>2900</v>
      </c>
      <c r="E27" s="25">
        <v>2450</v>
      </c>
      <c r="F27" s="25">
        <v>63</v>
      </c>
      <c r="G27" s="25">
        <v>3628</v>
      </c>
      <c r="H27" s="25">
        <v>2889</v>
      </c>
      <c r="I27" s="25">
        <v>6</v>
      </c>
      <c r="J27" s="25">
        <v>410</v>
      </c>
      <c r="K27" s="25">
        <v>365</v>
      </c>
      <c r="L27" s="25">
        <v>119</v>
      </c>
      <c r="M27" s="25">
        <v>6938</v>
      </c>
      <c r="N27" s="25">
        <v>5704</v>
      </c>
    </row>
    <row r="28" spans="1:14" ht="30" customHeight="1" x14ac:dyDescent="0.35">
      <c r="A28" s="258">
        <v>24</v>
      </c>
      <c r="B28" s="384" t="s">
        <v>34</v>
      </c>
      <c r="C28" s="25">
        <v>106</v>
      </c>
      <c r="D28" s="25">
        <v>6221</v>
      </c>
      <c r="E28" s="25">
        <v>4210</v>
      </c>
      <c r="F28" s="25">
        <v>101</v>
      </c>
      <c r="G28" s="25">
        <v>7127</v>
      </c>
      <c r="H28" s="25">
        <v>4990</v>
      </c>
      <c r="I28" s="25">
        <v>4</v>
      </c>
      <c r="J28" s="25">
        <v>199</v>
      </c>
      <c r="K28" s="25">
        <v>76</v>
      </c>
      <c r="L28" s="25">
        <v>211</v>
      </c>
      <c r="M28" s="25">
        <v>13547</v>
      </c>
      <c r="N28" s="25">
        <v>9276</v>
      </c>
    </row>
    <row r="29" spans="1:14" ht="30" customHeight="1" x14ac:dyDescent="0.35">
      <c r="A29" s="258">
        <v>25</v>
      </c>
      <c r="B29" s="384" t="s">
        <v>35</v>
      </c>
      <c r="C29" s="25">
        <v>1586</v>
      </c>
      <c r="D29" s="25">
        <v>205762</v>
      </c>
      <c r="E29" s="25">
        <v>157363</v>
      </c>
      <c r="F29" s="25">
        <v>1850</v>
      </c>
      <c r="G29" s="25">
        <v>212416</v>
      </c>
      <c r="H29" s="25">
        <v>148423</v>
      </c>
      <c r="I29" s="25">
        <v>43</v>
      </c>
      <c r="J29" s="25">
        <v>5803</v>
      </c>
      <c r="K29" s="25">
        <v>3775</v>
      </c>
      <c r="L29" s="25">
        <v>3479</v>
      </c>
      <c r="M29" s="25">
        <v>423981</v>
      </c>
      <c r="N29" s="25">
        <v>309561</v>
      </c>
    </row>
    <row r="30" spans="1:14" s="385" customFormat="1" ht="30" customHeight="1" x14ac:dyDescent="0.35">
      <c r="A30" s="258">
        <v>26</v>
      </c>
      <c r="B30" s="384" t="s">
        <v>36</v>
      </c>
      <c r="C30" s="25">
        <v>99</v>
      </c>
      <c r="D30" s="25">
        <v>15844</v>
      </c>
      <c r="E30" s="25">
        <v>10049</v>
      </c>
      <c r="F30" s="25">
        <v>110</v>
      </c>
      <c r="G30" s="25">
        <v>19305</v>
      </c>
      <c r="H30" s="25">
        <v>12672</v>
      </c>
      <c r="I30" s="25">
        <v>3</v>
      </c>
      <c r="J30" s="25">
        <v>435</v>
      </c>
      <c r="K30" s="25">
        <v>282</v>
      </c>
      <c r="L30" s="25">
        <v>212</v>
      </c>
      <c r="M30" s="25">
        <v>35584</v>
      </c>
      <c r="N30" s="25">
        <v>23003</v>
      </c>
    </row>
    <row r="31" spans="1:14" ht="30" customHeight="1" x14ac:dyDescent="0.35">
      <c r="A31" s="258">
        <v>27</v>
      </c>
      <c r="B31" s="384" t="s">
        <v>37</v>
      </c>
      <c r="C31" s="25">
        <v>705</v>
      </c>
      <c r="D31" s="25">
        <v>163779</v>
      </c>
      <c r="E31" s="25">
        <v>90389</v>
      </c>
      <c r="F31" s="25">
        <v>916</v>
      </c>
      <c r="G31" s="25">
        <v>164274</v>
      </c>
      <c r="H31" s="25">
        <v>76984</v>
      </c>
      <c r="I31" s="25">
        <v>36</v>
      </c>
      <c r="J31" s="25">
        <v>7414</v>
      </c>
      <c r="K31" s="25">
        <v>5442</v>
      </c>
      <c r="L31" s="25">
        <v>1657</v>
      </c>
      <c r="M31" s="25">
        <v>335467</v>
      </c>
      <c r="N31" s="25">
        <v>172815</v>
      </c>
    </row>
    <row r="32" spans="1:14" ht="30" customHeight="1" x14ac:dyDescent="0.35">
      <c r="A32" s="258">
        <v>28</v>
      </c>
      <c r="B32" s="384" t="s">
        <v>38</v>
      </c>
      <c r="C32" s="25">
        <v>1025</v>
      </c>
      <c r="D32" s="25">
        <v>133235</v>
      </c>
      <c r="E32" s="25">
        <v>75603</v>
      </c>
      <c r="F32" s="25">
        <v>1153</v>
      </c>
      <c r="G32" s="25">
        <v>139188</v>
      </c>
      <c r="H32" s="25">
        <v>73993</v>
      </c>
      <c r="I32" s="25">
        <v>64</v>
      </c>
      <c r="J32" s="25">
        <v>6639</v>
      </c>
      <c r="K32" s="25">
        <v>3733</v>
      </c>
      <c r="L32" s="25">
        <v>2242</v>
      </c>
      <c r="M32" s="25">
        <v>279062</v>
      </c>
      <c r="N32" s="25">
        <v>153329</v>
      </c>
    </row>
    <row r="33" spans="1:14" ht="30" customHeight="1" x14ac:dyDescent="0.35">
      <c r="A33" s="258">
        <v>29</v>
      </c>
      <c r="B33" s="384" t="s">
        <v>39</v>
      </c>
      <c r="C33" s="25">
        <v>32</v>
      </c>
      <c r="D33" s="25">
        <v>4811</v>
      </c>
      <c r="E33" s="25">
        <v>3279</v>
      </c>
      <c r="F33" s="25">
        <v>38</v>
      </c>
      <c r="G33" s="25">
        <v>3549</v>
      </c>
      <c r="H33" s="25">
        <v>2381</v>
      </c>
      <c r="I33" s="25">
        <v>1</v>
      </c>
      <c r="J33" s="25">
        <v>30</v>
      </c>
      <c r="K33" s="25">
        <v>20</v>
      </c>
      <c r="L33" s="25">
        <v>71</v>
      </c>
      <c r="M33" s="25">
        <v>8390</v>
      </c>
      <c r="N33" s="25">
        <v>5680</v>
      </c>
    </row>
    <row r="34" spans="1:14" ht="30" customHeight="1" x14ac:dyDescent="0.35">
      <c r="A34" s="258">
        <v>30</v>
      </c>
      <c r="B34" s="384" t="s">
        <v>40</v>
      </c>
      <c r="C34" s="25">
        <v>2523</v>
      </c>
      <c r="D34" s="25">
        <v>652099</v>
      </c>
      <c r="E34" s="25">
        <v>361783</v>
      </c>
      <c r="F34" s="25">
        <v>2847</v>
      </c>
      <c r="G34" s="25">
        <v>635947</v>
      </c>
      <c r="H34" s="25">
        <v>329186</v>
      </c>
      <c r="I34" s="25">
        <v>55</v>
      </c>
      <c r="J34" s="25">
        <v>7621</v>
      </c>
      <c r="K34" s="25">
        <v>3027</v>
      </c>
      <c r="L34" s="25">
        <v>5425</v>
      </c>
      <c r="M34" s="25">
        <v>1295667</v>
      </c>
      <c r="N34" s="25">
        <v>693996</v>
      </c>
    </row>
    <row r="35" spans="1:14" ht="30" customHeight="1" x14ac:dyDescent="0.35">
      <c r="A35" s="258">
        <v>31</v>
      </c>
      <c r="B35" s="384" t="s">
        <v>41</v>
      </c>
      <c r="C35" s="25">
        <v>570</v>
      </c>
      <c r="D35" s="25">
        <v>132643</v>
      </c>
      <c r="E35" s="25">
        <v>94964</v>
      </c>
      <c r="F35" s="25">
        <v>815</v>
      </c>
      <c r="G35" s="25">
        <v>210490</v>
      </c>
      <c r="H35" s="25">
        <v>146307</v>
      </c>
      <c r="I35" s="25">
        <v>29</v>
      </c>
      <c r="J35" s="25">
        <v>6020</v>
      </c>
      <c r="K35" s="25">
        <v>3842</v>
      </c>
      <c r="L35" s="25">
        <v>1414</v>
      </c>
      <c r="M35" s="25">
        <v>349153</v>
      </c>
      <c r="N35" s="25">
        <v>245113</v>
      </c>
    </row>
    <row r="36" spans="1:14" ht="30" customHeight="1" x14ac:dyDescent="0.35">
      <c r="A36" s="258">
        <v>32</v>
      </c>
      <c r="B36" s="384" t="s">
        <v>58</v>
      </c>
      <c r="C36" s="25">
        <v>12</v>
      </c>
      <c r="D36" s="25">
        <v>1561</v>
      </c>
      <c r="E36" s="25">
        <v>691</v>
      </c>
      <c r="F36" s="25">
        <v>13</v>
      </c>
      <c r="G36" s="25">
        <v>2064</v>
      </c>
      <c r="H36" s="25">
        <v>1245</v>
      </c>
      <c r="I36" s="25">
        <v>1</v>
      </c>
      <c r="J36" s="25">
        <v>220</v>
      </c>
      <c r="K36" s="25">
        <v>336</v>
      </c>
      <c r="L36" s="25">
        <v>26</v>
      </c>
      <c r="M36" s="25">
        <v>3845</v>
      </c>
      <c r="N36" s="25">
        <v>2272</v>
      </c>
    </row>
    <row r="37" spans="1:14" ht="30" customHeight="1" x14ac:dyDescent="0.35">
      <c r="A37" s="258">
        <v>33</v>
      </c>
      <c r="B37" s="384" t="s">
        <v>42</v>
      </c>
      <c r="C37" s="25">
        <v>45</v>
      </c>
      <c r="D37" s="25">
        <v>6710</v>
      </c>
      <c r="E37" s="25">
        <v>4334</v>
      </c>
      <c r="F37" s="25">
        <v>46</v>
      </c>
      <c r="G37" s="25">
        <v>5018</v>
      </c>
      <c r="H37" s="25">
        <v>3555</v>
      </c>
      <c r="I37" s="25">
        <v>4</v>
      </c>
      <c r="J37" s="25">
        <v>340</v>
      </c>
      <c r="K37" s="25">
        <v>293</v>
      </c>
      <c r="L37" s="25">
        <v>95</v>
      </c>
      <c r="M37" s="25">
        <v>12068</v>
      </c>
      <c r="N37" s="25">
        <v>8182</v>
      </c>
    </row>
    <row r="38" spans="1:14" ht="30" customHeight="1" x14ac:dyDescent="0.35">
      <c r="A38" s="258">
        <v>34</v>
      </c>
      <c r="B38" s="384" t="s">
        <v>43</v>
      </c>
      <c r="C38" s="25">
        <v>2266</v>
      </c>
      <c r="D38" s="25">
        <v>332215</v>
      </c>
      <c r="E38" s="25">
        <v>200286</v>
      </c>
      <c r="F38" s="25">
        <v>2040</v>
      </c>
      <c r="G38" s="25">
        <v>252117</v>
      </c>
      <c r="H38" s="25">
        <v>142581</v>
      </c>
      <c r="I38" s="25">
        <v>129</v>
      </c>
      <c r="J38" s="25">
        <v>18214</v>
      </c>
      <c r="K38" s="25">
        <v>12438</v>
      </c>
      <c r="L38" s="25">
        <v>4435</v>
      </c>
      <c r="M38" s="25">
        <v>602546</v>
      </c>
      <c r="N38" s="25">
        <v>355305</v>
      </c>
    </row>
    <row r="39" spans="1:14" ht="30" customHeight="1" x14ac:dyDescent="0.35">
      <c r="A39" s="258">
        <v>35</v>
      </c>
      <c r="B39" s="384" t="s">
        <v>44</v>
      </c>
      <c r="C39" s="25">
        <v>368</v>
      </c>
      <c r="D39" s="25">
        <v>57741</v>
      </c>
      <c r="E39" s="25">
        <v>37089</v>
      </c>
      <c r="F39" s="25">
        <v>325</v>
      </c>
      <c r="G39" s="25">
        <v>44237</v>
      </c>
      <c r="H39" s="25">
        <v>27636</v>
      </c>
      <c r="I39" s="25">
        <v>17</v>
      </c>
      <c r="J39" s="25">
        <v>1638</v>
      </c>
      <c r="K39" s="25">
        <v>1253</v>
      </c>
      <c r="L39" s="25">
        <v>710</v>
      </c>
      <c r="M39" s="25">
        <v>103616</v>
      </c>
      <c r="N39" s="25">
        <v>65978</v>
      </c>
    </row>
    <row r="40" spans="1:14" ht="30" customHeight="1" x14ac:dyDescent="0.35">
      <c r="A40" s="258">
        <v>36</v>
      </c>
      <c r="B40" s="384" t="s">
        <v>45</v>
      </c>
      <c r="C40" s="25">
        <v>1361</v>
      </c>
      <c r="D40" s="25">
        <v>145685</v>
      </c>
      <c r="E40" s="25">
        <v>89100</v>
      </c>
      <c r="F40" s="25">
        <v>1497</v>
      </c>
      <c r="G40" s="25">
        <v>148494</v>
      </c>
      <c r="H40" s="25">
        <v>84235</v>
      </c>
      <c r="I40" s="25">
        <v>82</v>
      </c>
      <c r="J40" s="25">
        <v>5780</v>
      </c>
      <c r="K40" s="25">
        <v>3473</v>
      </c>
      <c r="L40" s="25">
        <v>2940</v>
      </c>
      <c r="M40" s="25">
        <v>299959</v>
      </c>
      <c r="N40" s="25">
        <v>176808</v>
      </c>
    </row>
    <row r="41" spans="1:14" ht="30" customHeight="1" x14ac:dyDescent="0.35">
      <c r="A41" s="866" t="s">
        <v>46</v>
      </c>
      <c r="B41" s="867"/>
      <c r="C41" s="41">
        <v>24610</v>
      </c>
      <c r="D41" s="41">
        <v>3998273</v>
      </c>
      <c r="E41" s="41">
        <v>2328778</v>
      </c>
      <c r="F41" s="41">
        <v>29706</v>
      </c>
      <c r="G41" s="41">
        <v>4624878</v>
      </c>
      <c r="H41" s="41">
        <v>2521179</v>
      </c>
      <c r="I41" s="41">
        <v>1206</v>
      </c>
      <c r="J41" s="41">
        <v>154362</v>
      </c>
      <c r="K41" s="41">
        <v>96442</v>
      </c>
      <c r="L41" s="41">
        <v>55522</v>
      </c>
      <c r="M41" s="41">
        <v>8777513</v>
      </c>
      <c r="N41" s="41">
        <v>4946399</v>
      </c>
    </row>
  </sheetData>
  <mergeCells count="8">
    <mergeCell ref="A41:B41"/>
    <mergeCell ref="B1:N1"/>
    <mergeCell ref="A2:A3"/>
    <mergeCell ref="B2:B3"/>
    <mergeCell ref="C2:E2"/>
    <mergeCell ref="F2:H2"/>
    <mergeCell ref="I2:K2"/>
    <mergeCell ref="L2:N2"/>
  </mergeCells>
  <pageMargins left="0.59055118110236227" right="0.35433070866141736" top="0.39370078740157483" bottom="0.39370078740157483" header="0.31496062992125984" footer="0.19685039370078741"/>
  <pageSetup paperSize="9" scale="55" firstPageNumber="31" orientation="portrait" r:id="rId1"/>
  <headerFooter>
    <oddFooter>&amp;L&amp;"Arial,Italic"&amp;9AISHE 2023-24&amp;RT-31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717D-20F2-444B-953B-17D33F4C66AB}">
  <sheetPr>
    <pageSetUpPr fitToPage="1"/>
  </sheetPr>
  <dimension ref="A1:M19"/>
  <sheetViews>
    <sheetView view="pageBreakPreview" topLeftCell="B15" zoomScale="112" zoomScaleSheetLayoutView="112" workbookViewId="0">
      <selection activeCell="H18" sqref="H18"/>
    </sheetView>
  </sheetViews>
  <sheetFormatPr defaultColWidth="9.453125" defaultRowHeight="15.5" x14ac:dyDescent="0.35"/>
  <cols>
    <col min="1" max="1" width="22.81640625" style="387" customWidth="1"/>
    <col min="2" max="2" width="11" style="387" bestFit="1" customWidth="1"/>
    <col min="3" max="3" width="14" style="387" bestFit="1" customWidth="1"/>
    <col min="4" max="4" width="13.81640625" style="387" bestFit="1" customWidth="1"/>
    <col min="5" max="5" width="11" style="387" bestFit="1" customWidth="1"/>
    <col min="6" max="7" width="13.81640625" style="387" bestFit="1" customWidth="1"/>
    <col min="8" max="8" width="9.54296875" style="387" bestFit="1" customWidth="1"/>
    <col min="9" max="9" width="8.453125" style="387" customWidth="1"/>
    <col min="10" max="10" width="11.1796875" style="387" bestFit="1" customWidth="1"/>
    <col min="11" max="11" width="8.453125" style="387" bestFit="1" customWidth="1"/>
    <col min="12" max="13" width="11" style="387" bestFit="1" customWidth="1"/>
    <col min="14" max="16384" width="9.453125" style="387"/>
  </cols>
  <sheetData>
    <row r="1" spans="1:13" ht="42" customHeight="1" x14ac:dyDescent="0.35">
      <c r="A1" s="206"/>
      <c r="B1" s="808" t="s">
        <v>1015</v>
      </c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808"/>
    </row>
    <row r="2" spans="1:13" ht="27" customHeight="1" x14ac:dyDescent="0.35">
      <c r="A2" s="846" t="s">
        <v>907</v>
      </c>
      <c r="B2" s="870" t="s">
        <v>937</v>
      </c>
      <c r="C2" s="871"/>
      <c r="D2" s="872"/>
      <c r="E2" s="870" t="s">
        <v>936</v>
      </c>
      <c r="F2" s="871"/>
      <c r="G2" s="872"/>
      <c r="H2" s="870" t="s">
        <v>935</v>
      </c>
      <c r="I2" s="871"/>
      <c r="J2" s="872"/>
      <c r="K2" s="870" t="s">
        <v>934</v>
      </c>
      <c r="L2" s="871"/>
      <c r="M2" s="872"/>
    </row>
    <row r="3" spans="1:13" ht="27" customHeight="1" x14ac:dyDescent="0.35">
      <c r="A3" s="846"/>
      <c r="B3" s="389" t="s">
        <v>92</v>
      </c>
      <c r="C3" s="389" t="s">
        <v>933</v>
      </c>
      <c r="D3" s="389" t="s">
        <v>932</v>
      </c>
      <c r="E3" s="389" t="s">
        <v>92</v>
      </c>
      <c r="F3" s="389" t="s">
        <v>933</v>
      </c>
      <c r="G3" s="389" t="s">
        <v>932</v>
      </c>
      <c r="H3" s="389" t="s">
        <v>92</v>
      </c>
      <c r="I3" s="389" t="s">
        <v>933</v>
      </c>
      <c r="J3" s="389" t="s">
        <v>932</v>
      </c>
      <c r="K3" s="389" t="s">
        <v>92</v>
      </c>
      <c r="L3" s="389" t="s">
        <v>933</v>
      </c>
      <c r="M3" s="389" t="s">
        <v>932</v>
      </c>
    </row>
    <row r="4" spans="1:13" s="439" customFormat="1" ht="11.5" x14ac:dyDescent="0.25">
      <c r="A4" s="284">
        <v>1</v>
      </c>
      <c r="B4" s="438">
        <v>2</v>
      </c>
      <c r="C4" s="284">
        <v>3</v>
      </c>
      <c r="D4" s="438">
        <v>4</v>
      </c>
      <c r="E4" s="284">
        <v>5</v>
      </c>
      <c r="F4" s="438">
        <v>6</v>
      </c>
      <c r="G4" s="284">
        <v>7</v>
      </c>
      <c r="H4" s="438">
        <v>8</v>
      </c>
      <c r="I4" s="284">
        <v>9</v>
      </c>
      <c r="J4" s="438">
        <v>10</v>
      </c>
      <c r="K4" s="284">
        <v>11</v>
      </c>
      <c r="L4" s="438">
        <v>12</v>
      </c>
      <c r="M4" s="284">
        <v>13</v>
      </c>
    </row>
    <row r="5" spans="1:13" ht="49.5" customHeight="1" x14ac:dyDescent="0.35">
      <c r="A5" s="437" t="s">
        <v>2</v>
      </c>
      <c r="B5" s="25">
        <v>329</v>
      </c>
      <c r="C5" s="25">
        <v>66145</v>
      </c>
      <c r="D5" s="25">
        <v>59939</v>
      </c>
      <c r="E5" s="25">
        <v>288</v>
      </c>
      <c r="F5" s="25">
        <v>53385</v>
      </c>
      <c r="G5" s="25">
        <v>49694</v>
      </c>
      <c r="H5" s="25">
        <v>25</v>
      </c>
      <c r="I5" s="25">
        <v>5220</v>
      </c>
      <c r="J5" s="25">
        <v>4133</v>
      </c>
      <c r="K5" s="25">
        <v>642</v>
      </c>
      <c r="L5" s="25">
        <v>124750</v>
      </c>
      <c r="M5" s="25">
        <v>113766</v>
      </c>
    </row>
    <row r="6" spans="1:13" ht="49.5" customHeight="1" x14ac:dyDescent="0.35">
      <c r="A6" s="437" t="s">
        <v>3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3" ht="49.5" customHeight="1" x14ac:dyDescent="0.35">
      <c r="A7" s="437" t="s">
        <v>4</v>
      </c>
      <c r="B7" s="25">
        <v>789</v>
      </c>
      <c r="C7" s="25">
        <v>229814</v>
      </c>
      <c r="D7" s="25">
        <v>208586</v>
      </c>
      <c r="E7" s="25">
        <v>424</v>
      </c>
      <c r="F7" s="25">
        <v>91811</v>
      </c>
      <c r="G7" s="25">
        <v>80038</v>
      </c>
      <c r="H7" s="25">
        <v>121</v>
      </c>
      <c r="I7" s="25">
        <v>17916</v>
      </c>
      <c r="J7" s="25">
        <v>14368</v>
      </c>
      <c r="K7" s="25">
        <v>1334</v>
      </c>
      <c r="L7" s="25">
        <v>339541</v>
      </c>
      <c r="M7" s="25">
        <v>302992</v>
      </c>
    </row>
    <row r="8" spans="1:13" ht="49.5" customHeight="1" x14ac:dyDescent="0.35">
      <c r="A8" s="437" t="s">
        <v>5</v>
      </c>
      <c r="B8" s="25">
        <v>1543</v>
      </c>
      <c r="C8" s="25">
        <v>253168</v>
      </c>
      <c r="D8" s="25">
        <v>201987</v>
      </c>
      <c r="E8" s="25">
        <v>1383</v>
      </c>
      <c r="F8" s="25">
        <v>233494</v>
      </c>
      <c r="G8" s="25">
        <v>202933</v>
      </c>
      <c r="H8" s="25">
        <v>46</v>
      </c>
      <c r="I8" s="25">
        <v>4189</v>
      </c>
      <c r="J8" s="25">
        <v>3220</v>
      </c>
      <c r="K8" s="25">
        <v>2972</v>
      </c>
      <c r="L8" s="25">
        <v>490851</v>
      </c>
      <c r="M8" s="25">
        <v>408140</v>
      </c>
    </row>
    <row r="9" spans="1:13" ht="49.5" customHeight="1" x14ac:dyDescent="0.35">
      <c r="A9" s="437" t="s">
        <v>912</v>
      </c>
      <c r="B9" s="25">
        <v>3</v>
      </c>
      <c r="C9" s="25">
        <v>632</v>
      </c>
      <c r="D9" s="25">
        <v>512</v>
      </c>
      <c r="E9" s="25">
        <v>3</v>
      </c>
      <c r="F9" s="25">
        <v>449</v>
      </c>
      <c r="G9" s="25">
        <v>349</v>
      </c>
      <c r="H9" s="25">
        <v>0</v>
      </c>
      <c r="I9" s="25">
        <v>0</v>
      </c>
      <c r="J9" s="25">
        <v>0</v>
      </c>
      <c r="K9" s="25">
        <v>6</v>
      </c>
      <c r="L9" s="25">
        <v>1081</v>
      </c>
      <c r="M9" s="25">
        <v>861</v>
      </c>
    </row>
    <row r="10" spans="1:13" ht="49.5" customHeight="1" x14ac:dyDescent="0.35">
      <c r="A10" s="437" t="s">
        <v>8</v>
      </c>
      <c r="B10" s="25">
        <v>1292</v>
      </c>
      <c r="C10" s="25">
        <v>378644</v>
      </c>
      <c r="D10" s="25">
        <v>261200</v>
      </c>
      <c r="E10" s="25">
        <v>1193</v>
      </c>
      <c r="F10" s="25">
        <v>299844</v>
      </c>
      <c r="G10" s="25">
        <v>195769</v>
      </c>
      <c r="H10" s="25">
        <v>61</v>
      </c>
      <c r="I10" s="25">
        <v>14650</v>
      </c>
      <c r="J10" s="25">
        <v>11514</v>
      </c>
      <c r="K10" s="25">
        <v>2546</v>
      </c>
      <c r="L10" s="25">
        <v>693138</v>
      </c>
      <c r="M10" s="25">
        <v>468483</v>
      </c>
    </row>
    <row r="11" spans="1:13" ht="49.5" customHeight="1" x14ac:dyDescent="0.35">
      <c r="A11" s="437" t="s">
        <v>6</v>
      </c>
      <c r="B11" s="25">
        <v>21</v>
      </c>
      <c r="C11" s="25">
        <v>1448</v>
      </c>
      <c r="D11" s="25">
        <v>1023</v>
      </c>
      <c r="E11" s="25">
        <v>28</v>
      </c>
      <c r="F11" s="25">
        <v>2908</v>
      </c>
      <c r="G11" s="25">
        <v>2411</v>
      </c>
      <c r="H11" s="25">
        <v>14</v>
      </c>
      <c r="I11" s="25">
        <v>1046</v>
      </c>
      <c r="J11" s="25">
        <v>929</v>
      </c>
      <c r="K11" s="25">
        <v>63</v>
      </c>
      <c r="L11" s="25">
        <v>5402</v>
      </c>
      <c r="M11" s="25">
        <v>4363</v>
      </c>
    </row>
    <row r="12" spans="1:13" ht="49.5" customHeight="1" x14ac:dyDescent="0.35">
      <c r="A12" s="437" t="s">
        <v>9</v>
      </c>
      <c r="B12" s="25">
        <v>123</v>
      </c>
      <c r="C12" s="25">
        <v>18105</v>
      </c>
      <c r="D12" s="25">
        <v>15676</v>
      </c>
      <c r="E12" s="25">
        <v>71</v>
      </c>
      <c r="F12" s="25">
        <v>9310</v>
      </c>
      <c r="G12" s="25">
        <v>7724</v>
      </c>
      <c r="H12" s="25">
        <v>82</v>
      </c>
      <c r="I12" s="25">
        <v>6677</v>
      </c>
      <c r="J12" s="25">
        <v>4328</v>
      </c>
      <c r="K12" s="25">
        <v>276</v>
      </c>
      <c r="L12" s="25">
        <v>34092</v>
      </c>
      <c r="M12" s="25">
        <v>27728</v>
      </c>
    </row>
    <row r="13" spans="1:13" ht="49.5" customHeight="1" x14ac:dyDescent="0.35">
      <c r="A13" s="437" t="s">
        <v>10</v>
      </c>
      <c r="B13" s="25">
        <v>28</v>
      </c>
      <c r="C13" s="25">
        <v>4550</v>
      </c>
      <c r="D13" s="25">
        <v>4182</v>
      </c>
      <c r="E13" s="25">
        <v>38</v>
      </c>
      <c r="F13" s="25">
        <v>7508</v>
      </c>
      <c r="G13" s="25">
        <v>5894</v>
      </c>
      <c r="H13" s="25">
        <v>3</v>
      </c>
      <c r="I13" s="25">
        <v>146</v>
      </c>
      <c r="J13" s="25">
        <v>102</v>
      </c>
      <c r="K13" s="25">
        <v>69</v>
      </c>
      <c r="L13" s="25">
        <v>12204</v>
      </c>
      <c r="M13" s="25">
        <v>10178</v>
      </c>
    </row>
    <row r="14" spans="1:13" ht="49.5" customHeight="1" x14ac:dyDescent="0.35">
      <c r="A14" s="437" t="s">
        <v>11</v>
      </c>
      <c r="B14" s="25">
        <v>770</v>
      </c>
      <c r="C14" s="25">
        <v>293029</v>
      </c>
      <c r="D14" s="25">
        <v>223977</v>
      </c>
      <c r="E14" s="25">
        <v>781</v>
      </c>
      <c r="F14" s="25">
        <v>251567</v>
      </c>
      <c r="G14" s="25">
        <v>168450</v>
      </c>
      <c r="H14" s="25">
        <v>41</v>
      </c>
      <c r="I14" s="25">
        <v>6233</v>
      </c>
      <c r="J14" s="25">
        <v>4564</v>
      </c>
      <c r="K14" s="25">
        <v>1592</v>
      </c>
      <c r="L14" s="25">
        <v>550829</v>
      </c>
      <c r="M14" s="25">
        <v>396991</v>
      </c>
    </row>
    <row r="15" spans="1:13" ht="49.5" customHeight="1" x14ac:dyDescent="0.35">
      <c r="A15" s="388" t="s">
        <v>12</v>
      </c>
      <c r="B15" s="220">
        <v>4898</v>
      </c>
      <c r="C15" s="220">
        <v>1245535</v>
      </c>
      <c r="D15" s="220">
        <v>977082</v>
      </c>
      <c r="E15" s="220">
        <v>4209</v>
      </c>
      <c r="F15" s="220">
        <v>950276</v>
      </c>
      <c r="G15" s="220">
        <v>713262</v>
      </c>
      <c r="H15" s="220">
        <v>393</v>
      </c>
      <c r="I15" s="220">
        <v>56077</v>
      </c>
      <c r="J15" s="220">
        <v>43158</v>
      </c>
      <c r="K15" s="220">
        <v>9500</v>
      </c>
      <c r="L15" s="220">
        <v>2251888</v>
      </c>
      <c r="M15" s="220">
        <v>1733502</v>
      </c>
    </row>
    <row r="16" spans="1:13" ht="49.5" customHeight="1" x14ac:dyDescent="0.35">
      <c r="A16" s="206" t="s">
        <v>940</v>
      </c>
      <c r="B16" s="869" t="s">
        <v>951</v>
      </c>
      <c r="C16" s="869"/>
      <c r="D16" s="869"/>
      <c r="E16" s="869"/>
      <c r="F16" s="869"/>
      <c r="G16" s="869"/>
      <c r="H16" s="869"/>
      <c r="I16" s="869"/>
      <c r="J16" s="869"/>
      <c r="K16" s="869"/>
      <c r="L16" s="869"/>
      <c r="M16" s="869"/>
    </row>
    <row r="17" spans="1:13" ht="49.5" customHeight="1" x14ac:dyDescent="0.35">
      <c r="A17" s="437" t="s">
        <v>2</v>
      </c>
      <c r="B17" s="25">
        <v>430</v>
      </c>
      <c r="C17" s="25">
        <v>44021</v>
      </c>
      <c r="D17" s="25">
        <v>26303</v>
      </c>
      <c r="E17" s="25">
        <v>547</v>
      </c>
      <c r="F17" s="25">
        <v>49543</v>
      </c>
      <c r="G17" s="25">
        <v>31005</v>
      </c>
      <c r="H17" s="25">
        <v>33</v>
      </c>
      <c r="I17" s="25">
        <v>2573</v>
      </c>
      <c r="J17" s="25">
        <v>1958</v>
      </c>
      <c r="K17" s="25">
        <v>1010</v>
      </c>
      <c r="L17" s="25">
        <v>96137</v>
      </c>
      <c r="M17" s="25">
        <v>59266</v>
      </c>
    </row>
    <row r="18" spans="1:13" ht="49.5" customHeight="1" x14ac:dyDescent="0.35">
      <c r="A18" s="437" t="s">
        <v>5</v>
      </c>
      <c r="B18" s="25">
        <v>15082</v>
      </c>
      <c r="C18" s="25">
        <v>2250454</v>
      </c>
      <c r="D18" s="25">
        <v>1131525</v>
      </c>
      <c r="E18" s="25">
        <v>18437</v>
      </c>
      <c r="F18" s="25">
        <v>2912466</v>
      </c>
      <c r="G18" s="25">
        <v>1444081</v>
      </c>
      <c r="H18" s="25">
        <v>613</v>
      </c>
      <c r="I18" s="25">
        <v>79875</v>
      </c>
      <c r="J18" s="25">
        <v>44604</v>
      </c>
      <c r="K18" s="25">
        <v>34132</v>
      </c>
      <c r="L18" s="25">
        <v>5242795</v>
      </c>
      <c r="M18" s="25">
        <v>2620210</v>
      </c>
    </row>
    <row r="19" spans="1:13" ht="49.5" customHeight="1" x14ac:dyDescent="0.35">
      <c r="A19" s="388" t="s">
        <v>12</v>
      </c>
      <c r="B19" s="220">
        <v>15512</v>
      </c>
      <c r="C19" s="220">
        <v>2294475</v>
      </c>
      <c r="D19" s="220">
        <v>1157828</v>
      </c>
      <c r="E19" s="220">
        <v>18984</v>
      </c>
      <c r="F19" s="220">
        <v>2962009</v>
      </c>
      <c r="G19" s="220">
        <v>1475086</v>
      </c>
      <c r="H19" s="220">
        <v>646</v>
      </c>
      <c r="I19" s="220">
        <v>82448</v>
      </c>
      <c r="J19" s="220">
        <v>46562</v>
      </c>
      <c r="K19" s="41">
        <v>35142</v>
      </c>
      <c r="L19" s="41">
        <v>5338932</v>
      </c>
      <c r="M19" s="41">
        <v>2679476</v>
      </c>
    </row>
  </sheetData>
  <mergeCells count="7">
    <mergeCell ref="B16:M16"/>
    <mergeCell ref="B1:M1"/>
    <mergeCell ref="A2:A3"/>
    <mergeCell ref="B2:D2"/>
    <mergeCell ref="E2:G2"/>
    <mergeCell ref="H2:J2"/>
    <mergeCell ref="K2:M2"/>
  </mergeCells>
  <pageMargins left="0.59055118110236227" right="0.35433070866141736" top="0.39370078740157483" bottom="0.39370078740157483" header="0.31496062992125984" footer="0.19685039370078741"/>
  <pageSetup paperSize="9" scale="58" orientation="portrait" r:id="rId1"/>
  <headerFooter>
    <oddFooter>&amp;L&amp;"Arial,Italic"&amp;9AISHE 2023-24&amp;RT-32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7108-3010-48A3-B033-E17D6998CDEC}">
  <dimension ref="A1:AC41"/>
  <sheetViews>
    <sheetView showZeros="0" view="pageBreakPreview" zoomScale="99" zoomScaleNormal="100" zoomScaleSheetLayoutView="99" workbookViewId="0">
      <pane xSplit="2" ySplit="3" topLeftCell="C9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1796875" defaultRowHeight="13" x14ac:dyDescent="0.3"/>
  <cols>
    <col min="1" max="1" width="6.1796875" style="390" bestFit="1" customWidth="1"/>
    <col min="2" max="2" width="16.453125" style="390" customWidth="1"/>
    <col min="3" max="11" width="10.7265625" style="390" customWidth="1"/>
    <col min="12" max="20" width="10.54296875" style="390" customWidth="1"/>
    <col min="21" max="26" width="9.81640625" style="390" bestFit="1" customWidth="1"/>
    <col min="27" max="28" width="12.1796875" style="390" bestFit="1" customWidth="1"/>
    <col min="29" max="29" width="13.81640625" style="390" bestFit="1" customWidth="1"/>
    <col min="30" max="16384" width="9.1796875" style="390"/>
  </cols>
  <sheetData>
    <row r="1" spans="1:29" ht="32.25" customHeight="1" x14ac:dyDescent="0.3">
      <c r="A1" s="393"/>
      <c r="B1" s="145"/>
      <c r="C1" s="814" t="s">
        <v>1016</v>
      </c>
      <c r="D1" s="814"/>
      <c r="E1" s="814"/>
      <c r="F1" s="814"/>
      <c r="G1" s="814"/>
      <c r="H1" s="814"/>
      <c r="I1" s="814"/>
      <c r="J1" s="814"/>
      <c r="K1" s="814"/>
      <c r="L1" s="814" t="str">
        <f>C1</f>
        <v>Table 33. State/UTs-wise Out-turn/Pass-Out at various levels
(Based on Actual Response)</v>
      </c>
      <c r="M1" s="814"/>
      <c r="N1" s="814"/>
      <c r="O1" s="814"/>
      <c r="P1" s="814"/>
      <c r="Q1" s="814"/>
      <c r="R1" s="814"/>
      <c r="S1" s="814"/>
      <c r="T1" s="814"/>
      <c r="U1" s="814" t="str">
        <f>C1</f>
        <v>Table 33. State/UTs-wise Out-turn/Pass-Out at various levels
(Based on Actual Response)</v>
      </c>
      <c r="V1" s="814"/>
      <c r="W1" s="814"/>
      <c r="X1" s="814"/>
      <c r="Y1" s="814"/>
      <c r="Z1" s="814"/>
      <c r="AA1" s="814"/>
      <c r="AB1" s="814"/>
      <c r="AC1" s="814"/>
    </row>
    <row r="2" spans="1:29" x14ac:dyDescent="0.3">
      <c r="A2" s="873" t="s">
        <v>48</v>
      </c>
      <c r="B2" s="875" t="s">
        <v>1</v>
      </c>
      <c r="C2" s="876" t="s">
        <v>95</v>
      </c>
      <c r="D2" s="877"/>
      <c r="E2" s="878"/>
      <c r="F2" s="876" t="s">
        <v>96</v>
      </c>
      <c r="G2" s="877"/>
      <c r="H2" s="878"/>
      <c r="I2" s="876" t="s">
        <v>97</v>
      </c>
      <c r="J2" s="877"/>
      <c r="K2" s="878"/>
      <c r="L2" s="876" t="s">
        <v>98</v>
      </c>
      <c r="M2" s="877"/>
      <c r="N2" s="878"/>
      <c r="O2" s="876" t="s">
        <v>99</v>
      </c>
      <c r="P2" s="877"/>
      <c r="Q2" s="878"/>
      <c r="R2" s="876" t="s">
        <v>100</v>
      </c>
      <c r="S2" s="877"/>
      <c r="T2" s="878"/>
      <c r="U2" s="876" t="s">
        <v>101</v>
      </c>
      <c r="V2" s="877"/>
      <c r="W2" s="878"/>
      <c r="X2" s="876" t="s">
        <v>102</v>
      </c>
      <c r="Y2" s="877"/>
      <c r="Z2" s="878"/>
      <c r="AA2" s="876" t="s">
        <v>12</v>
      </c>
      <c r="AB2" s="877"/>
      <c r="AC2" s="878"/>
    </row>
    <row r="3" spans="1:29" x14ac:dyDescent="0.3">
      <c r="A3" s="874"/>
      <c r="B3" s="875"/>
      <c r="C3" s="392" t="s">
        <v>103</v>
      </c>
      <c r="D3" s="392" t="s">
        <v>104</v>
      </c>
      <c r="E3" s="392" t="s">
        <v>89</v>
      </c>
      <c r="F3" s="392" t="s">
        <v>103</v>
      </c>
      <c r="G3" s="392" t="s">
        <v>104</v>
      </c>
      <c r="H3" s="392" t="s">
        <v>89</v>
      </c>
      <c r="I3" s="392" t="s">
        <v>103</v>
      </c>
      <c r="J3" s="392" t="s">
        <v>104</v>
      </c>
      <c r="K3" s="392" t="s">
        <v>89</v>
      </c>
      <c r="L3" s="392" t="s">
        <v>103</v>
      </c>
      <c r="M3" s="392" t="s">
        <v>104</v>
      </c>
      <c r="N3" s="392" t="s">
        <v>89</v>
      </c>
      <c r="O3" s="392" t="s">
        <v>103</v>
      </c>
      <c r="P3" s="392" t="s">
        <v>104</v>
      </c>
      <c r="Q3" s="392" t="s">
        <v>89</v>
      </c>
      <c r="R3" s="392" t="s">
        <v>103</v>
      </c>
      <c r="S3" s="392" t="s">
        <v>104</v>
      </c>
      <c r="T3" s="392" t="s">
        <v>89</v>
      </c>
      <c r="U3" s="392" t="s">
        <v>103</v>
      </c>
      <c r="V3" s="392" t="s">
        <v>104</v>
      </c>
      <c r="W3" s="392" t="s">
        <v>89</v>
      </c>
      <c r="X3" s="392" t="s">
        <v>103</v>
      </c>
      <c r="Y3" s="392" t="s">
        <v>104</v>
      </c>
      <c r="Z3" s="392" t="s">
        <v>89</v>
      </c>
      <c r="AA3" s="392" t="s">
        <v>103</v>
      </c>
      <c r="AB3" s="392" t="s">
        <v>104</v>
      </c>
      <c r="AC3" s="392" t="s">
        <v>89</v>
      </c>
    </row>
    <row r="4" spans="1:29" s="553" customFormat="1" ht="10.5" x14ac:dyDescent="0.25">
      <c r="A4" s="451">
        <v>1</v>
      </c>
      <c r="B4" s="451">
        <v>2</v>
      </c>
      <c r="C4" s="451">
        <v>3</v>
      </c>
      <c r="D4" s="451">
        <v>4</v>
      </c>
      <c r="E4" s="451">
        <v>5</v>
      </c>
      <c r="F4" s="451">
        <v>6</v>
      </c>
      <c r="G4" s="451">
        <v>7</v>
      </c>
      <c r="H4" s="451">
        <v>8</v>
      </c>
      <c r="I4" s="451">
        <v>9</v>
      </c>
      <c r="J4" s="451">
        <v>10</v>
      </c>
      <c r="K4" s="451">
        <v>11</v>
      </c>
      <c r="L4" s="451">
        <v>12</v>
      </c>
      <c r="M4" s="451">
        <v>13</v>
      </c>
      <c r="N4" s="451">
        <v>14</v>
      </c>
      <c r="O4" s="451">
        <v>15</v>
      </c>
      <c r="P4" s="451">
        <v>16</v>
      </c>
      <c r="Q4" s="451">
        <v>17</v>
      </c>
      <c r="R4" s="451">
        <v>18</v>
      </c>
      <c r="S4" s="451">
        <v>19</v>
      </c>
      <c r="T4" s="451">
        <v>20</v>
      </c>
      <c r="U4" s="451">
        <v>21</v>
      </c>
      <c r="V4" s="451">
        <v>22</v>
      </c>
      <c r="W4" s="451">
        <v>23</v>
      </c>
      <c r="X4" s="451">
        <v>24</v>
      </c>
      <c r="Y4" s="451">
        <v>25</v>
      </c>
      <c r="Z4" s="451">
        <v>26</v>
      </c>
      <c r="AA4" s="451">
        <v>27</v>
      </c>
      <c r="AB4" s="451">
        <v>28</v>
      </c>
      <c r="AC4" s="451">
        <v>29</v>
      </c>
    </row>
    <row r="5" spans="1:29" ht="24" customHeight="1" x14ac:dyDescent="0.3">
      <c r="A5" s="440">
        <v>1</v>
      </c>
      <c r="B5" s="391" t="s">
        <v>56</v>
      </c>
      <c r="C5" s="243"/>
      <c r="D5" s="243"/>
      <c r="E5" s="243"/>
      <c r="F5" s="243"/>
      <c r="G5" s="243"/>
      <c r="H5" s="243"/>
      <c r="I5" s="243"/>
      <c r="J5" s="243"/>
      <c r="K5" s="243"/>
      <c r="L5" s="243">
        <v>132</v>
      </c>
      <c r="M5" s="243">
        <v>148</v>
      </c>
      <c r="N5" s="243">
        <v>280</v>
      </c>
      <c r="O5" s="243"/>
      <c r="P5" s="243"/>
      <c r="Q5" s="243"/>
      <c r="R5" s="243">
        <v>69</v>
      </c>
      <c r="S5" s="243">
        <v>95</v>
      </c>
      <c r="T5" s="243">
        <v>164</v>
      </c>
      <c r="U5" s="243"/>
      <c r="V5" s="243"/>
      <c r="W5" s="243"/>
      <c r="X5" s="243">
        <v>12</v>
      </c>
      <c r="Y5" s="243">
        <v>12</v>
      </c>
      <c r="Z5" s="243">
        <v>24</v>
      </c>
      <c r="AA5" s="243">
        <v>213</v>
      </c>
      <c r="AB5" s="243">
        <v>255</v>
      </c>
      <c r="AC5" s="243">
        <v>468</v>
      </c>
    </row>
    <row r="6" spans="1:29" ht="24" customHeight="1" x14ac:dyDescent="0.3">
      <c r="A6" s="440">
        <v>2</v>
      </c>
      <c r="B6" s="391" t="s">
        <v>13</v>
      </c>
      <c r="C6" s="243">
        <v>451</v>
      </c>
      <c r="D6" s="243">
        <v>335</v>
      </c>
      <c r="E6" s="243">
        <v>786</v>
      </c>
      <c r="F6" s="243"/>
      <c r="G6" s="243"/>
      <c r="H6" s="243"/>
      <c r="I6" s="243">
        <v>32555</v>
      </c>
      <c r="J6" s="243">
        <v>34751</v>
      </c>
      <c r="K6" s="243">
        <v>67306</v>
      </c>
      <c r="L6" s="243">
        <v>160821</v>
      </c>
      <c r="M6" s="243">
        <v>166839</v>
      </c>
      <c r="N6" s="243">
        <v>327660</v>
      </c>
      <c r="O6" s="243">
        <v>194</v>
      </c>
      <c r="P6" s="243">
        <v>89</v>
      </c>
      <c r="Q6" s="243">
        <v>283</v>
      </c>
      <c r="R6" s="243">
        <v>16905</v>
      </c>
      <c r="S6" s="243">
        <v>14719</v>
      </c>
      <c r="T6" s="243">
        <v>31624</v>
      </c>
      <c r="U6" s="243">
        <v>89</v>
      </c>
      <c r="V6" s="243">
        <v>13</v>
      </c>
      <c r="W6" s="243">
        <v>102</v>
      </c>
      <c r="X6" s="243">
        <v>1118</v>
      </c>
      <c r="Y6" s="243">
        <v>578</v>
      </c>
      <c r="Z6" s="243">
        <v>1696</v>
      </c>
      <c r="AA6" s="243">
        <v>212133</v>
      </c>
      <c r="AB6" s="243">
        <v>217324</v>
      </c>
      <c r="AC6" s="243">
        <v>429457</v>
      </c>
    </row>
    <row r="7" spans="1:29" ht="24" customHeight="1" x14ac:dyDescent="0.3">
      <c r="A7" s="440">
        <v>3</v>
      </c>
      <c r="B7" s="391" t="s">
        <v>14</v>
      </c>
      <c r="C7" s="243">
        <v>33</v>
      </c>
      <c r="D7" s="243">
        <v>16</v>
      </c>
      <c r="E7" s="243">
        <v>49</v>
      </c>
      <c r="F7" s="243"/>
      <c r="G7" s="243"/>
      <c r="H7" s="243"/>
      <c r="I7" s="243">
        <v>1259</v>
      </c>
      <c r="J7" s="243">
        <v>1070</v>
      </c>
      <c r="K7" s="243">
        <v>2329</v>
      </c>
      <c r="L7" s="243">
        <v>5091</v>
      </c>
      <c r="M7" s="243">
        <v>4867</v>
      </c>
      <c r="N7" s="243">
        <v>9958</v>
      </c>
      <c r="O7" s="243">
        <v>19</v>
      </c>
      <c r="P7" s="243">
        <v>3</v>
      </c>
      <c r="Q7" s="243">
        <v>22</v>
      </c>
      <c r="R7" s="243">
        <v>358</v>
      </c>
      <c r="S7" s="243">
        <v>548</v>
      </c>
      <c r="T7" s="243">
        <v>906</v>
      </c>
      <c r="U7" s="243">
        <v>139</v>
      </c>
      <c r="V7" s="243">
        <v>58</v>
      </c>
      <c r="W7" s="243">
        <v>197</v>
      </c>
      <c r="X7" s="243">
        <v>141</v>
      </c>
      <c r="Y7" s="243">
        <v>118</v>
      </c>
      <c r="Z7" s="243">
        <v>259</v>
      </c>
      <c r="AA7" s="243">
        <v>7040</v>
      </c>
      <c r="AB7" s="243">
        <v>6680</v>
      </c>
      <c r="AC7" s="243">
        <v>13720</v>
      </c>
    </row>
    <row r="8" spans="1:29" ht="24" customHeight="1" x14ac:dyDescent="0.3">
      <c r="A8" s="440">
        <v>4</v>
      </c>
      <c r="B8" s="391" t="s">
        <v>15</v>
      </c>
      <c r="C8" s="243">
        <v>537</v>
      </c>
      <c r="D8" s="243">
        <v>514</v>
      </c>
      <c r="E8" s="243">
        <v>1051</v>
      </c>
      <c r="F8" s="243">
        <v>7</v>
      </c>
      <c r="G8" s="243">
        <v>8</v>
      </c>
      <c r="H8" s="243">
        <v>15</v>
      </c>
      <c r="I8" s="243">
        <v>7193</v>
      </c>
      <c r="J8" s="243">
        <v>11042</v>
      </c>
      <c r="K8" s="243">
        <v>18235</v>
      </c>
      <c r="L8" s="243">
        <v>47160</v>
      </c>
      <c r="M8" s="243">
        <v>57377</v>
      </c>
      <c r="N8" s="243">
        <v>104537</v>
      </c>
      <c r="O8" s="243">
        <v>233</v>
      </c>
      <c r="P8" s="243">
        <v>339</v>
      </c>
      <c r="Q8" s="243">
        <v>572</v>
      </c>
      <c r="R8" s="243">
        <v>4600</v>
      </c>
      <c r="S8" s="243">
        <v>5379</v>
      </c>
      <c r="T8" s="243">
        <v>9979</v>
      </c>
      <c r="U8" s="243">
        <v>4239</v>
      </c>
      <c r="V8" s="243">
        <v>6461</v>
      </c>
      <c r="W8" s="243">
        <v>10700</v>
      </c>
      <c r="X8" s="243">
        <v>351</v>
      </c>
      <c r="Y8" s="243">
        <v>450</v>
      </c>
      <c r="Z8" s="243">
        <v>801</v>
      </c>
      <c r="AA8" s="243">
        <v>64320</v>
      </c>
      <c r="AB8" s="243">
        <v>81570</v>
      </c>
      <c r="AC8" s="243">
        <v>145890</v>
      </c>
    </row>
    <row r="9" spans="1:29" ht="24" customHeight="1" x14ac:dyDescent="0.3">
      <c r="A9" s="440">
        <v>5</v>
      </c>
      <c r="B9" s="391" t="s">
        <v>16</v>
      </c>
      <c r="C9" s="243">
        <v>600</v>
      </c>
      <c r="D9" s="243">
        <v>587</v>
      </c>
      <c r="E9" s="243">
        <v>1187</v>
      </c>
      <c r="F9" s="243"/>
      <c r="G9" s="243"/>
      <c r="H9" s="243"/>
      <c r="I9" s="243">
        <v>22600</v>
      </c>
      <c r="J9" s="243">
        <v>25185</v>
      </c>
      <c r="K9" s="243">
        <v>47785</v>
      </c>
      <c r="L9" s="243">
        <v>286145</v>
      </c>
      <c r="M9" s="243">
        <v>267796</v>
      </c>
      <c r="N9" s="243">
        <v>553941</v>
      </c>
      <c r="O9" s="243">
        <v>514</v>
      </c>
      <c r="P9" s="243">
        <v>291</v>
      </c>
      <c r="Q9" s="243">
        <v>805</v>
      </c>
      <c r="R9" s="243">
        <v>21432</v>
      </c>
      <c r="S9" s="243">
        <v>21325</v>
      </c>
      <c r="T9" s="243">
        <v>42757</v>
      </c>
      <c r="U9" s="243">
        <v>439</v>
      </c>
      <c r="V9" s="243">
        <v>577</v>
      </c>
      <c r="W9" s="243">
        <v>1016</v>
      </c>
      <c r="X9" s="243">
        <v>388</v>
      </c>
      <c r="Y9" s="243">
        <v>224</v>
      </c>
      <c r="Z9" s="243">
        <v>612</v>
      </c>
      <c r="AA9" s="243">
        <v>332118</v>
      </c>
      <c r="AB9" s="243">
        <v>315985</v>
      </c>
      <c r="AC9" s="243">
        <v>648103</v>
      </c>
    </row>
    <row r="10" spans="1:29" ht="24" customHeight="1" x14ac:dyDescent="0.3">
      <c r="A10" s="440">
        <v>6</v>
      </c>
      <c r="B10" s="391" t="s">
        <v>17</v>
      </c>
      <c r="C10" s="243">
        <v>289</v>
      </c>
      <c r="D10" s="243">
        <v>290</v>
      </c>
      <c r="E10" s="243">
        <v>579</v>
      </c>
      <c r="F10" s="243"/>
      <c r="G10" s="243"/>
      <c r="H10" s="243"/>
      <c r="I10" s="243">
        <v>1851</v>
      </c>
      <c r="J10" s="243">
        <v>3947</v>
      </c>
      <c r="K10" s="243">
        <v>5798</v>
      </c>
      <c r="L10" s="243">
        <v>6554</v>
      </c>
      <c r="M10" s="243">
        <v>8208</v>
      </c>
      <c r="N10" s="243">
        <v>14762</v>
      </c>
      <c r="O10" s="243">
        <v>283</v>
      </c>
      <c r="P10" s="243">
        <v>363</v>
      </c>
      <c r="Q10" s="243">
        <v>646</v>
      </c>
      <c r="R10" s="243">
        <v>674</v>
      </c>
      <c r="S10" s="243">
        <v>600</v>
      </c>
      <c r="T10" s="243">
        <v>1274</v>
      </c>
      <c r="U10" s="243">
        <v>105</v>
      </c>
      <c r="V10" s="243">
        <v>155</v>
      </c>
      <c r="W10" s="243">
        <v>260</v>
      </c>
      <c r="X10" s="243">
        <v>139</v>
      </c>
      <c r="Y10" s="243">
        <v>212</v>
      </c>
      <c r="Z10" s="243">
        <v>351</v>
      </c>
      <c r="AA10" s="243">
        <v>9895</v>
      </c>
      <c r="AB10" s="243">
        <v>13775</v>
      </c>
      <c r="AC10" s="243">
        <v>23670</v>
      </c>
    </row>
    <row r="11" spans="1:29" ht="24" customHeight="1" x14ac:dyDescent="0.3">
      <c r="A11" s="440">
        <v>7</v>
      </c>
      <c r="B11" s="391" t="s">
        <v>18</v>
      </c>
      <c r="C11" s="151">
        <v>226</v>
      </c>
      <c r="D11" s="243">
        <v>214</v>
      </c>
      <c r="E11" s="243">
        <v>440</v>
      </c>
      <c r="F11" s="243">
        <v>3</v>
      </c>
      <c r="G11" s="243">
        <v>7</v>
      </c>
      <c r="H11" s="243">
        <v>10</v>
      </c>
      <c r="I11" s="243">
        <v>22102</v>
      </c>
      <c r="J11" s="243">
        <v>33466</v>
      </c>
      <c r="K11" s="243">
        <v>55568</v>
      </c>
      <c r="L11" s="243">
        <v>66389</v>
      </c>
      <c r="M11" s="243">
        <v>87176</v>
      </c>
      <c r="N11" s="243">
        <v>153565</v>
      </c>
      <c r="O11" s="243">
        <v>4221</v>
      </c>
      <c r="P11" s="243">
        <v>5832</v>
      </c>
      <c r="Q11" s="243">
        <v>10053</v>
      </c>
      <c r="R11" s="243">
        <v>8945</v>
      </c>
      <c r="S11" s="243">
        <v>8896</v>
      </c>
      <c r="T11" s="243">
        <v>17841</v>
      </c>
      <c r="U11" s="243">
        <v>172</v>
      </c>
      <c r="V11" s="243">
        <v>338</v>
      </c>
      <c r="W11" s="243">
        <v>510</v>
      </c>
      <c r="X11" s="243">
        <v>378</v>
      </c>
      <c r="Y11" s="243">
        <v>411</v>
      </c>
      <c r="Z11" s="243">
        <v>789</v>
      </c>
      <c r="AA11" s="243">
        <v>102436</v>
      </c>
      <c r="AB11" s="243">
        <v>136340</v>
      </c>
      <c r="AC11" s="243">
        <v>238776</v>
      </c>
    </row>
    <row r="12" spans="1:29" ht="24" customHeight="1" x14ac:dyDescent="0.3">
      <c r="A12" s="440">
        <v>8</v>
      </c>
      <c r="B12" s="391" t="s">
        <v>19</v>
      </c>
      <c r="C12" s="243">
        <v>1968</v>
      </c>
      <c r="D12" s="243">
        <v>1853</v>
      </c>
      <c r="E12" s="243">
        <v>3821</v>
      </c>
      <c r="F12" s="243">
        <v>14</v>
      </c>
      <c r="G12" s="243">
        <v>33</v>
      </c>
      <c r="H12" s="243">
        <v>47</v>
      </c>
      <c r="I12" s="243">
        <v>57506</v>
      </c>
      <c r="J12" s="243">
        <v>87840</v>
      </c>
      <c r="K12" s="243">
        <v>145346</v>
      </c>
      <c r="L12" s="243">
        <v>167660</v>
      </c>
      <c r="M12" s="243">
        <v>152689</v>
      </c>
      <c r="N12" s="243">
        <v>320349</v>
      </c>
      <c r="O12" s="243">
        <v>15077</v>
      </c>
      <c r="P12" s="243">
        <v>18440</v>
      </c>
      <c r="Q12" s="243">
        <v>33517</v>
      </c>
      <c r="R12" s="243">
        <v>6448</v>
      </c>
      <c r="S12" s="243">
        <v>18018</v>
      </c>
      <c r="T12" s="243">
        <v>24466</v>
      </c>
      <c r="U12" s="243">
        <v>312</v>
      </c>
      <c r="V12" s="243">
        <v>431</v>
      </c>
      <c r="W12" s="243">
        <v>743</v>
      </c>
      <c r="X12" s="243">
        <v>966</v>
      </c>
      <c r="Y12" s="243">
        <v>621</v>
      </c>
      <c r="Z12" s="243">
        <v>1587</v>
      </c>
      <c r="AA12" s="243">
        <v>249951</v>
      </c>
      <c r="AB12" s="243">
        <v>279925</v>
      </c>
      <c r="AC12" s="243">
        <v>529876</v>
      </c>
    </row>
    <row r="13" spans="1:29" ht="24" customHeight="1" x14ac:dyDescent="0.3">
      <c r="A13" s="440">
        <v>9</v>
      </c>
      <c r="B13" s="391" t="s">
        <v>20</v>
      </c>
      <c r="C13" s="243">
        <v>58</v>
      </c>
      <c r="D13" s="243">
        <v>46</v>
      </c>
      <c r="E13" s="243">
        <v>104</v>
      </c>
      <c r="F13" s="243">
        <v>3</v>
      </c>
      <c r="G13" s="243">
        <v>4</v>
      </c>
      <c r="H13" s="243">
        <v>7</v>
      </c>
      <c r="I13" s="243">
        <v>973</v>
      </c>
      <c r="J13" s="243">
        <v>1669</v>
      </c>
      <c r="K13" s="243">
        <v>2642</v>
      </c>
      <c r="L13" s="243">
        <v>4667</v>
      </c>
      <c r="M13" s="243">
        <v>5187</v>
      </c>
      <c r="N13" s="243">
        <v>9854</v>
      </c>
      <c r="O13" s="243">
        <v>36</v>
      </c>
      <c r="P13" s="243">
        <v>68</v>
      </c>
      <c r="Q13" s="243">
        <v>104</v>
      </c>
      <c r="R13" s="243">
        <v>1127</v>
      </c>
      <c r="S13" s="243">
        <v>573</v>
      </c>
      <c r="T13" s="243">
        <v>1700</v>
      </c>
      <c r="U13" s="243">
        <v>184</v>
      </c>
      <c r="V13" s="243">
        <v>12</v>
      </c>
      <c r="W13" s="243">
        <v>196</v>
      </c>
      <c r="X13" s="243">
        <v>317</v>
      </c>
      <c r="Y13" s="243">
        <v>246</v>
      </c>
      <c r="Z13" s="243">
        <v>563</v>
      </c>
      <c r="AA13" s="243">
        <v>7365</v>
      </c>
      <c r="AB13" s="243">
        <v>7805</v>
      </c>
      <c r="AC13" s="243">
        <v>15170</v>
      </c>
    </row>
    <row r="14" spans="1:29" ht="24" customHeight="1" x14ac:dyDescent="0.3">
      <c r="A14" s="440">
        <v>10</v>
      </c>
      <c r="B14" s="391" t="s">
        <v>21</v>
      </c>
      <c r="C14" s="243">
        <v>891</v>
      </c>
      <c r="D14" s="243">
        <v>658</v>
      </c>
      <c r="E14" s="243">
        <v>1549</v>
      </c>
      <c r="F14" s="243">
        <v>9</v>
      </c>
      <c r="G14" s="243">
        <v>7</v>
      </c>
      <c r="H14" s="243">
        <v>16</v>
      </c>
      <c r="I14" s="243">
        <v>38490</v>
      </c>
      <c r="J14" s="243">
        <v>51348</v>
      </c>
      <c r="K14" s="243">
        <v>89838</v>
      </c>
      <c r="L14" s="243">
        <v>159851</v>
      </c>
      <c r="M14" s="243">
        <v>145675</v>
      </c>
      <c r="N14" s="243">
        <v>305526</v>
      </c>
      <c r="O14" s="243">
        <v>2483</v>
      </c>
      <c r="P14" s="243">
        <v>2639</v>
      </c>
      <c r="Q14" s="243">
        <v>5122</v>
      </c>
      <c r="R14" s="243">
        <v>25700</v>
      </c>
      <c r="S14" s="243">
        <v>18910</v>
      </c>
      <c r="T14" s="243">
        <v>44610</v>
      </c>
      <c r="U14" s="243">
        <v>4044</v>
      </c>
      <c r="V14" s="243">
        <v>4530</v>
      </c>
      <c r="W14" s="243">
        <v>8574</v>
      </c>
      <c r="X14" s="243">
        <v>1980</v>
      </c>
      <c r="Y14" s="243">
        <v>1527</v>
      </c>
      <c r="Z14" s="243">
        <v>3507</v>
      </c>
      <c r="AA14" s="243">
        <v>233448</v>
      </c>
      <c r="AB14" s="243">
        <v>225294</v>
      </c>
      <c r="AC14" s="243">
        <v>458742</v>
      </c>
    </row>
    <row r="15" spans="1:29" ht="24" customHeight="1" x14ac:dyDescent="0.3">
      <c r="A15" s="440">
        <v>11</v>
      </c>
      <c r="B15" s="391" t="s">
        <v>22</v>
      </c>
      <c r="C15" s="243">
        <v>548</v>
      </c>
      <c r="D15" s="243">
        <v>851</v>
      </c>
      <c r="E15" s="243">
        <v>1399</v>
      </c>
      <c r="F15" s="243">
        <v>6</v>
      </c>
      <c r="G15" s="243">
        <v>21</v>
      </c>
      <c r="H15" s="243">
        <v>27</v>
      </c>
      <c r="I15" s="243">
        <v>15029</v>
      </c>
      <c r="J15" s="243">
        <v>31671</v>
      </c>
      <c r="K15" s="243">
        <v>46700</v>
      </c>
      <c r="L15" s="243">
        <v>65103</v>
      </c>
      <c r="M15" s="243">
        <v>101894</v>
      </c>
      <c r="N15" s="243">
        <v>166997</v>
      </c>
      <c r="O15" s="243">
        <v>796</v>
      </c>
      <c r="P15" s="243">
        <v>1007</v>
      </c>
      <c r="Q15" s="243">
        <v>1803</v>
      </c>
      <c r="R15" s="243">
        <v>15581</v>
      </c>
      <c r="S15" s="243">
        <v>10094</v>
      </c>
      <c r="T15" s="243">
        <v>25675</v>
      </c>
      <c r="U15" s="243">
        <v>360</v>
      </c>
      <c r="V15" s="243">
        <v>568</v>
      </c>
      <c r="W15" s="243">
        <v>928</v>
      </c>
      <c r="X15" s="243">
        <v>1905</v>
      </c>
      <c r="Y15" s="243">
        <v>1999</v>
      </c>
      <c r="Z15" s="243">
        <v>3904</v>
      </c>
      <c r="AA15" s="243">
        <v>99328</v>
      </c>
      <c r="AB15" s="243">
        <v>148105</v>
      </c>
      <c r="AC15" s="243">
        <v>247433</v>
      </c>
    </row>
    <row r="16" spans="1:29" ht="24" customHeight="1" x14ac:dyDescent="0.3">
      <c r="A16" s="440">
        <v>12</v>
      </c>
      <c r="B16" s="391" t="s">
        <v>23</v>
      </c>
      <c r="C16" s="243">
        <v>232</v>
      </c>
      <c r="D16" s="243">
        <v>213</v>
      </c>
      <c r="E16" s="243">
        <v>445</v>
      </c>
      <c r="F16" s="243"/>
      <c r="G16" s="243"/>
      <c r="H16" s="243"/>
      <c r="I16" s="243">
        <v>4814</v>
      </c>
      <c r="J16" s="243">
        <v>7272</v>
      </c>
      <c r="K16" s="243">
        <v>12086</v>
      </c>
      <c r="L16" s="243">
        <v>18966</v>
      </c>
      <c r="M16" s="243">
        <v>29737</v>
      </c>
      <c r="N16" s="243">
        <v>48703</v>
      </c>
      <c r="O16" s="243">
        <v>299</v>
      </c>
      <c r="P16" s="243">
        <v>418</v>
      </c>
      <c r="Q16" s="243">
        <v>717</v>
      </c>
      <c r="R16" s="243">
        <v>2456</v>
      </c>
      <c r="S16" s="243">
        <v>2509</v>
      </c>
      <c r="T16" s="243">
        <v>4965</v>
      </c>
      <c r="U16" s="243">
        <v>34</v>
      </c>
      <c r="V16" s="243">
        <v>16</v>
      </c>
      <c r="W16" s="243">
        <v>50</v>
      </c>
      <c r="X16" s="243">
        <v>284</v>
      </c>
      <c r="Y16" s="243">
        <v>185</v>
      </c>
      <c r="Z16" s="243">
        <v>469</v>
      </c>
      <c r="AA16" s="243">
        <v>27085</v>
      </c>
      <c r="AB16" s="243">
        <v>40350</v>
      </c>
      <c r="AC16" s="243">
        <v>67435</v>
      </c>
    </row>
    <row r="17" spans="1:29" ht="30" customHeight="1" x14ac:dyDescent="0.3">
      <c r="A17" s="440">
        <v>13</v>
      </c>
      <c r="B17" s="391" t="s">
        <v>24</v>
      </c>
      <c r="C17" s="243">
        <v>390</v>
      </c>
      <c r="D17" s="243">
        <v>343</v>
      </c>
      <c r="E17" s="243">
        <v>733</v>
      </c>
      <c r="F17" s="243"/>
      <c r="G17" s="243"/>
      <c r="H17" s="243"/>
      <c r="I17" s="243">
        <v>3951</v>
      </c>
      <c r="J17" s="243">
        <v>7842</v>
      </c>
      <c r="K17" s="243">
        <v>11793</v>
      </c>
      <c r="L17" s="243">
        <v>15972</v>
      </c>
      <c r="M17" s="243">
        <v>22103</v>
      </c>
      <c r="N17" s="243">
        <v>38075</v>
      </c>
      <c r="O17" s="243">
        <v>92</v>
      </c>
      <c r="P17" s="243">
        <v>96</v>
      </c>
      <c r="Q17" s="243">
        <v>188</v>
      </c>
      <c r="R17" s="243">
        <v>3250</v>
      </c>
      <c r="S17" s="243">
        <v>4348</v>
      </c>
      <c r="T17" s="243">
        <v>7598</v>
      </c>
      <c r="U17" s="243">
        <v>54</v>
      </c>
      <c r="V17" s="243">
        <v>215</v>
      </c>
      <c r="W17" s="243">
        <v>269</v>
      </c>
      <c r="X17" s="243">
        <v>744</v>
      </c>
      <c r="Y17" s="243">
        <v>1106</v>
      </c>
      <c r="Z17" s="243">
        <v>1850</v>
      </c>
      <c r="AA17" s="243">
        <v>24453</v>
      </c>
      <c r="AB17" s="243">
        <v>36053</v>
      </c>
      <c r="AC17" s="243">
        <v>60506</v>
      </c>
    </row>
    <row r="18" spans="1:29" ht="24" customHeight="1" x14ac:dyDescent="0.3">
      <c r="A18" s="440">
        <v>14</v>
      </c>
      <c r="B18" s="391" t="s">
        <v>25</v>
      </c>
      <c r="C18" s="243">
        <v>411</v>
      </c>
      <c r="D18" s="243">
        <v>193</v>
      </c>
      <c r="E18" s="243">
        <v>604</v>
      </c>
      <c r="F18" s="243">
        <v>4</v>
      </c>
      <c r="G18" s="243">
        <v>32</v>
      </c>
      <c r="H18" s="243">
        <v>36</v>
      </c>
      <c r="I18" s="243">
        <v>14889</v>
      </c>
      <c r="J18" s="243">
        <v>21765</v>
      </c>
      <c r="K18" s="243">
        <v>36654</v>
      </c>
      <c r="L18" s="243">
        <v>76859</v>
      </c>
      <c r="M18" s="243">
        <v>80372</v>
      </c>
      <c r="N18" s="243">
        <v>157231</v>
      </c>
      <c r="O18" s="243">
        <v>747</v>
      </c>
      <c r="P18" s="243">
        <v>415</v>
      </c>
      <c r="Q18" s="243">
        <v>1162</v>
      </c>
      <c r="R18" s="243">
        <v>13454</v>
      </c>
      <c r="S18" s="243">
        <v>9788</v>
      </c>
      <c r="T18" s="243">
        <v>23242</v>
      </c>
      <c r="U18" s="243">
        <v>593</v>
      </c>
      <c r="V18" s="243">
        <v>298</v>
      </c>
      <c r="W18" s="243">
        <v>891</v>
      </c>
      <c r="X18" s="243">
        <v>448</v>
      </c>
      <c r="Y18" s="243">
        <v>298</v>
      </c>
      <c r="Z18" s="243">
        <v>746</v>
      </c>
      <c r="AA18" s="243">
        <v>107405</v>
      </c>
      <c r="AB18" s="243">
        <v>113161</v>
      </c>
      <c r="AC18" s="243">
        <v>220566</v>
      </c>
    </row>
    <row r="19" spans="1:29" ht="24" customHeight="1" x14ac:dyDescent="0.3">
      <c r="A19" s="440">
        <v>15</v>
      </c>
      <c r="B19" s="391" t="s">
        <v>26</v>
      </c>
      <c r="C19" s="243">
        <v>1024</v>
      </c>
      <c r="D19" s="243">
        <v>985</v>
      </c>
      <c r="E19" s="243">
        <v>2009</v>
      </c>
      <c r="F19" s="243">
        <v>25</v>
      </c>
      <c r="G19" s="243">
        <v>108</v>
      </c>
      <c r="H19" s="243">
        <v>133</v>
      </c>
      <c r="I19" s="243">
        <v>42741</v>
      </c>
      <c r="J19" s="243">
        <v>55258</v>
      </c>
      <c r="K19" s="243">
        <v>97999</v>
      </c>
      <c r="L19" s="243">
        <v>209542</v>
      </c>
      <c r="M19" s="243">
        <v>236279</v>
      </c>
      <c r="N19" s="243">
        <v>445821</v>
      </c>
      <c r="O19" s="243">
        <v>1687</v>
      </c>
      <c r="P19" s="243">
        <v>1519</v>
      </c>
      <c r="Q19" s="243">
        <v>3206</v>
      </c>
      <c r="R19" s="243">
        <v>29957</v>
      </c>
      <c r="S19" s="243">
        <v>26005</v>
      </c>
      <c r="T19" s="243">
        <v>55962</v>
      </c>
      <c r="U19" s="243">
        <v>447</v>
      </c>
      <c r="V19" s="243">
        <v>468</v>
      </c>
      <c r="W19" s="243">
        <v>915</v>
      </c>
      <c r="X19" s="243">
        <v>1188</v>
      </c>
      <c r="Y19" s="243">
        <v>1266</v>
      </c>
      <c r="Z19" s="243">
        <v>2454</v>
      </c>
      <c r="AA19" s="243">
        <v>286611</v>
      </c>
      <c r="AB19" s="243">
        <v>321888</v>
      </c>
      <c r="AC19" s="243">
        <v>608499</v>
      </c>
    </row>
    <row r="20" spans="1:29" ht="24" customHeight="1" x14ac:dyDescent="0.3">
      <c r="A20" s="440">
        <v>16</v>
      </c>
      <c r="B20" s="391" t="s">
        <v>27</v>
      </c>
      <c r="C20" s="243">
        <v>446</v>
      </c>
      <c r="D20" s="243">
        <v>707</v>
      </c>
      <c r="E20" s="243">
        <v>1153</v>
      </c>
      <c r="F20" s="243"/>
      <c r="G20" s="243">
        <v>1</v>
      </c>
      <c r="H20" s="243">
        <v>1</v>
      </c>
      <c r="I20" s="243">
        <v>11825</v>
      </c>
      <c r="J20" s="243">
        <v>35796</v>
      </c>
      <c r="K20" s="243">
        <v>47621</v>
      </c>
      <c r="L20" s="243">
        <v>63066</v>
      </c>
      <c r="M20" s="243">
        <v>112375</v>
      </c>
      <c r="N20" s="243">
        <v>175441</v>
      </c>
      <c r="O20" s="243">
        <v>418</v>
      </c>
      <c r="P20" s="243">
        <v>836</v>
      </c>
      <c r="Q20" s="243">
        <v>1254</v>
      </c>
      <c r="R20" s="243">
        <v>10192</v>
      </c>
      <c r="S20" s="243">
        <v>13448</v>
      </c>
      <c r="T20" s="243">
        <v>23640</v>
      </c>
      <c r="U20" s="243">
        <v>991</v>
      </c>
      <c r="V20" s="243">
        <v>614</v>
      </c>
      <c r="W20" s="243">
        <v>1605</v>
      </c>
      <c r="X20" s="243">
        <v>655</v>
      </c>
      <c r="Y20" s="243">
        <v>1250</v>
      </c>
      <c r="Z20" s="243">
        <v>1905</v>
      </c>
      <c r="AA20" s="243">
        <v>87593</v>
      </c>
      <c r="AB20" s="243">
        <v>165027</v>
      </c>
      <c r="AC20" s="243">
        <v>252620</v>
      </c>
    </row>
    <row r="21" spans="1:29" ht="24" customHeight="1" x14ac:dyDescent="0.3">
      <c r="A21" s="440">
        <v>17</v>
      </c>
      <c r="B21" s="391" t="s">
        <v>28</v>
      </c>
      <c r="C21" s="243"/>
      <c r="D21" s="243"/>
      <c r="E21" s="243"/>
      <c r="F21" s="243"/>
      <c r="G21" s="243"/>
      <c r="H21" s="243"/>
      <c r="I21" s="243">
        <v>43</v>
      </c>
      <c r="J21" s="243">
        <v>91</v>
      </c>
      <c r="K21" s="243">
        <v>134</v>
      </c>
      <c r="L21" s="243">
        <v>186</v>
      </c>
      <c r="M21" s="243">
        <v>315</v>
      </c>
      <c r="N21" s="243">
        <v>501</v>
      </c>
      <c r="O21" s="243"/>
      <c r="P21" s="243"/>
      <c r="Q21" s="243"/>
      <c r="R21" s="243">
        <v>121</v>
      </c>
      <c r="S21" s="243">
        <v>242</v>
      </c>
      <c r="T21" s="243">
        <v>363</v>
      </c>
      <c r="U21" s="243">
        <v>45</v>
      </c>
      <c r="V21" s="243">
        <v>22</v>
      </c>
      <c r="W21" s="243">
        <v>67</v>
      </c>
      <c r="X21" s="243"/>
      <c r="Y21" s="243"/>
      <c r="Z21" s="243"/>
      <c r="AA21" s="243">
        <v>395</v>
      </c>
      <c r="AB21" s="243">
        <v>670</v>
      </c>
      <c r="AC21" s="243">
        <v>1065</v>
      </c>
    </row>
    <row r="22" spans="1:29" ht="24" customHeight="1" x14ac:dyDescent="0.3">
      <c r="A22" s="440">
        <v>18</v>
      </c>
      <c r="B22" s="391" t="s">
        <v>82</v>
      </c>
      <c r="C22" s="243"/>
      <c r="D22" s="243"/>
      <c r="E22" s="243"/>
      <c r="F22" s="243"/>
      <c r="G22" s="243"/>
      <c r="H22" s="243"/>
      <c r="I22" s="243"/>
      <c r="J22" s="243"/>
      <c r="K22" s="243"/>
      <c r="L22" s="243">
        <v>30</v>
      </c>
      <c r="M22" s="243">
        <v>144</v>
      </c>
      <c r="N22" s="243">
        <v>174</v>
      </c>
      <c r="O22" s="243"/>
      <c r="P22" s="243"/>
      <c r="Q22" s="243"/>
      <c r="R22" s="243">
        <v>3</v>
      </c>
      <c r="S22" s="243">
        <v>17</v>
      </c>
      <c r="T22" s="243">
        <v>20</v>
      </c>
      <c r="U22" s="243"/>
      <c r="V22" s="243"/>
      <c r="W22" s="243"/>
      <c r="X22" s="243"/>
      <c r="Y22" s="243"/>
      <c r="Z22" s="243"/>
      <c r="AA22" s="243">
        <v>33</v>
      </c>
      <c r="AB22" s="243">
        <v>161</v>
      </c>
      <c r="AC22" s="243">
        <v>194</v>
      </c>
    </row>
    <row r="23" spans="1:29" ht="24" customHeight="1" x14ac:dyDescent="0.3">
      <c r="A23" s="440">
        <v>19</v>
      </c>
      <c r="B23" s="391" t="s">
        <v>29</v>
      </c>
      <c r="C23" s="243">
        <v>985</v>
      </c>
      <c r="D23" s="243">
        <v>780</v>
      </c>
      <c r="E23" s="243">
        <v>1765</v>
      </c>
      <c r="F23" s="243"/>
      <c r="G23" s="243">
        <v>8</v>
      </c>
      <c r="H23" s="243">
        <v>8</v>
      </c>
      <c r="I23" s="243">
        <v>72248</v>
      </c>
      <c r="J23" s="243">
        <v>93741</v>
      </c>
      <c r="K23" s="243">
        <v>165989</v>
      </c>
      <c r="L23" s="243">
        <v>243768</v>
      </c>
      <c r="M23" s="243">
        <v>242429</v>
      </c>
      <c r="N23" s="243">
        <v>486197</v>
      </c>
      <c r="O23" s="243">
        <v>14218</v>
      </c>
      <c r="P23" s="243">
        <v>18063</v>
      </c>
      <c r="Q23" s="243">
        <v>32281</v>
      </c>
      <c r="R23" s="243">
        <v>44576</v>
      </c>
      <c r="S23" s="243">
        <v>33198</v>
      </c>
      <c r="T23" s="243">
        <v>77774</v>
      </c>
      <c r="U23" s="243">
        <v>1386</v>
      </c>
      <c r="V23" s="243">
        <v>629</v>
      </c>
      <c r="W23" s="243">
        <v>2015</v>
      </c>
      <c r="X23" s="243">
        <v>3516</v>
      </c>
      <c r="Y23" s="243">
        <v>3279</v>
      </c>
      <c r="Z23" s="243">
        <v>6795</v>
      </c>
      <c r="AA23" s="243">
        <v>380697</v>
      </c>
      <c r="AB23" s="243">
        <v>392127</v>
      </c>
      <c r="AC23" s="243">
        <v>772824</v>
      </c>
    </row>
    <row r="24" spans="1:29" ht="24" customHeight="1" x14ac:dyDescent="0.3">
      <c r="A24" s="440">
        <v>20</v>
      </c>
      <c r="B24" s="391" t="s">
        <v>30</v>
      </c>
      <c r="C24" s="243">
        <v>1325</v>
      </c>
      <c r="D24" s="243">
        <v>1005</v>
      </c>
      <c r="E24" s="243">
        <v>2330</v>
      </c>
      <c r="F24" s="243">
        <v>2</v>
      </c>
      <c r="G24" s="243">
        <v>5</v>
      </c>
      <c r="H24" s="243">
        <v>7</v>
      </c>
      <c r="I24" s="243">
        <v>99379</v>
      </c>
      <c r="J24" s="243">
        <v>109906</v>
      </c>
      <c r="K24" s="243">
        <v>209285</v>
      </c>
      <c r="L24" s="243">
        <v>372465</v>
      </c>
      <c r="M24" s="243">
        <v>330333</v>
      </c>
      <c r="N24" s="243">
        <v>702798</v>
      </c>
      <c r="O24" s="243">
        <v>7571</v>
      </c>
      <c r="P24" s="243">
        <v>5833</v>
      </c>
      <c r="Q24" s="243">
        <v>13404</v>
      </c>
      <c r="R24" s="243">
        <v>62486</v>
      </c>
      <c r="S24" s="243">
        <v>57871</v>
      </c>
      <c r="T24" s="243">
        <v>120357</v>
      </c>
      <c r="U24" s="243">
        <v>5972</v>
      </c>
      <c r="V24" s="243">
        <v>4234</v>
      </c>
      <c r="W24" s="243">
        <v>10206</v>
      </c>
      <c r="X24" s="243">
        <v>1887</v>
      </c>
      <c r="Y24" s="243">
        <v>1873</v>
      </c>
      <c r="Z24" s="243">
        <v>3760</v>
      </c>
      <c r="AA24" s="243">
        <v>551087</v>
      </c>
      <c r="AB24" s="243">
        <v>511060</v>
      </c>
      <c r="AC24" s="243">
        <v>1062147</v>
      </c>
    </row>
    <row r="25" spans="1:29" ht="24" customHeight="1" x14ac:dyDescent="0.3">
      <c r="A25" s="440">
        <v>21</v>
      </c>
      <c r="B25" s="391" t="s">
        <v>31</v>
      </c>
      <c r="C25" s="243">
        <v>145</v>
      </c>
      <c r="D25" s="243">
        <v>182</v>
      </c>
      <c r="E25" s="243">
        <v>327</v>
      </c>
      <c r="F25" s="243">
        <v>2</v>
      </c>
      <c r="G25" s="243">
        <v>4</v>
      </c>
      <c r="H25" s="243">
        <v>6</v>
      </c>
      <c r="I25" s="243">
        <v>1388</v>
      </c>
      <c r="J25" s="243">
        <v>1716</v>
      </c>
      <c r="K25" s="243">
        <v>3104</v>
      </c>
      <c r="L25" s="243">
        <v>11871</v>
      </c>
      <c r="M25" s="243">
        <v>12450</v>
      </c>
      <c r="N25" s="243">
        <v>24321</v>
      </c>
      <c r="O25" s="243">
        <v>212</v>
      </c>
      <c r="P25" s="243">
        <v>251</v>
      </c>
      <c r="Q25" s="243">
        <v>463</v>
      </c>
      <c r="R25" s="243">
        <v>572</v>
      </c>
      <c r="S25" s="243">
        <v>1073</v>
      </c>
      <c r="T25" s="243">
        <v>1645</v>
      </c>
      <c r="U25" s="243">
        <v>26</v>
      </c>
      <c r="V25" s="243">
        <v>18</v>
      </c>
      <c r="W25" s="243">
        <v>44</v>
      </c>
      <c r="X25" s="243">
        <v>6</v>
      </c>
      <c r="Y25" s="243">
        <v>19</v>
      </c>
      <c r="Z25" s="243">
        <v>25</v>
      </c>
      <c r="AA25" s="243">
        <v>14222</v>
      </c>
      <c r="AB25" s="243">
        <v>15713</v>
      </c>
      <c r="AC25" s="243">
        <v>29935</v>
      </c>
    </row>
    <row r="26" spans="1:29" ht="24" customHeight="1" x14ac:dyDescent="0.3">
      <c r="A26" s="440">
        <v>22</v>
      </c>
      <c r="B26" s="391" t="s">
        <v>32</v>
      </c>
      <c r="C26" s="243">
        <v>24</v>
      </c>
      <c r="D26" s="243">
        <v>16</v>
      </c>
      <c r="E26" s="243">
        <v>40</v>
      </c>
      <c r="F26" s="243"/>
      <c r="G26" s="243"/>
      <c r="H26" s="243"/>
      <c r="I26" s="243">
        <v>1730</v>
      </c>
      <c r="J26" s="243">
        <v>2709</v>
      </c>
      <c r="K26" s="243">
        <v>4439</v>
      </c>
      <c r="L26" s="243">
        <v>6486</v>
      </c>
      <c r="M26" s="243">
        <v>9005</v>
      </c>
      <c r="N26" s="243">
        <v>15491</v>
      </c>
      <c r="O26" s="243">
        <v>27</v>
      </c>
      <c r="P26" s="243">
        <v>21</v>
      </c>
      <c r="Q26" s="243">
        <v>48</v>
      </c>
      <c r="R26" s="243">
        <v>239</v>
      </c>
      <c r="S26" s="243">
        <v>585</v>
      </c>
      <c r="T26" s="243">
        <v>824</v>
      </c>
      <c r="U26" s="243">
        <v>22</v>
      </c>
      <c r="V26" s="243">
        <v>28</v>
      </c>
      <c r="W26" s="243">
        <v>50</v>
      </c>
      <c r="X26" s="243">
        <v>19</v>
      </c>
      <c r="Y26" s="243">
        <v>38</v>
      </c>
      <c r="Z26" s="243">
        <v>57</v>
      </c>
      <c r="AA26" s="243">
        <v>8547</v>
      </c>
      <c r="AB26" s="243">
        <v>12402</v>
      </c>
      <c r="AC26" s="243">
        <v>20949</v>
      </c>
    </row>
    <row r="27" spans="1:29" ht="24" customHeight="1" x14ac:dyDescent="0.3">
      <c r="A27" s="440">
        <v>23</v>
      </c>
      <c r="B27" s="391" t="s">
        <v>33</v>
      </c>
      <c r="C27" s="243">
        <v>81</v>
      </c>
      <c r="D27" s="243">
        <v>81</v>
      </c>
      <c r="E27" s="243">
        <v>162</v>
      </c>
      <c r="F27" s="243"/>
      <c r="G27" s="243"/>
      <c r="H27" s="243"/>
      <c r="I27" s="243">
        <v>501</v>
      </c>
      <c r="J27" s="243">
        <v>662</v>
      </c>
      <c r="K27" s="243">
        <v>1163</v>
      </c>
      <c r="L27" s="243">
        <v>2830</v>
      </c>
      <c r="M27" s="243">
        <v>3064</v>
      </c>
      <c r="N27" s="243">
        <v>5894</v>
      </c>
      <c r="O27" s="243"/>
      <c r="P27" s="243"/>
      <c r="Q27" s="243"/>
      <c r="R27" s="243">
        <v>3037</v>
      </c>
      <c r="S27" s="243">
        <v>4145</v>
      </c>
      <c r="T27" s="243">
        <v>7182</v>
      </c>
      <c r="U27" s="243">
        <v>114</v>
      </c>
      <c r="V27" s="243">
        <v>97</v>
      </c>
      <c r="W27" s="243">
        <v>211</v>
      </c>
      <c r="X27" s="243">
        <v>4</v>
      </c>
      <c r="Y27" s="243">
        <v>2</v>
      </c>
      <c r="Z27" s="243">
        <v>6</v>
      </c>
      <c r="AA27" s="243">
        <v>6567</v>
      </c>
      <c r="AB27" s="243">
        <v>8051</v>
      </c>
      <c r="AC27" s="243">
        <v>14618</v>
      </c>
    </row>
    <row r="28" spans="1:29" ht="24" customHeight="1" x14ac:dyDescent="0.3">
      <c r="A28" s="440">
        <v>24</v>
      </c>
      <c r="B28" s="391" t="s">
        <v>34</v>
      </c>
      <c r="C28" s="243">
        <v>61</v>
      </c>
      <c r="D28" s="243">
        <v>81</v>
      </c>
      <c r="E28" s="243">
        <v>142</v>
      </c>
      <c r="F28" s="243"/>
      <c r="G28" s="243"/>
      <c r="H28" s="243"/>
      <c r="I28" s="243">
        <v>884</v>
      </c>
      <c r="J28" s="243">
        <v>1348</v>
      </c>
      <c r="K28" s="243">
        <v>2232</v>
      </c>
      <c r="L28" s="243">
        <v>4373</v>
      </c>
      <c r="M28" s="243">
        <v>5566</v>
      </c>
      <c r="N28" s="243">
        <v>9939</v>
      </c>
      <c r="O28" s="243"/>
      <c r="P28" s="243">
        <v>9</v>
      </c>
      <c r="Q28" s="243">
        <v>9</v>
      </c>
      <c r="R28" s="243">
        <v>191</v>
      </c>
      <c r="S28" s="243">
        <v>393</v>
      </c>
      <c r="T28" s="243">
        <v>584</v>
      </c>
      <c r="U28" s="243">
        <v>224</v>
      </c>
      <c r="V28" s="243">
        <v>258</v>
      </c>
      <c r="W28" s="243">
        <v>482</v>
      </c>
      <c r="X28" s="243"/>
      <c r="Y28" s="243"/>
      <c r="Z28" s="243"/>
      <c r="AA28" s="243">
        <v>5733</v>
      </c>
      <c r="AB28" s="243">
        <v>7655</v>
      </c>
      <c r="AC28" s="243">
        <v>13388</v>
      </c>
    </row>
    <row r="29" spans="1:29" ht="24" customHeight="1" x14ac:dyDescent="0.3">
      <c r="A29" s="440">
        <v>25</v>
      </c>
      <c r="B29" s="391" t="s">
        <v>35</v>
      </c>
      <c r="C29" s="243">
        <v>396</v>
      </c>
      <c r="D29" s="243">
        <v>313</v>
      </c>
      <c r="E29" s="243">
        <v>709</v>
      </c>
      <c r="F29" s="243">
        <v>11</v>
      </c>
      <c r="G29" s="243">
        <v>18</v>
      </c>
      <c r="H29" s="243">
        <v>29</v>
      </c>
      <c r="I29" s="243">
        <v>20437</v>
      </c>
      <c r="J29" s="243">
        <v>22865</v>
      </c>
      <c r="K29" s="243">
        <v>43302</v>
      </c>
      <c r="L29" s="243">
        <v>90999</v>
      </c>
      <c r="M29" s="243">
        <v>95209</v>
      </c>
      <c r="N29" s="243">
        <v>186208</v>
      </c>
      <c r="O29" s="243">
        <v>497</v>
      </c>
      <c r="P29" s="243">
        <v>320</v>
      </c>
      <c r="Q29" s="243">
        <v>817</v>
      </c>
      <c r="R29" s="243">
        <v>24920</v>
      </c>
      <c r="S29" s="243">
        <v>13136</v>
      </c>
      <c r="T29" s="243">
        <v>38056</v>
      </c>
      <c r="U29" s="243">
        <v>204</v>
      </c>
      <c r="V29" s="243">
        <v>393</v>
      </c>
      <c r="W29" s="243">
        <v>597</v>
      </c>
      <c r="X29" s="243">
        <v>1182</v>
      </c>
      <c r="Y29" s="243">
        <v>1198</v>
      </c>
      <c r="Z29" s="243">
        <v>2380</v>
      </c>
      <c r="AA29" s="243">
        <v>138646</v>
      </c>
      <c r="AB29" s="243">
        <v>133452</v>
      </c>
      <c r="AC29" s="243">
        <v>272098</v>
      </c>
    </row>
    <row r="30" spans="1:29" ht="24" customHeight="1" x14ac:dyDescent="0.3">
      <c r="A30" s="440">
        <v>26</v>
      </c>
      <c r="B30" s="391" t="s">
        <v>36</v>
      </c>
      <c r="C30" s="243">
        <v>41</v>
      </c>
      <c r="D30" s="243">
        <v>17</v>
      </c>
      <c r="E30" s="243">
        <v>58</v>
      </c>
      <c r="F30" s="243"/>
      <c r="G30" s="243"/>
      <c r="H30" s="243"/>
      <c r="I30" s="243">
        <v>3869</v>
      </c>
      <c r="J30" s="243">
        <v>5280</v>
      </c>
      <c r="K30" s="243">
        <v>9149</v>
      </c>
      <c r="L30" s="243">
        <v>5579</v>
      </c>
      <c r="M30" s="243">
        <v>8265</v>
      </c>
      <c r="N30" s="243">
        <v>13844</v>
      </c>
      <c r="O30" s="243">
        <v>12</v>
      </c>
      <c r="P30" s="243">
        <v>6</v>
      </c>
      <c r="Q30" s="243">
        <v>18</v>
      </c>
      <c r="R30" s="243">
        <v>370</v>
      </c>
      <c r="S30" s="243">
        <v>293</v>
      </c>
      <c r="T30" s="243">
        <v>663</v>
      </c>
      <c r="U30" s="243"/>
      <c r="V30" s="243"/>
      <c r="W30" s="243"/>
      <c r="X30" s="243">
        <v>59</v>
      </c>
      <c r="Y30" s="243">
        <v>157</v>
      </c>
      <c r="Z30" s="243">
        <v>216</v>
      </c>
      <c r="AA30" s="243">
        <v>9930</v>
      </c>
      <c r="AB30" s="243">
        <v>14018</v>
      </c>
      <c r="AC30" s="243">
        <v>23948</v>
      </c>
    </row>
    <row r="31" spans="1:29" ht="24" customHeight="1" x14ac:dyDescent="0.3">
      <c r="A31" s="440">
        <v>27</v>
      </c>
      <c r="B31" s="391" t="s">
        <v>37</v>
      </c>
      <c r="C31" s="243">
        <v>679</v>
      </c>
      <c r="D31" s="243">
        <v>686</v>
      </c>
      <c r="E31" s="243">
        <v>1365</v>
      </c>
      <c r="F31" s="243"/>
      <c r="G31" s="243">
        <v>4</v>
      </c>
      <c r="H31" s="243">
        <v>4</v>
      </c>
      <c r="I31" s="243">
        <v>17550</v>
      </c>
      <c r="J31" s="243">
        <v>25271</v>
      </c>
      <c r="K31" s="243">
        <v>42821</v>
      </c>
      <c r="L31" s="243">
        <v>65063</v>
      </c>
      <c r="M31" s="243">
        <v>75647</v>
      </c>
      <c r="N31" s="243">
        <v>140710</v>
      </c>
      <c r="O31" s="243">
        <v>1621</v>
      </c>
      <c r="P31" s="243">
        <v>2004</v>
      </c>
      <c r="Q31" s="243">
        <v>3625</v>
      </c>
      <c r="R31" s="243">
        <v>9392</v>
      </c>
      <c r="S31" s="243">
        <v>15101</v>
      </c>
      <c r="T31" s="243">
        <v>24493</v>
      </c>
      <c r="U31" s="243">
        <v>1170</v>
      </c>
      <c r="V31" s="243">
        <v>2319</v>
      </c>
      <c r="W31" s="243">
        <v>3489</v>
      </c>
      <c r="X31" s="243">
        <v>1475</v>
      </c>
      <c r="Y31" s="243">
        <v>2057</v>
      </c>
      <c r="Z31" s="243">
        <v>3532</v>
      </c>
      <c r="AA31" s="243">
        <v>96950</v>
      </c>
      <c r="AB31" s="243">
        <v>123089</v>
      </c>
      <c r="AC31" s="243">
        <v>220039</v>
      </c>
    </row>
    <row r="32" spans="1:29" ht="24" customHeight="1" x14ac:dyDescent="0.3">
      <c r="A32" s="440">
        <v>28</v>
      </c>
      <c r="B32" s="391" t="s">
        <v>38</v>
      </c>
      <c r="C32" s="243">
        <v>1285</v>
      </c>
      <c r="D32" s="243">
        <v>1544</v>
      </c>
      <c r="E32" s="243">
        <v>2829</v>
      </c>
      <c r="F32" s="243"/>
      <c r="G32" s="243">
        <v>20</v>
      </c>
      <c r="H32" s="243">
        <v>20</v>
      </c>
      <c r="I32" s="243">
        <v>46109</v>
      </c>
      <c r="J32" s="243">
        <v>66012</v>
      </c>
      <c r="K32" s="243">
        <v>112121</v>
      </c>
      <c r="L32" s="243">
        <v>262513</v>
      </c>
      <c r="M32" s="243">
        <v>285027</v>
      </c>
      <c r="N32" s="243">
        <v>547540</v>
      </c>
      <c r="O32" s="243">
        <v>4391</v>
      </c>
      <c r="P32" s="243">
        <v>2479</v>
      </c>
      <c r="Q32" s="243">
        <v>6870</v>
      </c>
      <c r="R32" s="243">
        <v>31683</v>
      </c>
      <c r="S32" s="243">
        <v>19620</v>
      </c>
      <c r="T32" s="243">
        <v>51303</v>
      </c>
      <c r="U32" s="243">
        <v>769</v>
      </c>
      <c r="V32" s="243">
        <v>947</v>
      </c>
      <c r="W32" s="243">
        <v>1716</v>
      </c>
      <c r="X32" s="243">
        <v>18265</v>
      </c>
      <c r="Y32" s="243">
        <v>19344</v>
      </c>
      <c r="Z32" s="243">
        <v>37609</v>
      </c>
      <c r="AA32" s="243">
        <v>365015</v>
      </c>
      <c r="AB32" s="243">
        <v>394993</v>
      </c>
      <c r="AC32" s="243">
        <v>760008</v>
      </c>
    </row>
    <row r="33" spans="1:29" ht="24" customHeight="1" x14ac:dyDescent="0.3">
      <c r="A33" s="440">
        <v>29</v>
      </c>
      <c r="B33" s="391" t="s">
        <v>39</v>
      </c>
      <c r="C33" s="243">
        <v>36</v>
      </c>
      <c r="D33" s="243">
        <v>26</v>
      </c>
      <c r="E33" s="243">
        <v>62</v>
      </c>
      <c r="F33" s="243"/>
      <c r="G33" s="243"/>
      <c r="H33" s="243"/>
      <c r="I33" s="243">
        <v>639</v>
      </c>
      <c r="J33" s="243">
        <v>856</v>
      </c>
      <c r="K33" s="243">
        <v>1495</v>
      </c>
      <c r="L33" s="243">
        <v>2727</v>
      </c>
      <c r="M33" s="243">
        <v>2870</v>
      </c>
      <c r="N33" s="243">
        <v>5597</v>
      </c>
      <c r="O33" s="243">
        <v>3</v>
      </c>
      <c r="P33" s="243">
        <v>4</v>
      </c>
      <c r="Q33" s="243">
        <v>7</v>
      </c>
      <c r="R33" s="243">
        <v>270</v>
      </c>
      <c r="S33" s="243">
        <v>325</v>
      </c>
      <c r="T33" s="243">
        <v>595</v>
      </c>
      <c r="U33" s="243">
        <v>37</v>
      </c>
      <c r="V33" s="243">
        <v>6</v>
      </c>
      <c r="W33" s="243">
        <v>43</v>
      </c>
      <c r="X33" s="243">
        <v>25</v>
      </c>
      <c r="Y33" s="243">
        <v>44</v>
      </c>
      <c r="Z33" s="243">
        <v>69</v>
      </c>
      <c r="AA33" s="243">
        <v>3737</v>
      </c>
      <c r="AB33" s="243">
        <v>4131</v>
      </c>
      <c r="AC33" s="243">
        <v>7868</v>
      </c>
    </row>
    <row r="34" spans="1:29" ht="24" customHeight="1" x14ac:dyDescent="0.3">
      <c r="A34" s="440">
        <v>30</v>
      </c>
      <c r="B34" s="391" t="s">
        <v>40</v>
      </c>
      <c r="C34" s="243">
        <v>1255</v>
      </c>
      <c r="D34" s="243">
        <v>1524</v>
      </c>
      <c r="E34" s="243">
        <v>2779</v>
      </c>
      <c r="F34" s="243">
        <v>66</v>
      </c>
      <c r="G34" s="243">
        <v>232</v>
      </c>
      <c r="H34" s="243">
        <v>298</v>
      </c>
      <c r="I34" s="243">
        <v>71436</v>
      </c>
      <c r="J34" s="243">
        <v>107499</v>
      </c>
      <c r="K34" s="243">
        <v>178935</v>
      </c>
      <c r="L34" s="243">
        <v>279620</v>
      </c>
      <c r="M34" s="243">
        <v>340009</v>
      </c>
      <c r="N34" s="243">
        <v>619629</v>
      </c>
      <c r="O34" s="243">
        <v>1066</v>
      </c>
      <c r="P34" s="243">
        <v>1227</v>
      </c>
      <c r="Q34" s="243">
        <v>2293</v>
      </c>
      <c r="R34" s="243">
        <v>30143</v>
      </c>
      <c r="S34" s="243">
        <v>13670</v>
      </c>
      <c r="T34" s="243">
        <v>43813</v>
      </c>
      <c r="U34" s="243">
        <v>9096</v>
      </c>
      <c r="V34" s="243">
        <v>12794</v>
      </c>
      <c r="W34" s="243">
        <v>21890</v>
      </c>
      <c r="X34" s="243">
        <v>2174</v>
      </c>
      <c r="Y34" s="243">
        <v>2224</v>
      </c>
      <c r="Z34" s="243">
        <v>4398</v>
      </c>
      <c r="AA34" s="243">
        <v>394856</v>
      </c>
      <c r="AB34" s="243">
        <v>479179</v>
      </c>
      <c r="AC34" s="243">
        <v>874035</v>
      </c>
    </row>
    <row r="35" spans="1:29" ht="24" customHeight="1" x14ac:dyDescent="0.3">
      <c r="A35" s="440">
        <v>31</v>
      </c>
      <c r="B35" s="391" t="s">
        <v>41</v>
      </c>
      <c r="C35" s="243">
        <v>1239</v>
      </c>
      <c r="D35" s="243">
        <v>689</v>
      </c>
      <c r="E35" s="243">
        <v>1928</v>
      </c>
      <c r="F35" s="243">
        <v>9</v>
      </c>
      <c r="G35" s="243">
        <v>19</v>
      </c>
      <c r="H35" s="243">
        <v>28</v>
      </c>
      <c r="I35" s="243">
        <v>27981</v>
      </c>
      <c r="J35" s="243">
        <v>38426</v>
      </c>
      <c r="K35" s="243">
        <v>66407</v>
      </c>
      <c r="L35" s="243">
        <v>116487</v>
      </c>
      <c r="M35" s="243">
        <v>132743</v>
      </c>
      <c r="N35" s="243">
        <v>249230</v>
      </c>
      <c r="O35" s="243">
        <v>2381</v>
      </c>
      <c r="P35" s="243">
        <v>2252</v>
      </c>
      <c r="Q35" s="243">
        <v>4633</v>
      </c>
      <c r="R35" s="243">
        <v>11008</v>
      </c>
      <c r="S35" s="243">
        <v>10035</v>
      </c>
      <c r="T35" s="243">
        <v>21043</v>
      </c>
      <c r="U35" s="243">
        <v>1367</v>
      </c>
      <c r="V35" s="243">
        <v>513</v>
      </c>
      <c r="W35" s="243">
        <v>1880</v>
      </c>
      <c r="X35" s="243">
        <v>777</v>
      </c>
      <c r="Y35" s="243">
        <v>525</v>
      </c>
      <c r="Z35" s="243">
        <v>1302</v>
      </c>
      <c r="AA35" s="243">
        <v>161249</v>
      </c>
      <c r="AB35" s="243">
        <v>185202</v>
      </c>
      <c r="AC35" s="243">
        <v>346451</v>
      </c>
    </row>
    <row r="36" spans="1:29" ht="27" customHeight="1" x14ac:dyDescent="0.3">
      <c r="A36" s="440">
        <v>32</v>
      </c>
      <c r="B36" s="391" t="s">
        <v>58</v>
      </c>
      <c r="C36" s="243"/>
      <c r="D36" s="243"/>
      <c r="E36" s="243"/>
      <c r="F36" s="243"/>
      <c r="G36" s="243"/>
      <c r="H36" s="243"/>
      <c r="I36" s="243">
        <v>80</v>
      </c>
      <c r="J36" s="243">
        <v>244</v>
      </c>
      <c r="K36" s="243">
        <v>324</v>
      </c>
      <c r="L36" s="243">
        <v>905</v>
      </c>
      <c r="M36" s="243">
        <v>1163</v>
      </c>
      <c r="N36" s="243">
        <v>2068</v>
      </c>
      <c r="O36" s="243">
        <v>4</v>
      </c>
      <c r="P36" s="243">
        <v>2</v>
      </c>
      <c r="Q36" s="243">
        <v>6</v>
      </c>
      <c r="R36" s="243">
        <v>211</v>
      </c>
      <c r="S36" s="243">
        <v>68</v>
      </c>
      <c r="T36" s="243">
        <v>279</v>
      </c>
      <c r="U36" s="243"/>
      <c r="V36" s="243"/>
      <c r="W36" s="243"/>
      <c r="X36" s="243">
        <v>2</v>
      </c>
      <c r="Y36" s="243">
        <v>9</v>
      </c>
      <c r="Z36" s="243">
        <v>11</v>
      </c>
      <c r="AA36" s="243">
        <v>1202</v>
      </c>
      <c r="AB36" s="243">
        <v>1486</v>
      </c>
      <c r="AC36" s="243">
        <v>2688</v>
      </c>
    </row>
    <row r="37" spans="1:29" ht="24" customHeight="1" x14ac:dyDescent="0.3">
      <c r="A37" s="440">
        <v>33</v>
      </c>
      <c r="B37" s="391" t="s">
        <v>42</v>
      </c>
      <c r="C37" s="243">
        <v>37</v>
      </c>
      <c r="D37" s="243">
        <v>19</v>
      </c>
      <c r="E37" s="243">
        <v>56</v>
      </c>
      <c r="F37" s="243"/>
      <c r="G37" s="243"/>
      <c r="H37" s="243"/>
      <c r="I37" s="243">
        <v>1134</v>
      </c>
      <c r="J37" s="243">
        <v>1328</v>
      </c>
      <c r="K37" s="243">
        <v>2462</v>
      </c>
      <c r="L37" s="243">
        <v>9712</v>
      </c>
      <c r="M37" s="243">
        <v>10498</v>
      </c>
      <c r="N37" s="243">
        <v>20210</v>
      </c>
      <c r="O37" s="243">
        <v>5</v>
      </c>
      <c r="P37" s="243">
        <v>13</v>
      </c>
      <c r="Q37" s="243">
        <v>18</v>
      </c>
      <c r="R37" s="243">
        <v>815</v>
      </c>
      <c r="S37" s="243">
        <v>845</v>
      </c>
      <c r="T37" s="243">
        <v>1660</v>
      </c>
      <c r="U37" s="243">
        <v>16</v>
      </c>
      <c r="V37" s="243">
        <v>61</v>
      </c>
      <c r="W37" s="243">
        <v>77</v>
      </c>
      <c r="X37" s="243">
        <v>119</v>
      </c>
      <c r="Y37" s="243">
        <v>94</v>
      </c>
      <c r="Z37" s="243">
        <v>213</v>
      </c>
      <c r="AA37" s="243">
        <v>11838</v>
      </c>
      <c r="AB37" s="243">
        <v>12858</v>
      </c>
      <c r="AC37" s="243">
        <v>24696</v>
      </c>
    </row>
    <row r="38" spans="1:29" ht="24" customHeight="1" x14ac:dyDescent="0.3">
      <c r="A38" s="440">
        <v>34</v>
      </c>
      <c r="B38" s="391" t="s">
        <v>43</v>
      </c>
      <c r="C38" s="243">
        <v>2640</v>
      </c>
      <c r="D38" s="243">
        <v>1896</v>
      </c>
      <c r="E38" s="243">
        <v>4536</v>
      </c>
      <c r="F38" s="243">
        <v>6</v>
      </c>
      <c r="G38" s="243">
        <v>27</v>
      </c>
      <c r="H38" s="243">
        <v>33</v>
      </c>
      <c r="I38" s="243">
        <v>128575</v>
      </c>
      <c r="J38" s="243">
        <v>176448</v>
      </c>
      <c r="K38" s="243">
        <v>305023</v>
      </c>
      <c r="L38" s="243">
        <v>728749</v>
      </c>
      <c r="M38" s="243">
        <v>748376</v>
      </c>
      <c r="N38" s="243">
        <v>1477125</v>
      </c>
      <c r="O38" s="243">
        <v>4225</v>
      </c>
      <c r="P38" s="243">
        <v>3146</v>
      </c>
      <c r="Q38" s="243">
        <v>7371</v>
      </c>
      <c r="R38" s="243">
        <v>81580</v>
      </c>
      <c r="S38" s="243">
        <v>54170</v>
      </c>
      <c r="T38" s="243">
        <v>135750</v>
      </c>
      <c r="U38" s="243">
        <v>4121</v>
      </c>
      <c r="V38" s="243">
        <v>4321</v>
      </c>
      <c r="W38" s="243">
        <v>8442</v>
      </c>
      <c r="X38" s="243">
        <v>6394</v>
      </c>
      <c r="Y38" s="243">
        <v>4422</v>
      </c>
      <c r="Z38" s="243">
        <v>10816</v>
      </c>
      <c r="AA38" s="243">
        <v>956290</v>
      </c>
      <c r="AB38" s="243">
        <v>992806</v>
      </c>
      <c r="AC38" s="243">
        <v>1949096</v>
      </c>
    </row>
    <row r="39" spans="1:29" ht="24" customHeight="1" x14ac:dyDescent="0.3">
      <c r="A39" s="440">
        <v>35</v>
      </c>
      <c r="B39" s="391" t="s">
        <v>44</v>
      </c>
      <c r="C39" s="243">
        <v>237</v>
      </c>
      <c r="D39" s="243">
        <v>267</v>
      </c>
      <c r="E39" s="243">
        <v>504</v>
      </c>
      <c r="F39" s="243"/>
      <c r="G39" s="243"/>
      <c r="H39" s="243"/>
      <c r="I39" s="243">
        <v>11989</v>
      </c>
      <c r="J39" s="243">
        <v>16169</v>
      </c>
      <c r="K39" s="243">
        <v>28158</v>
      </c>
      <c r="L39" s="243">
        <v>40749</v>
      </c>
      <c r="M39" s="243">
        <v>46206</v>
      </c>
      <c r="N39" s="243">
        <v>86955</v>
      </c>
      <c r="O39" s="243">
        <v>138</v>
      </c>
      <c r="P39" s="243">
        <v>173</v>
      </c>
      <c r="Q39" s="243">
        <v>311</v>
      </c>
      <c r="R39" s="243">
        <v>6959</v>
      </c>
      <c r="S39" s="243">
        <v>2753</v>
      </c>
      <c r="T39" s="243">
        <v>9712</v>
      </c>
      <c r="U39" s="243">
        <v>138</v>
      </c>
      <c r="V39" s="243">
        <v>37</v>
      </c>
      <c r="W39" s="243">
        <v>175</v>
      </c>
      <c r="X39" s="243">
        <v>836</v>
      </c>
      <c r="Y39" s="243">
        <v>452</v>
      </c>
      <c r="Z39" s="243">
        <v>1288</v>
      </c>
      <c r="AA39" s="243">
        <v>61046</v>
      </c>
      <c r="AB39" s="243">
        <v>66057</v>
      </c>
      <c r="AC39" s="243">
        <v>127103</v>
      </c>
    </row>
    <row r="40" spans="1:29" ht="24" customHeight="1" x14ac:dyDescent="0.3">
      <c r="A40" s="440">
        <v>36</v>
      </c>
      <c r="B40" s="391" t="s">
        <v>45</v>
      </c>
      <c r="C40" s="243">
        <v>1290</v>
      </c>
      <c r="D40" s="243">
        <v>810</v>
      </c>
      <c r="E40" s="243">
        <v>2100</v>
      </c>
      <c r="F40" s="243">
        <v>68</v>
      </c>
      <c r="G40" s="243">
        <v>39</v>
      </c>
      <c r="H40" s="243">
        <v>107</v>
      </c>
      <c r="I40" s="243">
        <v>20336</v>
      </c>
      <c r="J40" s="243">
        <v>31176</v>
      </c>
      <c r="K40" s="243">
        <v>51512</v>
      </c>
      <c r="L40" s="243">
        <v>166384</v>
      </c>
      <c r="M40" s="243">
        <v>182040</v>
      </c>
      <c r="N40" s="243">
        <v>348424</v>
      </c>
      <c r="O40" s="243">
        <v>888</v>
      </c>
      <c r="P40" s="243">
        <v>469</v>
      </c>
      <c r="Q40" s="243">
        <v>1357</v>
      </c>
      <c r="R40" s="243">
        <v>33898</v>
      </c>
      <c r="S40" s="243">
        <v>22733</v>
      </c>
      <c r="T40" s="243">
        <v>56631</v>
      </c>
      <c r="U40" s="243">
        <v>3207</v>
      </c>
      <c r="V40" s="243">
        <v>2488</v>
      </c>
      <c r="W40" s="243">
        <v>5695</v>
      </c>
      <c r="X40" s="243">
        <v>1805</v>
      </c>
      <c r="Y40" s="243">
        <v>1434</v>
      </c>
      <c r="Z40" s="243">
        <v>3239</v>
      </c>
      <c r="AA40" s="243">
        <v>227876</v>
      </c>
      <c r="AB40" s="243">
        <v>241189</v>
      </c>
      <c r="AC40" s="243">
        <v>469065</v>
      </c>
    </row>
    <row r="41" spans="1:29" ht="24" customHeight="1" x14ac:dyDescent="0.3">
      <c r="A41" s="866" t="s">
        <v>46</v>
      </c>
      <c r="B41" s="867"/>
      <c r="C41" s="244">
        <v>19860</v>
      </c>
      <c r="D41" s="157">
        <v>17741</v>
      </c>
      <c r="E41" s="157">
        <v>37601</v>
      </c>
      <c r="F41" s="244">
        <v>235</v>
      </c>
      <c r="G41" s="244">
        <v>597</v>
      </c>
      <c r="H41" s="157">
        <v>832</v>
      </c>
      <c r="I41" s="244">
        <v>804086</v>
      </c>
      <c r="J41" s="157">
        <v>1111669</v>
      </c>
      <c r="K41" s="244">
        <v>1915755</v>
      </c>
      <c r="L41" s="244">
        <v>3765474</v>
      </c>
      <c r="M41" s="157">
        <v>4010081</v>
      </c>
      <c r="N41" s="157">
        <v>7775555</v>
      </c>
      <c r="O41" s="244">
        <v>64358</v>
      </c>
      <c r="P41" s="244">
        <v>68627</v>
      </c>
      <c r="Q41" s="157">
        <v>132985</v>
      </c>
      <c r="R41" s="244">
        <v>503622</v>
      </c>
      <c r="S41" s="157">
        <v>405528</v>
      </c>
      <c r="T41" s="244">
        <v>909150</v>
      </c>
      <c r="U41" s="244">
        <v>40116</v>
      </c>
      <c r="V41" s="157">
        <v>43919</v>
      </c>
      <c r="W41" s="157">
        <v>84035</v>
      </c>
      <c r="X41" s="244">
        <v>49559</v>
      </c>
      <c r="Y41" s="244">
        <v>47674</v>
      </c>
      <c r="Z41" s="157">
        <v>97233</v>
      </c>
      <c r="AA41" s="244">
        <v>5247310</v>
      </c>
      <c r="AB41" s="157">
        <v>5705836</v>
      </c>
      <c r="AC41" s="244">
        <v>10953146</v>
      </c>
    </row>
  </sheetData>
  <mergeCells count="15">
    <mergeCell ref="A41:B41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47244094488188981" right="0.15748031496062992" top="0.39370078740157483" bottom="0.39370078740157483" header="0.31496062992125984" footer="0.19685039370078741"/>
  <pageSetup paperSize="9" scale="80" orientation="portrait" r:id="rId1"/>
  <headerFooter>
    <oddFooter>&amp;L&amp;"Arial,Italic"&amp;9AISHE 2023-24&amp;RT-33</oddFooter>
  </headerFooter>
  <colBreaks count="2" manualBreakCount="2">
    <brk id="11" max="40" man="1"/>
    <brk id="20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2E43-EDFD-470B-8F2F-27821E6F3B61}">
  <dimension ref="A1:N41"/>
  <sheetViews>
    <sheetView showZeros="0" view="pageBreakPreview" topLeftCell="A18" zoomScale="104" zoomScaleNormal="100" zoomScaleSheetLayoutView="104" workbookViewId="0">
      <selection activeCell="H18" sqref="H18"/>
    </sheetView>
  </sheetViews>
  <sheetFormatPr defaultRowHeight="14.5" x14ac:dyDescent="0.35"/>
  <cols>
    <col min="1" max="1" width="6" bestFit="1" customWidth="1"/>
    <col min="2" max="2" width="19.453125" customWidth="1"/>
    <col min="3" max="4" width="11.453125" customWidth="1"/>
    <col min="5" max="5" width="13.1796875" bestFit="1" customWidth="1"/>
    <col min="6" max="6" width="10.1796875" bestFit="1" customWidth="1"/>
    <col min="7" max="8" width="11.453125" customWidth="1"/>
    <col min="9" max="11" width="10.1796875" bestFit="1" customWidth="1"/>
    <col min="12" max="13" width="11" customWidth="1"/>
    <col min="14" max="14" width="11.453125" customWidth="1"/>
  </cols>
  <sheetData>
    <row r="1" spans="1:14" ht="27" customHeight="1" x14ac:dyDescent="0.35">
      <c r="A1" s="399"/>
      <c r="B1" s="206"/>
      <c r="C1" s="881" t="s">
        <v>1017</v>
      </c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</row>
    <row r="2" spans="1:14" ht="32.25" customHeight="1" x14ac:dyDescent="0.35">
      <c r="A2" s="882" t="s">
        <v>94</v>
      </c>
      <c r="B2" s="884" t="s">
        <v>938</v>
      </c>
      <c r="C2" s="885" t="s">
        <v>703</v>
      </c>
      <c r="D2" s="886"/>
      <c r="E2" s="887"/>
      <c r="F2" s="885" t="s">
        <v>395</v>
      </c>
      <c r="G2" s="886"/>
      <c r="H2" s="887"/>
      <c r="I2" s="885" t="s">
        <v>396</v>
      </c>
      <c r="J2" s="886"/>
      <c r="K2" s="887"/>
      <c r="L2" s="885" t="s">
        <v>397</v>
      </c>
      <c r="M2" s="886"/>
      <c r="N2" s="887"/>
    </row>
    <row r="3" spans="1:14" x14ac:dyDescent="0.35">
      <c r="A3" s="883"/>
      <c r="B3" s="884"/>
      <c r="C3" s="398" t="s">
        <v>103</v>
      </c>
      <c r="D3" s="398" t="s">
        <v>104</v>
      </c>
      <c r="E3" s="398" t="s">
        <v>89</v>
      </c>
      <c r="F3" s="398" t="s">
        <v>103</v>
      </c>
      <c r="G3" s="398" t="s">
        <v>104</v>
      </c>
      <c r="H3" s="398" t="s">
        <v>89</v>
      </c>
      <c r="I3" s="398" t="s">
        <v>103</v>
      </c>
      <c r="J3" s="398" t="s">
        <v>104</v>
      </c>
      <c r="K3" s="398" t="s">
        <v>89</v>
      </c>
      <c r="L3" s="398" t="s">
        <v>103</v>
      </c>
      <c r="M3" s="398" t="s">
        <v>104</v>
      </c>
      <c r="N3" s="398" t="s">
        <v>89</v>
      </c>
    </row>
    <row r="4" spans="1:14" s="444" customFormat="1" ht="10.5" x14ac:dyDescent="0.25">
      <c r="A4" s="442">
        <v>1</v>
      </c>
      <c r="B4" s="443">
        <v>2</v>
      </c>
      <c r="C4" s="443">
        <v>3</v>
      </c>
      <c r="D4" s="443">
        <v>4</v>
      </c>
      <c r="E4" s="443">
        <v>5</v>
      </c>
      <c r="F4" s="443">
        <v>6</v>
      </c>
      <c r="G4" s="443">
        <v>7</v>
      </c>
      <c r="H4" s="443">
        <v>8</v>
      </c>
      <c r="I4" s="443">
        <v>9</v>
      </c>
      <c r="J4" s="443">
        <v>10</v>
      </c>
      <c r="K4" s="443">
        <v>11</v>
      </c>
      <c r="L4" s="443">
        <v>12</v>
      </c>
      <c r="M4" s="443">
        <v>13</v>
      </c>
      <c r="N4" s="443">
        <v>14</v>
      </c>
    </row>
    <row r="5" spans="1:14" ht="31.5" customHeight="1" x14ac:dyDescent="0.35">
      <c r="A5" s="396">
        <v>1</v>
      </c>
      <c r="B5" s="395" t="s">
        <v>56</v>
      </c>
      <c r="C5" s="97">
        <v>213</v>
      </c>
      <c r="D5" s="97">
        <v>255</v>
      </c>
      <c r="E5" s="97">
        <v>468</v>
      </c>
      <c r="F5" s="97"/>
      <c r="G5" s="97"/>
      <c r="H5" s="97"/>
      <c r="I5" s="97">
        <v>2</v>
      </c>
      <c r="J5" s="97">
        <v>8</v>
      </c>
      <c r="K5" s="97">
        <v>10</v>
      </c>
      <c r="L5" s="97">
        <v>64</v>
      </c>
      <c r="M5" s="97">
        <v>67</v>
      </c>
      <c r="N5" s="97">
        <v>131</v>
      </c>
    </row>
    <row r="6" spans="1:14" ht="31.5" customHeight="1" x14ac:dyDescent="0.35">
      <c r="A6" s="396">
        <v>2</v>
      </c>
      <c r="B6" s="395" t="s">
        <v>13</v>
      </c>
      <c r="C6" s="97">
        <v>212133</v>
      </c>
      <c r="D6" s="97">
        <v>217324</v>
      </c>
      <c r="E6" s="97">
        <v>429457</v>
      </c>
      <c r="F6" s="97">
        <v>32614</v>
      </c>
      <c r="G6" s="97">
        <v>36902</v>
      </c>
      <c r="H6" s="97">
        <v>69516</v>
      </c>
      <c r="I6" s="97">
        <v>10487</v>
      </c>
      <c r="J6" s="97">
        <v>11578</v>
      </c>
      <c r="K6" s="97">
        <v>22065</v>
      </c>
      <c r="L6" s="97">
        <v>99864</v>
      </c>
      <c r="M6" s="97">
        <v>94853</v>
      </c>
      <c r="N6" s="97">
        <v>194717</v>
      </c>
    </row>
    <row r="7" spans="1:14" ht="31.5" customHeight="1" x14ac:dyDescent="0.35">
      <c r="A7" s="396">
        <v>3</v>
      </c>
      <c r="B7" s="395" t="s">
        <v>14</v>
      </c>
      <c r="C7" s="97">
        <v>7040</v>
      </c>
      <c r="D7" s="97">
        <v>6680</v>
      </c>
      <c r="E7" s="97">
        <v>13720</v>
      </c>
      <c r="F7" s="97">
        <v>95</v>
      </c>
      <c r="G7" s="97">
        <v>66</v>
      </c>
      <c r="H7" s="97">
        <v>161</v>
      </c>
      <c r="I7" s="97">
        <v>4671</v>
      </c>
      <c r="J7" s="97">
        <v>5038</v>
      </c>
      <c r="K7" s="97">
        <v>9709</v>
      </c>
      <c r="L7" s="97">
        <v>297</v>
      </c>
      <c r="M7" s="97">
        <v>190</v>
      </c>
      <c r="N7" s="97">
        <v>487</v>
      </c>
    </row>
    <row r="8" spans="1:14" ht="31.5" customHeight="1" x14ac:dyDescent="0.35">
      <c r="A8" s="396">
        <v>4</v>
      </c>
      <c r="B8" s="395" t="s">
        <v>15</v>
      </c>
      <c r="C8" s="97">
        <v>64320</v>
      </c>
      <c r="D8" s="97">
        <v>81570</v>
      </c>
      <c r="E8" s="97">
        <v>145890</v>
      </c>
      <c r="F8" s="97">
        <v>5494</v>
      </c>
      <c r="G8" s="97">
        <v>6215</v>
      </c>
      <c r="H8" s="97">
        <v>11709</v>
      </c>
      <c r="I8" s="97">
        <v>10442</v>
      </c>
      <c r="J8" s="97">
        <v>13704</v>
      </c>
      <c r="K8" s="97">
        <v>24146</v>
      </c>
      <c r="L8" s="97">
        <v>16030</v>
      </c>
      <c r="M8" s="97">
        <v>21768</v>
      </c>
      <c r="N8" s="97">
        <v>37798</v>
      </c>
    </row>
    <row r="9" spans="1:14" ht="31.5" customHeight="1" x14ac:dyDescent="0.35">
      <c r="A9" s="396">
        <v>5</v>
      </c>
      <c r="B9" s="395" t="s">
        <v>16</v>
      </c>
      <c r="C9" s="97">
        <v>332118</v>
      </c>
      <c r="D9" s="97">
        <v>315985</v>
      </c>
      <c r="E9" s="97">
        <v>648103</v>
      </c>
      <c r="F9" s="97">
        <v>42385</v>
      </c>
      <c r="G9" s="97">
        <v>35838</v>
      </c>
      <c r="H9" s="97">
        <v>78223</v>
      </c>
      <c r="I9" s="97">
        <v>5092</v>
      </c>
      <c r="J9" s="97">
        <v>5325</v>
      </c>
      <c r="K9" s="97">
        <v>10417</v>
      </c>
      <c r="L9" s="97">
        <v>166562</v>
      </c>
      <c r="M9" s="97">
        <v>157763</v>
      </c>
      <c r="N9" s="97">
        <v>324325</v>
      </c>
    </row>
    <row r="10" spans="1:14" ht="31.5" customHeight="1" x14ac:dyDescent="0.35">
      <c r="A10" s="396">
        <v>6</v>
      </c>
      <c r="B10" s="395" t="s">
        <v>17</v>
      </c>
      <c r="C10" s="97">
        <v>9895</v>
      </c>
      <c r="D10" s="97">
        <v>13775</v>
      </c>
      <c r="E10" s="97">
        <v>23670</v>
      </c>
      <c r="F10" s="97">
        <v>1351</v>
      </c>
      <c r="G10" s="97">
        <v>1560</v>
      </c>
      <c r="H10" s="97">
        <v>2911</v>
      </c>
      <c r="I10" s="97">
        <v>280</v>
      </c>
      <c r="J10" s="97">
        <v>276</v>
      </c>
      <c r="K10" s="97">
        <v>556</v>
      </c>
      <c r="L10" s="97">
        <v>747</v>
      </c>
      <c r="M10" s="97">
        <v>671</v>
      </c>
      <c r="N10" s="97">
        <v>1418</v>
      </c>
    </row>
    <row r="11" spans="1:14" ht="31.5" customHeight="1" x14ac:dyDescent="0.35">
      <c r="A11" s="396">
        <v>7</v>
      </c>
      <c r="B11" s="395" t="s">
        <v>18</v>
      </c>
      <c r="C11" s="27">
        <v>102436</v>
      </c>
      <c r="D11" s="97">
        <v>136340</v>
      </c>
      <c r="E11" s="97">
        <v>238776</v>
      </c>
      <c r="F11" s="97">
        <v>14368</v>
      </c>
      <c r="G11" s="97">
        <v>17843</v>
      </c>
      <c r="H11" s="97">
        <v>32211</v>
      </c>
      <c r="I11" s="97">
        <v>15897</v>
      </c>
      <c r="J11" s="97">
        <v>28153</v>
      </c>
      <c r="K11" s="97">
        <v>44050</v>
      </c>
      <c r="L11" s="97">
        <v>45941</v>
      </c>
      <c r="M11" s="97">
        <v>60177</v>
      </c>
      <c r="N11" s="97">
        <v>106118</v>
      </c>
    </row>
    <row r="12" spans="1:14" ht="31.5" customHeight="1" x14ac:dyDescent="0.35">
      <c r="A12" s="396">
        <v>8</v>
      </c>
      <c r="B12" s="395" t="s">
        <v>19</v>
      </c>
      <c r="C12" s="97">
        <v>249951</v>
      </c>
      <c r="D12" s="97">
        <v>279925</v>
      </c>
      <c r="E12" s="97">
        <v>529876</v>
      </c>
      <c r="F12" s="97">
        <v>30345</v>
      </c>
      <c r="G12" s="97">
        <v>30699</v>
      </c>
      <c r="H12" s="97">
        <v>61044</v>
      </c>
      <c r="I12" s="97">
        <v>8682</v>
      </c>
      <c r="J12" s="97">
        <v>10929</v>
      </c>
      <c r="K12" s="97">
        <v>19611</v>
      </c>
      <c r="L12" s="97">
        <v>55820</v>
      </c>
      <c r="M12" s="97">
        <v>49804</v>
      </c>
      <c r="N12" s="97">
        <v>105624</v>
      </c>
    </row>
    <row r="13" spans="1:14" ht="31.5" customHeight="1" x14ac:dyDescent="0.35">
      <c r="A13" s="396">
        <v>9</v>
      </c>
      <c r="B13" s="395" t="s">
        <v>20</v>
      </c>
      <c r="C13" s="97">
        <v>7365</v>
      </c>
      <c r="D13" s="97">
        <v>7805</v>
      </c>
      <c r="E13" s="97">
        <v>15170</v>
      </c>
      <c r="F13" s="97">
        <v>175</v>
      </c>
      <c r="G13" s="97">
        <v>128</v>
      </c>
      <c r="H13" s="97">
        <v>303</v>
      </c>
      <c r="I13" s="97">
        <v>387</v>
      </c>
      <c r="J13" s="97">
        <v>697</v>
      </c>
      <c r="K13" s="97">
        <v>1084</v>
      </c>
      <c r="L13" s="97">
        <v>967</v>
      </c>
      <c r="M13" s="97">
        <v>1414</v>
      </c>
      <c r="N13" s="97">
        <v>2381</v>
      </c>
    </row>
    <row r="14" spans="1:14" ht="31.5" customHeight="1" x14ac:dyDescent="0.35">
      <c r="A14" s="396">
        <v>10</v>
      </c>
      <c r="B14" s="395" t="s">
        <v>21</v>
      </c>
      <c r="C14" s="97">
        <v>233448</v>
      </c>
      <c r="D14" s="97">
        <v>225294</v>
      </c>
      <c r="E14" s="97">
        <v>458742</v>
      </c>
      <c r="F14" s="97">
        <v>20377</v>
      </c>
      <c r="G14" s="97">
        <v>21730</v>
      </c>
      <c r="H14" s="97">
        <v>42107</v>
      </c>
      <c r="I14" s="97">
        <v>23751</v>
      </c>
      <c r="J14" s="97">
        <v>31439</v>
      </c>
      <c r="K14" s="97">
        <v>55190</v>
      </c>
      <c r="L14" s="97">
        <v>72305</v>
      </c>
      <c r="M14" s="97">
        <v>67732</v>
      </c>
      <c r="N14" s="97">
        <v>140037</v>
      </c>
    </row>
    <row r="15" spans="1:14" ht="31.5" customHeight="1" x14ac:dyDescent="0.35">
      <c r="A15" s="396">
        <v>11</v>
      </c>
      <c r="B15" s="395" t="s">
        <v>22</v>
      </c>
      <c r="C15" s="97">
        <v>99328</v>
      </c>
      <c r="D15" s="97">
        <v>148105</v>
      </c>
      <c r="E15" s="97">
        <v>247433</v>
      </c>
      <c r="F15" s="97">
        <v>10910</v>
      </c>
      <c r="G15" s="97">
        <v>17566</v>
      </c>
      <c r="H15" s="97">
        <v>28476</v>
      </c>
      <c r="I15" s="97">
        <v>406</v>
      </c>
      <c r="J15" s="97">
        <v>246</v>
      </c>
      <c r="K15" s="97">
        <v>652</v>
      </c>
      <c r="L15" s="97">
        <v>19292</v>
      </c>
      <c r="M15" s="97">
        <v>28140</v>
      </c>
      <c r="N15" s="97">
        <v>47432</v>
      </c>
    </row>
    <row r="16" spans="1:14" ht="31.5" customHeight="1" x14ac:dyDescent="0.35">
      <c r="A16" s="396">
        <v>12</v>
      </c>
      <c r="B16" s="395" t="s">
        <v>23</v>
      </c>
      <c r="C16" s="97">
        <v>27085</v>
      </c>
      <c r="D16" s="97">
        <v>40350</v>
      </c>
      <c r="E16" s="97">
        <v>67435</v>
      </c>
      <c r="F16" s="97">
        <v>4687</v>
      </c>
      <c r="G16" s="97">
        <v>7376</v>
      </c>
      <c r="H16" s="97">
        <v>12063</v>
      </c>
      <c r="I16" s="97">
        <v>1200</v>
      </c>
      <c r="J16" s="97">
        <v>1961</v>
      </c>
      <c r="K16" s="97">
        <v>3161</v>
      </c>
      <c r="L16" s="97">
        <v>3398</v>
      </c>
      <c r="M16" s="97">
        <v>5840</v>
      </c>
      <c r="N16" s="97">
        <v>9238</v>
      </c>
    </row>
    <row r="17" spans="1:14" ht="31.5" customHeight="1" x14ac:dyDescent="0.35">
      <c r="A17" s="396">
        <v>13</v>
      </c>
      <c r="B17" s="395" t="s">
        <v>24</v>
      </c>
      <c r="C17" s="97">
        <v>24453</v>
      </c>
      <c r="D17" s="97">
        <v>36053</v>
      </c>
      <c r="E17" s="97">
        <v>60506</v>
      </c>
      <c r="F17" s="97">
        <v>1026</v>
      </c>
      <c r="G17" s="97">
        <v>1504</v>
      </c>
      <c r="H17" s="97">
        <v>2530</v>
      </c>
      <c r="I17" s="97">
        <v>1552</v>
      </c>
      <c r="J17" s="97">
        <v>1502</v>
      </c>
      <c r="K17" s="97">
        <v>3054</v>
      </c>
      <c r="L17" s="97">
        <v>2259</v>
      </c>
      <c r="M17" s="97">
        <v>2342</v>
      </c>
      <c r="N17" s="97">
        <v>4601</v>
      </c>
    </row>
    <row r="18" spans="1:14" ht="31.5" customHeight="1" x14ac:dyDescent="0.35">
      <c r="A18" s="396">
        <v>14</v>
      </c>
      <c r="B18" s="395" t="s">
        <v>25</v>
      </c>
      <c r="C18" s="97">
        <v>107405</v>
      </c>
      <c r="D18" s="97">
        <v>113161</v>
      </c>
      <c r="E18" s="97">
        <v>220566</v>
      </c>
      <c r="F18" s="97">
        <v>10631</v>
      </c>
      <c r="G18" s="97">
        <v>9286</v>
      </c>
      <c r="H18" s="97">
        <v>19917</v>
      </c>
      <c r="I18" s="97">
        <v>18015</v>
      </c>
      <c r="J18" s="97">
        <v>25073</v>
      </c>
      <c r="K18" s="97">
        <v>43088</v>
      </c>
      <c r="L18" s="97">
        <v>44020</v>
      </c>
      <c r="M18" s="97">
        <v>42647</v>
      </c>
      <c r="N18" s="97">
        <v>86667</v>
      </c>
    </row>
    <row r="19" spans="1:14" ht="31.5" customHeight="1" x14ac:dyDescent="0.35">
      <c r="A19" s="396">
        <v>15</v>
      </c>
      <c r="B19" s="395" t="s">
        <v>26</v>
      </c>
      <c r="C19" s="97">
        <v>286611</v>
      </c>
      <c r="D19" s="97">
        <v>321888</v>
      </c>
      <c r="E19" s="97">
        <v>608499</v>
      </c>
      <c r="F19" s="97">
        <v>38099</v>
      </c>
      <c r="G19" s="97">
        <v>40247</v>
      </c>
      <c r="H19" s="97">
        <v>78346</v>
      </c>
      <c r="I19" s="97">
        <v>15882</v>
      </c>
      <c r="J19" s="97">
        <v>17248</v>
      </c>
      <c r="K19" s="97">
        <v>33130</v>
      </c>
      <c r="L19" s="97">
        <v>141450</v>
      </c>
      <c r="M19" s="97">
        <v>164864</v>
      </c>
      <c r="N19" s="97">
        <v>306314</v>
      </c>
    </row>
    <row r="20" spans="1:14" ht="31.5" customHeight="1" x14ac:dyDescent="0.35">
      <c r="A20" s="396">
        <v>16</v>
      </c>
      <c r="B20" s="395" t="s">
        <v>27</v>
      </c>
      <c r="C20" s="97">
        <v>87593</v>
      </c>
      <c r="D20" s="97">
        <v>165027</v>
      </c>
      <c r="E20" s="97">
        <v>252620</v>
      </c>
      <c r="F20" s="97">
        <v>4344</v>
      </c>
      <c r="G20" s="97">
        <v>10795</v>
      </c>
      <c r="H20" s="97">
        <v>15139</v>
      </c>
      <c r="I20" s="97">
        <v>698</v>
      </c>
      <c r="J20" s="97">
        <v>1321</v>
      </c>
      <c r="K20" s="97">
        <v>2019</v>
      </c>
      <c r="L20" s="97">
        <v>41491</v>
      </c>
      <c r="M20" s="97">
        <v>84867</v>
      </c>
      <c r="N20" s="97">
        <v>126358</v>
      </c>
    </row>
    <row r="21" spans="1:14" ht="31.5" customHeight="1" x14ac:dyDescent="0.35">
      <c r="A21" s="396">
        <v>17</v>
      </c>
      <c r="B21" s="397" t="s">
        <v>28</v>
      </c>
      <c r="C21" s="97">
        <v>395</v>
      </c>
      <c r="D21" s="97">
        <v>670</v>
      </c>
      <c r="E21" s="97">
        <v>1065</v>
      </c>
      <c r="F21" s="97"/>
      <c r="G21" s="97"/>
      <c r="H21" s="97"/>
      <c r="I21" s="97">
        <v>380</v>
      </c>
      <c r="J21" s="97">
        <v>548</v>
      </c>
      <c r="K21" s="97">
        <v>928</v>
      </c>
      <c r="L21" s="97"/>
      <c r="M21" s="97">
        <v>5</v>
      </c>
      <c r="N21" s="97">
        <v>5</v>
      </c>
    </row>
    <row r="22" spans="1:14" ht="31.5" customHeight="1" x14ac:dyDescent="0.35">
      <c r="A22" s="396">
        <v>18</v>
      </c>
      <c r="B22" s="395" t="s">
        <v>82</v>
      </c>
      <c r="C22" s="97">
        <v>33</v>
      </c>
      <c r="D22" s="97">
        <v>161</v>
      </c>
      <c r="E22" s="97">
        <v>194</v>
      </c>
      <c r="F22" s="97"/>
      <c r="G22" s="97"/>
      <c r="H22" s="97"/>
      <c r="I22" s="97">
        <v>31</v>
      </c>
      <c r="J22" s="97">
        <v>152</v>
      </c>
      <c r="K22" s="97">
        <v>183</v>
      </c>
      <c r="L22" s="97">
        <v>1</v>
      </c>
      <c r="M22" s="97">
        <v>4</v>
      </c>
      <c r="N22" s="97">
        <v>5</v>
      </c>
    </row>
    <row r="23" spans="1:14" ht="31.5" customHeight="1" x14ac:dyDescent="0.35">
      <c r="A23" s="396">
        <v>19</v>
      </c>
      <c r="B23" s="395" t="s">
        <v>29</v>
      </c>
      <c r="C23" s="97">
        <v>380697</v>
      </c>
      <c r="D23" s="97">
        <v>392127</v>
      </c>
      <c r="E23" s="97">
        <v>772824</v>
      </c>
      <c r="F23" s="97">
        <v>55585</v>
      </c>
      <c r="G23" s="97">
        <v>57875</v>
      </c>
      <c r="H23" s="97">
        <v>113460</v>
      </c>
      <c r="I23" s="97">
        <v>35836</v>
      </c>
      <c r="J23" s="97">
        <v>44841</v>
      </c>
      <c r="K23" s="97">
        <v>80677</v>
      </c>
      <c r="L23" s="97">
        <v>143462</v>
      </c>
      <c r="M23" s="97">
        <v>157931</v>
      </c>
      <c r="N23" s="97">
        <v>301393</v>
      </c>
    </row>
    <row r="24" spans="1:14" ht="31.5" customHeight="1" x14ac:dyDescent="0.35">
      <c r="A24" s="396">
        <v>20</v>
      </c>
      <c r="B24" s="395" t="s">
        <v>30</v>
      </c>
      <c r="C24" s="97">
        <v>551087</v>
      </c>
      <c r="D24" s="97">
        <v>511060</v>
      </c>
      <c r="E24" s="97">
        <v>1062147</v>
      </c>
      <c r="F24" s="97">
        <v>56967</v>
      </c>
      <c r="G24" s="97">
        <v>61354</v>
      </c>
      <c r="H24" s="97">
        <v>118321</v>
      </c>
      <c r="I24" s="97">
        <v>21226</v>
      </c>
      <c r="J24" s="97">
        <v>20456</v>
      </c>
      <c r="K24" s="97">
        <v>41682</v>
      </c>
      <c r="L24" s="97">
        <v>161671</v>
      </c>
      <c r="M24" s="97">
        <v>146730</v>
      </c>
      <c r="N24" s="97">
        <v>308401</v>
      </c>
    </row>
    <row r="25" spans="1:14" ht="31.5" customHeight="1" x14ac:dyDescent="0.35">
      <c r="A25" s="396">
        <v>21</v>
      </c>
      <c r="B25" s="395" t="s">
        <v>31</v>
      </c>
      <c r="C25" s="97">
        <v>14222</v>
      </c>
      <c r="D25" s="97">
        <v>15713</v>
      </c>
      <c r="E25" s="97">
        <v>29935</v>
      </c>
      <c r="F25" s="97">
        <v>864</v>
      </c>
      <c r="G25" s="97">
        <v>946</v>
      </c>
      <c r="H25" s="97">
        <v>1810</v>
      </c>
      <c r="I25" s="97">
        <v>4780</v>
      </c>
      <c r="J25" s="97">
        <v>5400</v>
      </c>
      <c r="K25" s="97">
        <v>10180</v>
      </c>
      <c r="L25" s="97">
        <v>4884</v>
      </c>
      <c r="M25" s="97">
        <v>5858</v>
      </c>
      <c r="N25" s="97">
        <v>10742</v>
      </c>
    </row>
    <row r="26" spans="1:14" ht="31.5" customHeight="1" x14ac:dyDescent="0.35">
      <c r="A26" s="396">
        <v>22</v>
      </c>
      <c r="B26" s="395" t="s">
        <v>32</v>
      </c>
      <c r="C26" s="97">
        <v>8547</v>
      </c>
      <c r="D26" s="97">
        <v>12402</v>
      </c>
      <c r="E26" s="97">
        <v>20949</v>
      </c>
      <c r="F26" s="97">
        <v>277</v>
      </c>
      <c r="G26" s="97">
        <v>267</v>
      </c>
      <c r="H26" s="97">
        <v>544</v>
      </c>
      <c r="I26" s="97">
        <v>6266</v>
      </c>
      <c r="J26" s="97">
        <v>10137</v>
      </c>
      <c r="K26" s="97">
        <v>16403</v>
      </c>
      <c r="L26" s="97">
        <v>292</v>
      </c>
      <c r="M26" s="97">
        <v>350</v>
      </c>
      <c r="N26" s="97">
        <v>642</v>
      </c>
    </row>
    <row r="27" spans="1:14" ht="31.5" customHeight="1" x14ac:dyDescent="0.35">
      <c r="A27" s="396">
        <v>23</v>
      </c>
      <c r="B27" s="395" t="s">
        <v>33</v>
      </c>
      <c r="C27" s="97">
        <v>6567</v>
      </c>
      <c r="D27" s="97">
        <v>8051</v>
      </c>
      <c r="E27" s="97">
        <v>14618</v>
      </c>
      <c r="F27" s="97">
        <v>47</v>
      </c>
      <c r="G27" s="97">
        <v>31</v>
      </c>
      <c r="H27" s="97">
        <v>78</v>
      </c>
      <c r="I27" s="97">
        <v>6219</v>
      </c>
      <c r="J27" s="97">
        <v>7800</v>
      </c>
      <c r="K27" s="97">
        <v>14019</v>
      </c>
      <c r="L27" s="97">
        <v>70</v>
      </c>
      <c r="M27" s="97">
        <v>49</v>
      </c>
      <c r="N27" s="97">
        <v>119</v>
      </c>
    </row>
    <row r="28" spans="1:14" ht="31.5" customHeight="1" x14ac:dyDescent="0.35">
      <c r="A28" s="396">
        <v>24</v>
      </c>
      <c r="B28" s="395" t="s">
        <v>34</v>
      </c>
      <c r="C28" s="97">
        <v>5733</v>
      </c>
      <c r="D28" s="97">
        <v>7655</v>
      </c>
      <c r="E28" s="97">
        <v>13388</v>
      </c>
      <c r="F28" s="97">
        <v>52</v>
      </c>
      <c r="G28" s="97">
        <v>72</v>
      </c>
      <c r="H28" s="97">
        <v>124</v>
      </c>
      <c r="I28" s="97">
        <v>5075</v>
      </c>
      <c r="J28" s="97">
        <v>7028</v>
      </c>
      <c r="K28" s="97">
        <v>12103</v>
      </c>
      <c r="L28" s="97">
        <v>154</v>
      </c>
      <c r="M28" s="97">
        <v>134</v>
      </c>
      <c r="N28" s="97">
        <v>288</v>
      </c>
    </row>
    <row r="29" spans="1:14" ht="31.5" customHeight="1" x14ac:dyDescent="0.35">
      <c r="A29" s="396">
        <v>25</v>
      </c>
      <c r="B29" s="395" t="s">
        <v>35</v>
      </c>
      <c r="C29" s="97">
        <v>138646</v>
      </c>
      <c r="D29" s="97">
        <v>133452</v>
      </c>
      <c r="E29" s="97">
        <v>272098</v>
      </c>
      <c r="F29" s="97">
        <v>22468</v>
      </c>
      <c r="G29" s="97">
        <v>20803</v>
      </c>
      <c r="H29" s="97">
        <v>43271</v>
      </c>
      <c r="I29" s="97">
        <v>16400</v>
      </c>
      <c r="J29" s="97">
        <v>17173</v>
      </c>
      <c r="K29" s="97">
        <v>33573</v>
      </c>
      <c r="L29" s="97">
        <v>32723</v>
      </c>
      <c r="M29" s="97">
        <v>34998</v>
      </c>
      <c r="N29" s="97">
        <v>67721</v>
      </c>
    </row>
    <row r="30" spans="1:14" ht="31.5" customHeight="1" x14ac:dyDescent="0.35">
      <c r="A30" s="396">
        <v>26</v>
      </c>
      <c r="B30" s="395" t="s">
        <v>36</v>
      </c>
      <c r="C30" s="97">
        <v>9930</v>
      </c>
      <c r="D30" s="97">
        <v>14018</v>
      </c>
      <c r="E30" s="97">
        <v>23948</v>
      </c>
      <c r="F30" s="97">
        <v>953</v>
      </c>
      <c r="G30" s="97">
        <v>1142</v>
      </c>
      <c r="H30" s="97">
        <v>2095</v>
      </c>
      <c r="I30" s="97">
        <v>115</v>
      </c>
      <c r="J30" s="97">
        <v>100</v>
      </c>
      <c r="K30" s="97">
        <v>215</v>
      </c>
      <c r="L30" s="97">
        <v>5718</v>
      </c>
      <c r="M30" s="97">
        <v>7446</v>
      </c>
      <c r="N30" s="97">
        <v>13164</v>
      </c>
    </row>
    <row r="31" spans="1:14" ht="31.5" customHeight="1" x14ac:dyDescent="0.35">
      <c r="A31" s="396">
        <v>27</v>
      </c>
      <c r="B31" s="395" t="s">
        <v>37</v>
      </c>
      <c r="C31" s="97">
        <v>96950</v>
      </c>
      <c r="D31" s="97">
        <v>123089</v>
      </c>
      <c r="E31" s="97">
        <v>220039</v>
      </c>
      <c r="F31" s="97">
        <v>17872</v>
      </c>
      <c r="G31" s="97">
        <v>29588</v>
      </c>
      <c r="H31" s="97">
        <v>47460</v>
      </c>
      <c r="I31" s="97">
        <v>523</v>
      </c>
      <c r="J31" s="97">
        <v>450</v>
      </c>
      <c r="K31" s="97">
        <v>973</v>
      </c>
      <c r="L31" s="97">
        <v>13771</v>
      </c>
      <c r="M31" s="97">
        <v>16866</v>
      </c>
      <c r="N31" s="97">
        <v>30637</v>
      </c>
    </row>
    <row r="32" spans="1:14" ht="31.5" customHeight="1" x14ac:dyDescent="0.35">
      <c r="A32" s="396">
        <v>28</v>
      </c>
      <c r="B32" s="395" t="s">
        <v>38</v>
      </c>
      <c r="C32" s="97">
        <v>365015</v>
      </c>
      <c r="D32" s="97">
        <v>394993</v>
      </c>
      <c r="E32" s="97">
        <v>760008</v>
      </c>
      <c r="F32" s="97">
        <v>64486</v>
      </c>
      <c r="G32" s="97">
        <v>66219</v>
      </c>
      <c r="H32" s="97">
        <v>130705</v>
      </c>
      <c r="I32" s="97">
        <v>45515</v>
      </c>
      <c r="J32" s="97">
        <v>50918</v>
      </c>
      <c r="K32" s="97">
        <v>96433</v>
      </c>
      <c r="L32" s="97">
        <v>163275</v>
      </c>
      <c r="M32" s="97">
        <v>178219</v>
      </c>
      <c r="N32" s="97">
        <v>341494</v>
      </c>
    </row>
    <row r="33" spans="1:14" ht="31.5" customHeight="1" x14ac:dyDescent="0.35">
      <c r="A33" s="396">
        <v>29</v>
      </c>
      <c r="B33" s="395" t="s">
        <v>39</v>
      </c>
      <c r="C33" s="97">
        <v>3737</v>
      </c>
      <c r="D33" s="97">
        <v>4131</v>
      </c>
      <c r="E33" s="97">
        <v>7868</v>
      </c>
      <c r="F33" s="97">
        <v>188</v>
      </c>
      <c r="G33" s="97">
        <v>166</v>
      </c>
      <c r="H33" s="97">
        <v>354</v>
      </c>
      <c r="I33" s="97">
        <v>950</v>
      </c>
      <c r="J33" s="97">
        <v>1269</v>
      </c>
      <c r="K33" s="97">
        <v>2219</v>
      </c>
      <c r="L33" s="97">
        <v>964</v>
      </c>
      <c r="M33" s="97">
        <v>1173</v>
      </c>
      <c r="N33" s="97">
        <v>2137</v>
      </c>
    </row>
    <row r="34" spans="1:14" ht="31.5" customHeight="1" x14ac:dyDescent="0.35">
      <c r="A34" s="396">
        <v>30</v>
      </c>
      <c r="B34" s="395" t="s">
        <v>40</v>
      </c>
      <c r="C34" s="97">
        <v>394856</v>
      </c>
      <c r="D34" s="97">
        <v>479179</v>
      </c>
      <c r="E34" s="97">
        <v>874035</v>
      </c>
      <c r="F34" s="97">
        <v>59426</v>
      </c>
      <c r="G34" s="97">
        <v>84810</v>
      </c>
      <c r="H34" s="97">
        <v>144236</v>
      </c>
      <c r="I34" s="97">
        <v>3391</v>
      </c>
      <c r="J34" s="97">
        <v>3164</v>
      </c>
      <c r="K34" s="97">
        <v>6555</v>
      </c>
      <c r="L34" s="97">
        <v>255666</v>
      </c>
      <c r="M34" s="97">
        <v>323252</v>
      </c>
      <c r="N34" s="97">
        <v>578918</v>
      </c>
    </row>
    <row r="35" spans="1:14" ht="31.5" customHeight="1" x14ac:dyDescent="0.35">
      <c r="A35" s="396">
        <v>31</v>
      </c>
      <c r="B35" s="395" t="s">
        <v>41</v>
      </c>
      <c r="C35" s="97">
        <v>161249</v>
      </c>
      <c r="D35" s="97">
        <v>185202</v>
      </c>
      <c r="E35" s="97">
        <v>346451</v>
      </c>
      <c r="F35" s="97">
        <v>22186</v>
      </c>
      <c r="G35" s="97">
        <v>29704</v>
      </c>
      <c r="H35" s="97">
        <v>51890</v>
      </c>
      <c r="I35" s="97">
        <v>13122</v>
      </c>
      <c r="J35" s="97">
        <v>13711</v>
      </c>
      <c r="K35" s="97">
        <v>26833</v>
      </c>
      <c r="L35" s="97">
        <v>71512</v>
      </c>
      <c r="M35" s="97">
        <v>85914</v>
      </c>
      <c r="N35" s="97">
        <v>157426</v>
      </c>
    </row>
    <row r="36" spans="1:14" ht="31.5" customHeight="1" x14ac:dyDescent="0.35">
      <c r="A36" s="396">
        <v>32</v>
      </c>
      <c r="B36" s="395" t="s">
        <v>58</v>
      </c>
      <c r="C36" s="97">
        <v>1202</v>
      </c>
      <c r="D36" s="97">
        <v>1486</v>
      </c>
      <c r="E36" s="97">
        <v>2688</v>
      </c>
      <c r="F36" s="97">
        <v>41</v>
      </c>
      <c r="G36" s="97">
        <v>54</v>
      </c>
      <c r="H36" s="97">
        <v>95</v>
      </c>
      <c r="I36" s="97">
        <v>175</v>
      </c>
      <c r="J36" s="97">
        <v>279</v>
      </c>
      <c r="K36" s="97">
        <v>454</v>
      </c>
      <c r="L36" s="97">
        <v>219</v>
      </c>
      <c r="M36" s="97">
        <v>273</v>
      </c>
      <c r="N36" s="97">
        <v>492</v>
      </c>
    </row>
    <row r="37" spans="1:14" ht="31.5" customHeight="1" x14ac:dyDescent="0.35">
      <c r="A37" s="396">
        <v>33</v>
      </c>
      <c r="B37" s="395" t="s">
        <v>42</v>
      </c>
      <c r="C37" s="97">
        <v>11838</v>
      </c>
      <c r="D37" s="97">
        <v>12858</v>
      </c>
      <c r="E37" s="97">
        <v>24696</v>
      </c>
      <c r="F37" s="97">
        <v>1891</v>
      </c>
      <c r="G37" s="97">
        <v>1919</v>
      </c>
      <c r="H37" s="97">
        <v>3810</v>
      </c>
      <c r="I37" s="97">
        <v>2636</v>
      </c>
      <c r="J37" s="97">
        <v>2890</v>
      </c>
      <c r="K37" s="97">
        <v>5526</v>
      </c>
      <c r="L37" s="97">
        <v>1795</v>
      </c>
      <c r="M37" s="97">
        <v>1744</v>
      </c>
      <c r="N37" s="97">
        <v>3539</v>
      </c>
    </row>
    <row r="38" spans="1:14" ht="31.5" customHeight="1" x14ac:dyDescent="0.35">
      <c r="A38" s="396">
        <v>34</v>
      </c>
      <c r="B38" s="395" t="s">
        <v>43</v>
      </c>
      <c r="C38" s="97">
        <v>956290</v>
      </c>
      <c r="D38" s="97">
        <v>992806</v>
      </c>
      <c r="E38" s="97">
        <v>1949096</v>
      </c>
      <c r="F38" s="97">
        <v>172298</v>
      </c>
      <c r="G38" s="97">
        <v>182979</v>
      </c>
      <c r="H38" s="97">
        <v>355277</v>
      </c>
      <c r="I38" s="97">
        <v>7518</v>
      </c>
      <c r="J38" s="97">
        <v>8563</v>
      </c>
      <c r="K38" s="97">
        <v>16081</v>
      </c>
      <c r="L38" s="97">
        <v>403048</v>
      </c>
      <c r="M38" s="97">
        <v>439697</v>
      </c>
      <c r="N38" s="97">
        <v>842745</v>
      </c>
    </row>
    <row r="39" spans="1:14" ht="31.5" customHeight="1" x14ac:dyDescent="0.35">
      <c r="A39" s="396">
        <v>35</v>
      </c>
      <c r="B39" s="395" t="s">
        <v>44</v>
      </c>
      <c r="C39" s="97">
        <v>61046</v>
      </c>
      <c r="D39" s="97">
        <v>66057</v>
      </c>
      <c r="E39" s="97">
        <v>127103</v>
      </c>
      <c r="F39" s="97">
        <v>6906</v>
      </c>
      <c r="G39" s="97">
        <v>8254</v>
      </c>
      <c r="H39" s="97">
        <v>15160</v>
      </c>
      <c r="I39" s="97">
        <v>1488</v>
      </c>
      <c r="J39" s="97">
        <v>1603</v>
      </c>
      <c r="K39" s="97">
        <v>3091</v>
      </c>
      <c r="L39" s="97">
        <v>10692</v>
      </c>
      <c r="M39" s="97">
        <v>10897</v>
      </c>
      <c r="N39" s="97">
        <v>21589</v>
      </c>
    </row>
    <row r="40" spans="1:14" ht="31.5" customHeight="1" x14ac:dyDescent="0.35">
      <c r="A40" s="396">
        <v>36</v>
      </c>
      <c r="B40" s="395" t="s">
        <v>45</v>
      </c>
      <c r="C40" s="97">
        <v>227876</v>
      </c>
      <c r="D40" s="97">
        <v>241189</v>
      </c>
      <c r="E40" s="97">
        <v>469065</v>
      </c>
      <c r="F40" s="97">
        <v>38414</v>
      </c>
      <c r="G40" s="97">
        <v>41026</v>
      </c>
      <c r="H40" s="97">
        <v>79440</v>
      </c>
      <c r="I40" s="97">
        <v>7634</v>
      </c>
      <c r="J40" s="97">
        <v>9019</v>
      </c>
      <c r="K40" s="97">
        <v>16653</v>
      </c>
      <c r="L40" s="97">
        <v>40799</v>
      </c>
      <c r="M40" s="97">
        <v>40809</v>
      </c>
      <c r="N40" s="97">
        <v>81608</v>
      </c>
    </row>
    <row r="41" spans="1:14" ht="31.5" customHeight="1" x14ac:dyDescent="0.35">
      <c r="A41" s="879" t="s">
        <v>46</v>
      </c>
      <c r="B41" s="880"/>
      <c r="C41" s="99">
        <v>5247310</v>
      </c>
      <c r="D41" s="394">
        <v>5705836</v>
      </c>
      <c r="E41" s="394">
        <v>10953146</v>
      </c>
      <c r="F41" s="99">
        <v>737822</v>
      </c>
      <c r="G41" s="99">
        <v>824964</v>
      </c>
      <c r="H41" s="394">
        <v>1562786</v>
      </c>
      <c r="I41" s="99">
        <v>296724</v>
      </c>
      <c r="J41" s="394">
        <v>359999</v>
      </c>
      <c r="K41" s="99">
        <v>656723</v>
      </c>
      <c r="L41" s="99">
        <v>2021223</v>
      </c>
      <c r="M41" s="394">
        <v>2235488</v>
      </c>
      <c r="N41" s="394">
        <v>4256711</v>
      </c>
    </row>
  </sheetData>
  <mergeCells count="8">
    <mergeCell ref="A41:B41"/>
    <mergeCell ref="C1:N1"/>
    <mergeCell ref="A2:A3"/>
    <mergeCell ref="B2:B3"/>
    <mergeCell ref="C2:E2"/>
    <mergeCell ref="F2:H2"/>
    <mergeCell ref="I2:K2"/>
    <mergeCell ref="L2:N2"/>
  </mergeCells>
  <pageMargins left="0.47244094488188981" right="0.23622047244094491" top="0.39370078740157483" bottom="0.39370078740157483" header="0.31496062992125984" footer="0.19685039370078741"/>
  <pageSetup paperSize="9" scale="60" orientation="portrait" r:id="rId1"/>
  <headerFooter>
    <oddFooter>&amp;L&amp;"Arial,Italic"&amp;9AISHE 2023-24&amp;RT-33a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BC9F-5195-4C07-807F-9BA65B037E14}">
  <dimension ref="A1:E257"/>
  <sheetViews>
    <sheetView showZeros="0" view="pageBreakPreview" zoomScale="95" zoomScaleNormal="100" zoomScaleSheetLayoutView="95" workbookViewId="0">
      <pane xSplit="1" ySplit="2" topLeftCell="B3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1796875" defaultRowHeight="14.5" x14ac:dyDescent="0.35"/>
  <cols>
    <col min="1" max="1" width="7.1796875" bestFit="1" customWidth="1"/>
    <col min="2" max="2" width="55.7265625" customWidth="1"/>
    <col min="3" max="5" width="11.1796875" customWidth="1"/>
  </cols>
  <sheetData>
    <row r="1" spans="1:5" ht="22.5" customHeight="1" x14ac:dyDescent="0.35">
      <c r="A1" s="888" t="s">
        <v>943</v>
      </c>
      <c r="B1" s="888"/>
      <c r="C1" s="888"/>
      <c r="D1" s="888"/>
      <c r="E1" s="888"/>
    </row>
    <row r="2" spans="1:5" x14ac:dyDescent="0.35">
      <c r="A2" s="406" t="s">
        <v>48</v>
      </c>
      <c r="B2" s="405" t="s">
        <v>393</v>
      </c>
      <c r="C2" s="379" t="s">
        <v>103</v>
      </c>
      <c r="D2" s="379" t="s">
        <v>104</v>
      </c>
      <c r="E2" s="379" t="s">
        <v>89</v>
      </c>
    </row>
    <row r="3" spans="1:5" s="444" customFormat="1" ht="10.5" x14ac:dyDescent="0.25">
      <c r="A3" s="568">
        <v>1</v>
      </c>
      <c r="B3" s="568">
        <v>2</v>
      </c>
      <c r="C3" s="568">
        <v>3</v>
      </c>
      <c r="D3" s="568">
        <v>4</v>
      </c>
      <c r="E3" s="568">
        <v>5</v>
      </c>
    </row>
    <row r="4" spans="1:5" x14ac:dyDescent="0.35">
      <c r="A4" s="441">
        <v>1</v>
      </c>
      <c r="B4" s="403" t="s">
        <v>129</v>
      </c>
      <c r="C4" s="151">
        <v>706</v>
      </c>
      <c r="D4" s="151">
        <v>40611</v>
      </c>
      <c r="E4" s="243">
        <v>41317</v>
      </c>
    </row>
    <row r="5" spans="1:5" x14ac:dyDescent="0.35">
      <c r="A5" s="441">
        <v>2</v>
      </c>
      <c r="B5" s="403" t="s">
        <v>130</v>
      </c>
      <c r="C5" s="151">
        <v>5406</v>
      </c>
      <c r="D5" s="151">
        <v>2689</v>
      </c>
      <c r="E5" s="243">
        <v>8095</v>
      </c>
    </row>
    <row r="6" spans="1:5" x14ac:dyDescent="0.35">
      <c r="A6" s="441">
        <v>3</v>
      </c>
      <c r="B6" s="403" t="s">
        <v>131</v>
      </c>
      <c r="C6" s="151">
        <v>29</v>
      </c>
      <c r="D6" s="151"/>
      <c r="E6" s="243">
        <v>29</v>
      </c>
    </row>
    <row r="7" spans="1:5" x14ac:dyDescent="0.35">
      <c r="A7" s="441">
        <v>4</v>
      </c>
      <c r="B7" s="403" t="s">
        <v>132</v>
      </c>
      <c r="C7" s="151">
        <v>16</v>
      </c>
      <c r="D7" s="151">
        <v>26</v>
      </c>
      <c r="E7" s="243">
        <v>42</v>
      </c>
    </row>
    <row r="8" spans="1:5" x14ac:dyDescent="0.35">
      <c r="A8" s="441">
        <v>5</v>
      </c>
      <c r="B8" s="403" t="s">
        <v>133</v>
      </c>
      <c r="C8" s="151">
        <v>15</v>
      </c>
      <c r="D8" s="151">
        <v>10</v>
      </c>
      <c r="E8" s="243">
        <v>25</v>
      </c>
    </row>
    <row r="9" spans="1:5" x14ac:dyDescent="0.35">
      <c r="A9" s="441">
        <v>6</v>
      </c>
      <c r="B9" s="403" t="s">
        <v>134</v>
      </c>
      <c r="C9" s="151">
        <v>1059</v>
      </c>
      <c r="D9" s="151">
        <v>1894</v>
      </c>
      <c r="E9" s="243">
        <v>2953</v>
      </c>
    </row>
    <row r="10" spans="1:5" x14ac:dyDescent="0.35">
      <c r="A10" s="441">
        <v>7</v>
      </c>
      <c r="B10" s="403" t="s">
        <v>135</v>
      </c>
      <c r="C10" s="151">
        <v>10300</v>
      </c>
      <c r="D10" s="151">
        <v>13949</v>
      </c>
      <c r="E10" s="243">
        <v>24249</v>
      </c>
    </row>
    <row r="11" spans="1:5" x14ac:dyDescent="0.35">
      <c r="A11" s="441">
        <v>8</v>
      </c>
      <c r="B11" s="403" t="s">
        <v>136</v>
      </c>
      <c r="C11" s="151">
        <v>14446</v>
      </c>
      <c r="D11" s="151">
        <v>11462</v>
      </c>
      <c r="E11" s="243">
        <v>25908</v>
      </c>
    </row>
    <row r="12" spans="1:5" x14ac:dyDescent="0.35">
      <c r="A12" s="441">
        <v>9</v>
      </c>
      <c r="B12" s="403" t="s">
        <v>137</v>
      </c>
      <c r="C12" s="151">
        <v>71</v>
      </c>
      <c r="D12" s="151">
        <v>73</v>
      </c>
      <c r="E12" s="243">
        <v>144</v>
      </c>
    </row>
    <row r="13" spans="1:5" x14ac:dyDescent="0.35">
      <c r="A13" s="441">
        <v>10</v>
      </c>
      <c r="B13" s="403" t="s">
        <v>138</v>
      </c>
      <c r="C13" s="151">
        <v>175006</v>
      </c>
      <c r="D13" s="151">
        <v>245196</v>
      </c>
      <c r="E13" s="243">
        <v>420202</v>
      </c>
    </row>
    <row r="14" spans="1:5" x14ac:dyDescent="0.35">
      <c r="A14" s="441">
        <v>11</v>
      </c>
      <c r="B14" s="403" t="s">
        <v>139</v>
      </c>
      <c r="C14" s="151">
        <v>1094412</v>
      </c>
      <c r="D14" s="151">
        <v>1348076</v>
      </c>
      <c r="E14" s="243">
        <v>2442488</v>
      </c>
    </row>
    <row r="15" spans="1:5" x14ac:dyDescent="0.35">
      <c r="A15" s="441">
        <v>12</v>
      </c>
      <c r="B15" s="403" t="s">
        <v>140</v>
      </c>
      <c r="C15" s="151">
        <v>490</v>
      </c>
      <c r="D15" s="151">
        <v>706</v>
      </c>
      <c r="E15" s="243">
        <v>1196</v>
      </c>
    </row>
    <row r="16" spans="1:5" x14ac:dyDescent="0.35">
      <c r="A16" s="441">
        <v>13</v>
      </c>
      <c r="B16" s="403" t="s">
        <v>141</v>
      </c>
      <c r="C16" s="151">
        <v>5796</v>
      </c>
      <c r="D16" s="151">
        <v>8196</v>
      </c>
      <c r="E16" s="243">
        <v>13992</v>
      </c>
    </row>
    <row r="17" spans="1:5" x14ac:dyDescent="0.35">
      <c r="A17" s="441">
        <v>14</v>
      </c>
      <c r="B17" s="403" t="s">
        <v>142</v>
      </c>
      <c r="C17" s="151">
        <v>179</v>
      </c>
      <c r="D17" s="151">
        <v>555</v>
      </c>
      <c r="E17" s="243">
        <v>734</v>
      </c>
    </row>
    <row r="18" spans="1:5" x14ac:dyDescent="0.35">
      <c r="A18" s="441">
        <v>15</v>
      </c>
      <c r="B18" s="403" t="s">
        <v>143</v>
      </c>
      <c r="C18" s="151">
        <v>26142</v>
      </c>
      <c r="D18" s="151">
        <v>9907</v>
      </c>
      <c r="E18" s="243">
        <v>36049</v>
      </c>
    </row>
    <row r="19" spans="1:5" x14ac:dyDescent="0.35">
      <c r="A19" s="441">
        <v>16</v>
      </c>
      <c r="B19" s="403" t="s">
        <v>144</v>
      </c>
      <c r="C19" s="151">
        <v>6294</v>
      </c>
      <c r="D19" s="151">
        <v>7187</v>
      </c>
      <c r="E19" s="243">
        <v>13481</v>
      </c>
    </row>
    <row r="20" spans="1:5" x14ac:dyDescent="0.35">
      <c r="A20" s="441">
        <v>17</v>
      </c>
      <c r="B20" s="403" t="s">
        <v>942</v>
      </c>
      <c r="C20" s="151">
        <v>1910</v>
      </c>
      <c r="D20" s="151">
        <v>1456</v>
      </c>
      <c r="E20" s="243">
        <v>3366</v>
      </c>
    </row>
    <row r="21" spans="1:5" x14ac:dyDescent="0.35">
      <c r="A21" s="441">
        <v>18</v>
      </c>
      <c r="B21" s="403" t="s">
        <v>146</v>
      </c>
      <c r="C21" s="151">
        <v>102018</v>
      </c>
      <c r="D21" s="151">
        <v>73272</v>
      </c>
      <c r="E21" s="243">
        <v>175290</v>
      </c>
    </row>
    <row r="22" spans="1:5" x14ac:dyDescent="0.35">
      <c r="A22" s="441">
        <v>19</v>
      </c>
      <c r="B22" s="403" t="s">
        <v>148</v>
      </c>
      <c r="C22" s="151">
        <v>302</v>
      </c>
      <c r="D22" s="151">
        <v>311</v>
      </c>
      <c r="E22" s="243">
        <v>613</v>
      </c>
    </row>
    <row r="23" spans="1:5" ht="26.5" x14ac:dyDescent="0.35">
      <c r="A23" s="441">
        <v>20</v>
      </c>
      <c r="B23" s="403" t="s">
        <v>149</v>
      </c>
      <c r="C23" s="151">
        <v>2735</v>
      </c>
      <c r="D23" s="151">
        <v>2295</v>
      </c>
      <c r="E23" s="243">
        <v>5030</v>
      </c>
    </row>
    <row r="24" spans="1:5" x14ac:dyDescent="0.35">
      <c r="A24" s="441">
        <v>21</v>
      </c>
      <c r="B24" s="403" t="s">
        <v>150</v>
      </c>
      <c r="C24" s="151">
        <v>1994</v>
      </c>
      <c r="D24" s="151">
        <v>1597</v>
      </c>
      <c r="E24" s="243">
        <v>3591</v>
      </c>
    </row>
    <row r="25" spans="1:5" x14ac:dyDescent="0.35">
      <c r="A25" s="441">
        <v>22</v>
      </c>
      <c r="B25" s="403" t="s">
        <v>151</v>
      </c>
      <c r="C25" s="151">
        <v>79</v>
      </c>
      <c r="D25" s="151">
        <v>31</v>
      </c>
      <c r="E25" s="243">
        <v>110</v>
      </c>
    </row>
    <row r="26" spans="1:5" x14ac:dyDescent="0.35">
      <c r="A26" s="441">
        <v>23</v>
      </c>
      <c r="B26" s="403" t="s">
        <v>152</v>
      </c>
      <c r="C26" s="151">
        <v>1117</v>
      </c>
      <c r="D26" s="151">
        <v>799</v>
      </c>
      <c r="E26" s="243">
        <v>1916</v>
      </c>
    </row>
    <row r="27" spans="1:5" x14ac:dyDescent="0.35">
      <c r="A27" s="441">
        <v>24</v>
      </c>
      <c r="B27" s="403" t="s">
        <v>153</v>
      </c>
      <c r="C27" s="151">
        <v>91105</v>
      </c>
      <c r="D27" s="151">
        <v>59739</v>
      </c>
      <c r="E27" s="243">
        <v>150844</v>
      </c>
    </row>
    <row r="28" spans="1:5" x14ac:dyDescent="0.35">
      <c r="A28" s="441">
        <v>25</v>
      </c>
      <c r="B28" s="403" t="s">
        <v>154</v>
      </c>
      <c r="C28" s="151">
        <v>209</v>
      </c>
      <c r="D28" s="151">
        <v>43</v>
      </c>
      <c r="E28" s="243">
        <v>252</v>
      </c>
    </row>
    <row r="29" spans="1:5" x14ac:dyDescent="0.35">
      <c r="A29" s="441">
        <v>26</v>
      </c>
      <c r="B29" s="403" t="s">
        <v>155</v>
      </c>
      <c r="C29" s="151">
        <v>131</v>
      </c>
      <c r="D29" s="151">
        <v>47</v>
      </c>
      <c r="E29" s="243">
        <v>178</v>
      </c>
    </row>
    <row r="30" spans="1:5" x14ac:dyDescent="0.35">
      <c r="A30" s="441">
        <v>27</v>
      </c>
      <c r="B30" s="403" t="s">
        <v>156</v>
      </c>
      <c r="C30" s="151">
        <v>128</v>
      </c>
      <c r="D30" s="151">
        <v>26</v>
      </c>
      <c r="E30" s="243">
        <v>154</v>
      </c>
    </row>
    <row r="31" spans="1:5" x14ac:dyDescent="0.35">
      <c r="A31" s="441">
        <v>28</v>
      </c>
      <c r="B31" s="403" t="s">
        <v>157</v>
      </c>
      <c r="C31" s="151">
        <v>1</v>
      </c>
      <c r="D31" s="151">
        <v>9</v>
      </c>
      <c r="E31" s="243">
        <v>10</v>
      </c>
    </row>
    <row r="32" spans="1:5" x14ac:dyDescent="0.35">
      <c r="A32" s="441">
        <v>29</v>
      </c>
      <c r="B32" s="403" t="s">
        <v>158</v>
      </c>
      <c r="C32" s="151">
        <v>19</v>
      </c>
      <c r="D32" s="151">
        <v>85</v>
      </c>
      <c r="E32" s="243">
        <v>104</v>
      </c>
    </row>
    <row r="33" spans="1:5" x14ac:dyDescent="0.35">
      <c r="A33" s="441">
        <v>30</v>
      </c>
      <c r="B33" s="403" t="s">
        <v>159</v>
      </c>
      <c r="C33" s="151">
        <v>25496</v>
      </c>
      <c r="D33" s="151">
        <v>22456</v>
      </c>
      <c r="E33" s="243">
        <v>47952</v>
      </c>
    </row>
    <row r="34" spans="1:5" x14ac:dyDescent="0.35">
      <c r="A34" s="441">
        <v>31</v>
      </c>
      <c r="B34" s="403" t="s">
        <v>160</v>
      </c>
      <c r="C34" s="151">
        <v>462246</v>
      </c>
      <c r="D34" s="151">
        <v>495346</v>
      </c>
      <c r="E34" s="243">
        <v>957592</v>
      </c>
    </row>
    <row r="35" spans="1:5" x14ac:dyDescent="0.35">
      <c r="A35" s="441">
        <v>32</v>
      </c>
      <c r="B35" s="403" t="s">
        <v>161</v>
      </c>
      <c r="C35" s="151">
        <v>850</v>
      </c>
      <c r="D35" s="151">
        <v>927</v>
      </c>
      <c r="E35" s="243">
        <v>1777</v>
      </c>
    </row>
    <row r="36" spans="1:5" x14ac:dyDescent="0.35">
      <c r="A36" s="441">
        <v>33</v>
      </c>
      <c r="B36" s="403" t="s">
        <v>162</v>
      </c>
      <c r="C36" s="151">
        <v>5169</v>
      </c>
      <c r="D36" s="151">
        <v>14929</v>
      </c>
      <c r="E36" s="243">
        <v>20098</v>
      </c>
    </row>
    <row r="37" spans="1:5" x14ac:dyDescent="0.35">
      <c r="A37" s="441">
        <v>34</v>
      </c>
      <c r="B37" s="403" t="s">
        <v>163</v>
      </c>
      <c r="C37" s="151">
        <v>2</v>
      </c>
      <c r="D37" s="151">
        <v>19</v>
      </c>
      <c r="E37" s="243">
        <v>21</v>
      </c>
    </row>
    <row r="38" spans="1:5" x14ac:dyDescent="0.35">
      <c r="A38" s="441">
        <v>35</v>
      </c>
      <c r="B38" s="403" t="s">
        <v>164</v>
      </c>
      <c r="C38" s="151">
        <v>9</v>
      </c>
      <c r="D38" s="151">
        <v>17</v>
      </c>
      <c r="E38" s="243">
        <v>26</v>
      </c>
    </row>
    <row r="39" spans="1:5" x14ac:dyDescent="0.35">
      <c r="A39" s="441">
        <v>36</v>
      </c>
      <c r="B39" s="403" t="s">
        <v>165</v>
      </c>
      <c r="C39" s="151">
        <v>2767</v>
      </c>
      <c r="D39" s="151">
        <v>6644</v>
      </c>
      <c r="E39" s="243">
        <v>9411</v>
      </c>
    </row>
    <row r="40" spans="1:5" x14ac:dyDescent="0.35">
      <c r="A40" s="441">
        <v>37</v>
      </c>
      <c r="B40" s="403" t="s">
        <v>166</v>
      </c>
      <c r="C40" s="151">
        <v>31</v>
      </c>
      <c r="D40" s="151">
        <v>163</v>
      </c>
      <c r="E40" s="243">
        <v>194</v>
      </c>
    </row>
    <row r="41" spans="1:5" x14ac:dyDescent="0.35">
      <c r="A41" s="441">
        <v>38</v>
      </c>
      <c r="B41" s="403" t="s">
        <v>167</v>
      </c>
      <c r="C41" s="151">
        <v>201540</v>
      </c>
      <c r="D41" s="151">
        <v>85199</v>
      </c>
      <c r="E41" s="243">
        <v>286739</v>
      </c>
    </row>
    <row r="42" spans="1:5" x14ac:dyDescent="0.35">
      <c r="A42" s="441">
        <v>39</v>
      </c>
      <c r="B42" s="403" t="s">
        <v>168</v>
      </c>
      <c r="C42" s="151">
        <v>598</v>
      </c>
      <c r="D42" s="151">
        <v>628</v>
      </c>
      <c r="E42" s="243">
        <v>1226</v>
      </c>
    </row>
    <row r="43" spans="1:5" x14ac:dyDescent="0.35">
      <c r="A43" s="441">
        <v>40</v>
      </c>
      <c r="B43" s="403" t="s">
        <v>169</v>
      </c>
      <c r="C43" s="151">
        <v>257394</v>
      </c>
      <c r="D43" s="151">
        <v>468352</v>
      </c>
      <c r="E43" s="243">
        <v>725746</v>
      </c>
    </row>
    <row r="44" spans="1:5" x14ac:dyDescent="0.35">
      <c r="A44" s="441">
        <v>41</v>
      </c>
      <c r="B44" s="403" t="s">
        <v>170</v>
      </c>
      <c r="C44" s="151">
        <v>1087</v>
      </c>
      <c r="D44" s="151">
        <v>2152</v>
      </c>
      <c r="E44" s="243">
        <v>3239</v>
      </c>
    </row>
    <row r="45" spans="1:5" x14ac:dyDescent="0.35">
      <c r="A45" s="441">
        <v>42</v>
      </c>
      <c r="B45" s="403" t="s">
        <v>171</v>
      </c>
      <c r="C45" s="151">
        <v>2725</v>
      </c>
      <c r="D45" s="151">
        <v>3076</v>
      </c>
      <c r="E45" s="243">
        <v>5801</v>
      </c>
    </row>
    <row r="46" spans="1:5" x14ac:dyDescent="0.35">
      <c r="A46" s="441">
        <v>43</v>
      </c>
      <c r="B46" s="403" t="s">
        <v>172</v>
      </c>
      <c r="C46" s="151">
        <v>608</v>
      </c>
      <c r="D46" s="151">
        <v>573</v>
      </c>
      <c r="E46" s="243">
        <v>1181</v>
      </c>
    </row>
    <row r="47" spans="1:5" x14ac:dyDescent="0.35">
      <c r="A47" s="441">
        <v>44</v>
      </c>
      <c r="B47" s="403" t="s">
        <v>173</v>
      </c>
      <c r="C47" s="151">
        <v>106</v>
      </c>
      <c r="D47" s="151">
        <v>438</v>
      </c>
      <c r="E47" s="243">
        <v>544</v>
      </c>
    </row>
    <row r="48" spans="1:5" x14ac:dyDescent="0.35">
      <c r="A48" s="441">
        <v>45</v>
      </c>
      <c r="B48" s="403" t="s">
        <v>174</v>
      </c>
      <c r="C48" s="151">
        <v>269</v>
      </c>
      <c r="D48" s="151">
        <v>182</v>
      </c>
      <c r="E48" s="243">
        <v>451</v>
      </c>
    </row>
    <row r="49" spans="1:5" x14ac:dyDescent="0.35">
      <c r="A49" s="441">
        <v>46</v>
      </c>
      <c r="B49" s="403" t="s">
        <v>175</v>
      </c>
      <c r="C49" s="151">
        <v>433</v>
      </c>
      <c r="D49" s="151">
        <v>599</v>
      </c>
      <c r="E49" s="243">
        <v>1032</v>
      </c>
    </row>
    <row r="50" spans="1:5" x14ac:dyDescent="0.35">
      <c r="A50" s="441">
        <v>47</v>
      </c>
      <c r="B50" s="403" t="s">
        <v>176</v>
      </c>
      <c r="C50" s="151">
        <v>8450</v>
      </c>
      <c r="D50" s="151">
        <v>2126</v>
      </c>
      <c r="E50" s="243">
        <v>10576</v>
      </c>
    </row>
    <row r="51" spans="1:5" x14ac:dyDescent="0.35">
      <c r="A51" s="441">
        <v>48</v>
      </c>
      <c r="B51" s="403" t="s">
        <v>177</v>
      </c>
      <c r="C51" s="151">
        <v>3934</v>
      </c>
      <c r="D51" s="151">
        <v>886</v>
      </c>
      <c r="E51" s="243">
        <v>4820</v>
      </c>
    </row>
    <row r="52" spans="1:5" x14ac:dyDescent="0.35">
      <c r="A52" s="441">
        <v>49</v>
      </c>
      <c r="B52" s="403" t="s">
        <v>178</v>
      </c>
      <c r="C52" s="151">
        <v>4798</v>
      </c>
      <c r="D52" s="151">
        <v>7773</v>
      </c>
      <c r="E52" s="243">
        <v>12571</v>
      </c>
    </row>
    <row r="53" spans="1:5" x14ac:dyDescent="0.35">
      <c r="A53" s="441">
        <v>50</v>
      </c>
      <c r="B53" s="403" t="s">
        <v>179</v>
      </c>
      <c r="C53" s="151">
        <v>1415</v>
      </c>
      <c r="D53" s="151">
        <v>758</v>
      </c>
      <c r="E53" s="243">
        <v>2173</v>
      </c>
    </row>
    <row r="54" spans="1:5" x14ac:dyDescent="0.35">
      <c r="A54" s="441">
        <v>51</v>
      </c>
      <c r="B54" s="403" t="s">
        <v>180</v>
      </c>
      <c r="C54" s="151">
        <v>188</v>
      </c>
      <c r="D54" s="151">
        <v>171</v>
      </c>
      <c r="E54" s="243">
        <v>359</v>
      </c>
    </row>
    <row r="55" spans="1:5" x14ac:dyDescent="0.35">
      <c r="A55" s="441">
        <v>52</v>
      </c>
      <c r="B55" s="403" t="s">
        <v>181</v>
      </c>
      <c r="C55" s="151">
        <v>191</v>
      </c>
      <c r="D55" s="151">
        <v>67</v>
      </c>
      <c r="E55" s="243">
        <v>258</v>
      </c>
    </row>
    <row r="56" spans="1:5" x14ac:dyDescent="0.35">
      <c r="A56" s="441">
        <v>53</v>
      </c>
      <c r="B56" s="403" t="s">
        <v>182</v>
      </c>
      <c r="C56" s="151">
        <v>59</v>
      </c>
      <c r="D56" s="151">
        <v>29</v>
      </c>
      <c r="E56" s="243">
        <v>88</v>
      </c>
    </row>
    <row r="57" spans="1:5" x14ac:dyDescent="0.35">
      <c r="A57" s="441">
        <v>54</v>
      </c>
      <c r="B57" s="403" t="s">
        <v>183</v>
      </c>
      <c r="C57" s="151">
        <v>45</v>
      </c>
      <c r="D57" s="151">
        <v>96</v>
      </c>
      <c r="E57" s="243">
        <v>141</v>
      </c>
    </row>
    <row r="58" spans="1:5" x14ac:dyDescent="0.35">
      <c r="A58" s="441">
        <v>55</v>
      </c>
      <c r="B58" s="403" t="s">
        <v>184</v>
      </c>
      <c r="C58" s="151">
        <v>551</v>
      </c>
      <c r="D58" s="151">
        <v>318</v>
      </c>
      <c r="E58" s="243">
        <v>869</v>
      </c>
    </row>
    <row r="59" spans="1:5" x14ac:dyDescent="0.35">
      <c r="A59" s="441">
        <v>56</v>
      </c>
      <c r="B59" s="403" t="s">
        <v>185</v>
      </c>
      <c r="C59" s="151">
        <v>2542</v>
      </c>
      <c r="D59" s="151">
        <v>2988</v>
      </c>
      <c r="E59" s="243">
        <v>5530</v>
      </c>
    </row>
    <row r="60" spans="1:5" x14ac:dyDescent="0.35">
      <c r="A60" s="441">
        <v>57</v>
      </c>
      <c r="B60" s="403" t="s">
        <v>186</v>
      </c>
      <c r="C60" s="151">
        <v>7635</v>
      </c>
      <c r="D60" s="151">
        <v>4840</v>
      </c>
      <c r="E60" s="243">
        <v>12475</v>
      </c>
    </row>
    <row r="61" spans="1:5" x14ac:dyDescent="0.35">
      <c r="A61" s="441">
        <v>58</v>
      </c>
      <c r="B61" s="403" t="s">
        <v>187</v>
      </c>
      <c r="C61" s="151">
        <v>10531</v>
      </c>
      <c r="D61" s="151">
        <v>8957</v>
      </c>
      <c r="E61" s="243">
        <v>19488</v>
      </c>
    </row>
    <row r="62" spans="1:5" x14ac:dyDescent="0.35">
      <c r="A62" s="441">
        <v>59</v>
      </c>
      <c r="B62" s="403" t="s">
        <v>188</v>
      </c>
      <c r="C62" s="151">
        <v>7231</v>
      </c>
      <c r="D62" s="151">
        <v>7510</v>
      </c>
      <c r="E62" s="243">
        <v>14741</v>
      </c>
    </row>
    <row r="63" spans="1:5" x14ac:dyDescent="0.35">
      <c r="A63" s="441">
        <v>60</v>
      </c>
      <c r="B63" s="403" t="s">
        <v>189</v>
      </c>
      <c r="C63" s="151">
        <v>666</v>
      </c>
      <c r="D63" s="151">
        <v>1220</v>
      </c>
      <c r="E63" s="243">
        <v>1886</v>
      </c>
    </row>
    <row r="64" spans="1:5" x14ac:dyDescent="0.35">
      <c r="A64" s="441">
        <v>61</v>
      </c>
      <c r="B64" s="403" t="s">
        <v>190</v>
      </c>
      <c r="C64" s="151">
        <v>2231</v>
      </c>
      <c r="D64" s="151">
        <v>1844</v>
      </c>
      <c r="E64" s="243">
        <v>4075</v>
      </c>
    </row>
    <row r="65" spans="1:5" x14ac:dyDescent="0.35">
      <c r="A65" s="441">
        <v>62</v>
      </c>
      <c r="B65" s="403" t="s">
        <v>191</v>
      </c>
      <c r="C65" s="151">
        <v>254</v>
      </c>
      <c r="D65" s="151">
        <v>317</v>
      </c>
      <c r="E65" s="243">
        <v>571</v>
      </c>
    </row>
    <row r="66" spans="1:5" x14ac:dyDescent="0.35">
      <c r="A66" s="441">
        <v>63</v>
      </c>
      <c r="B66" s="403" t="s">
        <v>192</v>
      </c>
      <c r="C66" s="151">
        <v>8406</v>
      </c>
      <c r="D66" s="151">
        <v>7368</v>
      </c>
      <c r="E66" s="243">
        <v>15774</v>
      </c>
    </row>
    <row r="67" spans="1:5" x14ac:dyDescent="0.35">
      <c r="A67" s="441">
        <v>64</v>
      </c>
      <c r="B67" s="403" t="s">
        <v>193</v>
      </c>
      <c r="C67" s="151">
        <v>158</v>
      </c>
      <c r="D67" s="151">
        <v>216</v>
      </c>
      <c r="E67" s="243">
        <v>374</v>
      </c>
    </row>
    <row r="68" spans="1:5" x14ac:dyDescent="0.35">
      <c r="A68" s="441">
        <v>65</v>
      </c>
      <c r="B68" s="403" t="s">
        <v>194</v>
      </c>
      <c r="C68" s="151">
        <v>431</v>
      </c>
      <c r="D68" s="151">
        <v>796</v>
      </c>
      <c r="E68" s="243">
        <v>1227</v>
      </c>
    </row>
    <row r="69" spans="1:5" x14ac:dyDescent="0.35">
      <c r="A69" s="441">
        <v>66</v>
      </c>
      <c r="B69" s="403" t="s">
        <v>195</v>
      </c>
      <c r="C69" s="151">
        <v>77</v>
      </c>
      <c r="D69" s="151">
        <v>145</v>
      </c>
      <c r="E69" s="243">
        <v>222</v>
      </c>
    </row>
    <row r="70" spans="1:5" x14ac:dyDescent="0.35">
      <c r="A70" s="441">
        <v>67</v>
      </c>
      <c r="B70" s="403" t="s">
        <v>196</v>
      </c>
      <c r="C70" s="151">
        <v>100</v>
      </c>
      <c r="D70" s="151">
        <v>158</v>
      </c>
      <c r="E70" s="243">
        <v>258</v>
      </c>
    </row>
    <row r="71" spans="1:5" x14ac:dyDescent="0.35">
      <c r="A71" s="441">
        <v>68</v>
      </c>
      <c r="B71" s="403" t="s">
        <v>197</v>
      </c>
      <c r="C71" s="151">
        <v>312</v>
      </c>
      <c r="D71" s="151">
        <v>595</v>
      </c>
      <c r="E71" s="243">
        <v>907</v>
      </c>
    </row>
    <row r="72" spans="1:5" x14ac:dyDescent="0.35">
      <c r="A72" s="441">
        <v>69</v>
      </c>
      <c r="B72" s="403" t="s">
        <v>198</v>
      </c>
      <c r="C72" s="151">
        <v>730</v>
      </c>
      <c r="D72" s="151">
        <v>1195</v>
      </c>
      <c r="E72" s="243">
        <v>1925</v>
      </c>
    </row>
    <row r="73" spans="1:5" x14ac:dyDescent="0.35">
      <c r="A73" s="441">
        <v>70</v>
      </c>
      <c r="B73" s="403" t="s">
        <v>199</v>
      </c>
      <c r="C73" s="151">
        <v>809</v>
      </c>
      <c r="D73" s="151">
        <v>722</v>
      </c>
      <c r="E73" s="243">
        <v>1531</v>
      </c>
    </row>
    <row r="74" spans="1:5" x14ac:dyDescent="0.35">
      <c r="A74" s="441">
        <v>71</v>
      </c>
      <c r="B74" s="403" t="s">
        <v>200</v>
      </c>
      <c r="C74" s="151">
        <v>4274</v>
      </c>
      <c r="D74" s="151">
        <v>1571</v>
      </c>
      <c r="E74" s="243">
        <v>5845</v>
      </c>
    </row>
    <row r="75" spans="1:5" x14ac:dyDescent="0.35">
      <c r="A75" s="441">
        <v>72</v>
      </c>
      <c r="B75" s="403" t="s">
        <v>201</v>
      </c>
      <c r="C75" s="151">
        <v>181</v>
      </c>
      <c r="D75" s="151">
        <v>44</v>
      </c>
      <c r="E75" s="243">
        <v>225</v>
      </c>
    </row>
    <row r="76" spans="1:5" x14ac:dyDescent="0.35">
      <c r="A76" s="441">
        <v>73</v>
      </c>
      <c r="B76" s="403" t="s">
        <v>202</v>
      </c>
      <c r="C76" s="151">
        <v>14207</v>
      </c>
      <c r="D76" s="151">
        <v>6728</v>
      </c>
      <c r="E76" s="243">
        <v>20935</v>
      </c>
    </row>
    <row r="77" spans="1:5" x14ac:dyDescent="0.35">
      <c r="A77" s="441">
        <v>74</v>
      </c>
      <c r="B77" s="403" t="s">
        <v>203</v>
      </c>
      <c r="C77" s="151">
        <v>45</v>
      </c>
      <c r="D77" s="151">
        <v>66</v>
      </c>
      <c r="E77" s="243">
        <v>111</v>
      </c>
    </row>
    <row r="78" spans="1:5" x14ac:dyDescent="0.35">
      <c r="A78" s="441">
        <v>75</v>
      </c>
      <c r="B78" s="403" t="s">
        <v>204</v>
      </c>
      <c r="C78" s="151">
        <v>78</v>
      </c>
      <c r="D78" s="151">
        <v>121</v>
      </c>
      <c r="E78" s="243">
        <v>199</v>
      </c>
    </row>
    <row r="79" spans="1:5" x14ac:dyDescent="0.35">
      <c r="A79" s="441">
        <v>76</v>
      </c>
      <c r="B79" s="403" t="s">
        <v>205</v>
      </c>
      <c r="C79" s="151">
        <v>6236</v>
      </c>
      <c r="D79" s="151">
        <v>12055</v>
      </c>
      <c r="E79" s="243">
        <v>18291</v>
      </c>
    </row>
    <row r="80" spans="1:5" x14ac:dyDescent="0.35">
      <c r="A80" s="441">
        <v>77</v>
      </c>
      <c r="B80" s="403" t="s">
        <v>206</v>
      </c>
      <c r="C80" s="151">
        <v>59</v>
      </c>
      <c r="D80" s="151">
        <v>63</v>
      </c>
      <c r="E80" s="243">
        <v>122</v>
      </c>
    </row>
    <row r="81" spans="1:5" x14ac:dyDescent="0.35">
      <c r="A81" s="441">
        <v>78</v>
      </c>
      <c r="B81" s="403" t="s">
        <v>207</v>
      </c>
      <c r="C81" s="151">
        <v>61585</v>
      </c>
      <c r="D81" s="151">
        <v>42996</v>
      </c>
      <c r="E81" s="243">
        <v>104581</v>
      </c>
    </row>
    <row r="82" spans="1:5" x14ac:dyDescent="0.35">
      <c r="A82" s="441">
        <v>79</v>
      </c>
      <c r="B82" s="403" t="s">
        <v>208</v>
      </c>
      <c r="C82" s="151">
        <v>169</v>
      </c>
      <c r="D82" s="151">
        <v>136</v>
      </c>
      <c r="E82" s="243">
        <v>305</v>
      </c>
    </row>
    <row r="83" spans="1:5" x14ac:dyDescent="0.35">
      <c r="A83" s="441">
        <v>80</v>
      </c>
      <c r="B83" s="403" t="s">
        <v>209</v>
      </c>
      <c r="C83" s="151">
        <v>1289</v>
      </c>
      <c r="D83" s="151">
        <v>484</v>
      </c>
      <c r="E83" s="243">
        <v>1773</v>
      </c>
    </row>
    <row r="84" spans="1:5" x14ac:dyDescent="0.35">
      <c r="A84" s="441">
        <v>81</v>
      </c>
      <c r="B84" s="403" t="s">
        <v>210</v>
      </c>
      <c r="C84" s="151">
        <v>1046</v>
      </c>
      <c r="D84" s="151">
        <v>752</v>
      </c>
      <c r="E84" s="243">
        <v>1798</v>
      </c>
    </row>
    <row r="85" spans="1:5" ht="26.5" x14ac:dyDescent="0.35">
      <c r="A85" s="441">
        <v>82</v>
      </c>
      <c r="B85" s="403" t="s">
        <v>211</v>
      </c>
      <c r="C85" s="151">
        <v>320</v>
      </c>
      <c r="D85" s="151">
        <v>460</v>
      </c>
      <c r="E85" s="243">
        <v>780</v>
      </c>
    </row>
    <row r="86" spans="1:5" x14ac:dyDescent="0.35">
      <c r="A86" s="441">
        <v>83</v>
      </c>
      <c r="B86" s="403" t="s">
        <v>212</v>
      </c>
      <c r="C86" s="151">
        <v>112</v>
      </c>
      <c r="D86" s="151">
        <v>437</v>
      </c>
      <c r="E86" s="243">
        <v>549</v>
      </c>
    </row>
    <row r="87" spans="1:5" x14ac:dyDescent="0.35">
      <c r="A87" s="441">
        <v>84</v>
      </c>
      <c r="B87" s="403" t="s">
        <v>213</v>
      </c>
      <c r="C87" s="151">
        <v>129</v>
      </c>
      <c r="D87" s="151">
        <v>64</v>
      </c>
      <c r="E87" s="243">
        <v>193</v>
      </c>
    </row>
    <row r="88" spans="1:5" x14ac:dyDescent="0.35">
      <c r="A88" s="441">
        <v>85</v>
      </c>
      <c r="B88" s="403" t="s">
        <v>214</v>
      </c>
      <c r="C88" s="151">
        <v>2788</v>
      </c>
      <c r="D88" s="151">
        <v>3375</v>
      </c>
      <c r="E88" s="243">
        <v>6163</v>
      </c>
    </row>
    <row r="89" spans="1:5" x14ac:dyDescent="0.35">
      <c r="A89" s="441">
        <v>86</v>
      </c>
      <c r="B89" s="403" t="s">
        <v>215</v>
      </c>
      <c r="C89" s="151">
        <v>21</v>
      </c>
      <c r="D89" s="151">
        <v>25</v>
      </c>
      <c r="E89" s="243">
        <v>46</v>
      </c>
    </row>
    <row r="90" spans="1:5" x14ac:dyDescent="0.35">
      <c r="A90" s="441">
        <v>87</v>
      </c>
      <c r="B90" s="403" t="s">
        <v>941</v>
      </c>
      <c r="C90" s="151">
        <v>181</v>
      </c>
      <c r="D90" s="151">
        <v>124</v>
      </c>
      <c r="E90" s="243">
        <v>305</v>
      </c>
    </row>
    <row r="91" spans="1:5" x14ac:dyDescent="0.35">
      <c r="A91" s="441">
        <v>88</v>
      </c>
      <c r="B91" s="403" t="s">
        <v>217</v>
      </c>
      <c r="C91" s="151">
        <v>205</v>
      </c>
      <c r="D91" s="151">
        <v>182</v>
      </c>
      <c r="E91" s="243">
        <v>387</v>
      </c>
    </row>
    <row r="92" spans="1:5" x14ac:dyDescent="0.35">
      <c r="A92" s="441">
        <v>89</v>
      </c>
      <c r="B92" s="403" t="s">
        <v>218</v>
      </c>
      <c r="C92" s="151">
        <v>203</v>
      </c>
      <c r="D92" s="151">
        <v>184</v>
      </c>
      <c r="E92" s="243">
        <v>387</v>
      </c>
    </row>
    <row r="93" spans="1:5" x14ac:dyDescent="0.35">
      <c r="A93" s="441">
        <v>90</v>
      </c>
      <c r="B93" s="403" t="s">
        <v>220</v>
      </c>
      <c r="C93" s="151">
        <v>9546</v>
      </c>
      <c r="D93" s="151">
        <v>10540</v>
      </c>
      <c r="E93" s="243">
        <v>20086</v>
      </c>
    </row>
    <row r="94" spans="1:5" x14ac:dyDescent="0.35">
      <c r="A94" s="441">
        <v>91</v>
      </c>
      <c r="B94" s="403" t="s">
        <v>221</v>
      </c>
      <c r="C94" s="151">
        <v>463</v>
      </c>
      <c r="D94" s="151">
        <v>139</v>
      </c>
      <c r="E94" s="243">
        <v>602</v>
      </c>
    </row>
    <row r="95" spans="1:5" x14ac:dyDescent="0.35">
      <c r="A95" s="441">
        <v>92</v>
      </c>
      <c r="B95" s="403" t="s">
        <v>222</v>
      </c>
      <c r="C95" s="151">
        <v>50</v>
      </c>
      <c r="D95" s="151">
        <v>37</v>
      </c>
      <c r="E95" s="243">
        <v>87</v>
      </c>
    </row>
    <row r="96" spans="1:5" x14ac:dyDescent="0.35">
      <c r="A96" s="441">
        <v>93</v>
      </c>
      <c r="B96" s="403" t="s">
        <v>223</v>
      </c>
      <c r="C96" s="151">
        <v>1</v>
      </c>
      <c r="D96" s="151"/>
      <c r="E96" s="243">
        <v>1</v>
      </c>
    </row>
    <row r="97" spans="1:5" x14ac:dyDescent="0.35">
      <c r="A97" s="441">
        <v>94</v>
      </c>
      <c r="B97" s="403" t="s">
        <v>224</v>
      </c>
      <c r="C97" s="151">
        <v>82841</v>
      </c>
      <c r="D97" s="151">
        <v>72001</v>
      </c>
      <c r="E97" s="243">
        <v>154842</v>
      </c>
    </row>
    <row r="98" spans="1:5" x14ac:dyDescent="0.35">
      <c r="A98" s="441">
        <v>95</v>
      </c>
      <c r="B98" s="403" t="s">
        <v>225</v>
      </c>
      <c r="C98" s="151">
        <v>21613</v>
      </c>
      <c r="D98" s="151">
        <v>70750</v>
      </c>
      <c r="E98" s="243">
        <v>92363</v>
      </c>
    </row>
    <row r="99" spans="1:5" x14ac:dyDescent="0.35">
      <c r="A99" s="441">
        <v>96</v>
      </c>
      <c r="B99" s="403" t="s">
        <v>226</v>
      </c>
      <c r="C99" s="151">
        <v>3318</v>
      </c>
      <c r="D99" s="151">
        <v>14859</v>
      </c>
      <c r="E99" s="243">
        <v>18177</v>
      </c>
    </row>
    <row r="100" spans="1:5" x14ac:dyDescent="0.35">
      <c r="A100" s="441">
        <v>97</v>
      </c>
      <c r="B100" s="403" t="s">
        <v>227</v>
      </c>
      <c r="C100" s="151">
        <v>9</v>
      </c>
      <c r="D100" s="151">
        <v>2</v>
      </c>
      <c r="E100" s="243">
        <v>11</v>
      </c>
    </row>
    <row r="101" spans="1:5" x14ac:dyDescent="0.35">
      <c r="A101" s="441">
        <v>98</v>
      </c>
      <c r="B101" s="403" t="s">
        <v>228</v>
      </c>
      <c r="C101" s="151">
        <v>297</v>
      </c>
      <c r="D101" s="151">
        <v>107</v>
      </c>
      <c r="E101" s="243">
        <v>404</v>
      </c>
    </row>
    <row r="102" spans="1:5" x14ac:dyDescent="0.35">
      <c r="A102" s="441">
        <v>99</v>
      </c>
      <c r="B102" s="403" t="s">
        <v>229</v>
      </c>
      <c r="C102" s="151">
        <v>524394</v>
      </c>
      <c r="D102" s="151">
        <v>626376</v>
      </c>
      <c r="E102" s="243">
        <v>1150770</v>
      </c>
    </row>
    <row r="103" spans="1:5" x14ac:dyDescent="0.35">
      <c r="A103" s="441">
        <v>100</v>
      </c>
      <c r="B103" s="403" t="s">
        <v>230</v>
      </c>
      <c r="C103" s="151">
        <v>282</v>
      </c>
      <c r="D103" s="151">
        <v>283</v>
      </c>
      <c r="E103" s="243">
        <v>565</v>
      </c>
    </row>
    <row r="104" spans="1:5" x14ac:dyDescent="0.35">
      <c r="A104" s="441">
        <v>101</v>
      </c>
      <c r="B104" s="403" t="s">
        <v>231</v>
      </c>
      <c r="C104" s="151">
        <v>375645</v>
      </c>
      <c r="D104" s="151">
        <v>157068</v>
      </c>
      <c r="E104" s="243">
        <v>532713</v>
      </c>
    </row>
    <row r="105" spans="1:5" x14ac:dyDescent="0.35">
      <c r="A105" s="441">
        <v>102</v>
      </c>
      <c r="B105" s="403" t="s">
        <v>232</v>
      </c>
      <c r="C105" s="151">
        <v>2353</v>
      </c>
      <c r="D105" s="151">
        <v>755</v>
      </c>
      <c r="E105" s="243">
        <v>3108</v>
      </c>
    </row>
    <row r="106" spans="1:5" x14ac:dyDescent="0.35">
      <c r="A106" s="441">
        <v>103</v>
      </c>
      <c r="B106" s="403" t="s">
        <v>233</v>
      </c>
      <c r="C106" s="151">
        <v>1035</v>
      </c>
      <c r="D106" s="151">
        <v>1073</v>
      </c>
      <c r="E106" s="243">
        <v>2108</v>
      </c>
    </row>
    <row r="107" spans="1:5" x14ac:dyDescent="0.35">
      <c r="A107" s="441">
        <v>104</v>
      </c>
      <c r="B107" s="403" t="s">
        <v>234</v>
      </c>
      <c r="C107" s="151">
        <v>237</v>
      </c>
      <c r="D107" s="151">
        <v>235</v>
      </c>
      <c r="E107" s="243">
        <v>472</v>
      </c>
    </row>
    <row r="108" spans="1:5" x14ac:dyDescent="0.35">
      <c r="A108" s="441">
        <v>105</v>
      </c>
      <c r="B108" s="403" t="s">
        <v>235</v>
      </c>
      <c r="C108" s="151">
        <v>2294</v>
      </c>
      <c r="D108" s="151">
        <v>1421</v>
      </c>
      <c r="E108" s="243">
        <v>3715</v>
      </c>
    </row>
    <row r="109" spans="1:5" x14ac:dyDescent="0.35">
      <c r="A109" s="441">
        <v>106</v>
      </c>
      <c r="B109" s="403" t="s">
        <v>236</v>
      </c>
      <c r="C109" s="151">
        <v>494</v>
      </c>
      <c r="D109" s="151">
        <v>283</v>
      </c>
      <c r="E109" s="243">
        <v>777</v>
      </c>
    </row>
    <row r="110" spans="1:5" x14ac:dyDescent="0.35">
      <c r="A110" s="441">
        <v>107</v>
      </c>
      <c r="B110" s="403" t="s">
        <v>237</v>
      </c>
      <c r="C110" s="151">
        <v>7863</v>
      </c>
      <c r="D110" s="151">
        <v>7331</v>
      </c>
      <c r="E110" s="243">
        <v>15194</v>
      </c>
    </row>
    <row r="111" spans="1:5" x14ac:dyDescent="0.35">
      <c r="A111" s="441">
        <v>108</v>
      </c>
      <c r="B111" s="403" t="s">
        <v>238</v>
      </c>
      <c r="C111" s="151">
        <v>210</v>
      </c>
      <c r="D111" s="151">
        <v>129</v>
      </c>
      <c r="E111" s="243">
        <v>339</v>
      </c>
    </row>
    <row r="112" spans="1:5" x14ac:dyDescent="0.35">
      <c r="A112" s="441">
        <v>109</v>
      </c>
      <c r="B112" s="403" t="s">
        <v>239</v>
      </c>
      <c r="C112" s="151">
        <v>16</v>
      </c>
      <c r="D112" s="151">
        <v>196</v>
      </c>
      <c r="E112" s="243">
        <v>212</v>
      </c>
    </row>
    <row r="113" spans="1:5" x14ac:dyDescent="0.35">
      <c r="A113" s="441">
        <v>110</v>
      </c>
      <c r="B113" s="403" t="s">
        <v>240</v>
      </c>
      <c r="C113" s="151">
        <v>9</v>
      </c>
      <c r="D113" s="151">
        <v>13</v>
      </c>
      <c r="E113" s="243">
        <v>22</v>
      </c>
    </row>
    <row r="114" spans="1:5" ht="26.5" x14ac:dyDescent="0.35">
      <c r="A114" s="441">
        <v>111</v>
      </c>
      <c r="B114" s="403" t="s">
        <v>242</v>
      </c>
      <c r="C114" s="151">
        <v>61</v>
      </c>
      <c r="D114" s="151">
        <v>44</v>
      </c>
      <c r="E114" s="243">
        <v>105</v>
      </c>
    </row>
    <row r="115" spans="1:5" x14ac:dyDescent="0.35">
      <c r="A115" s="441">
        <v>112</v>
      </c>
      <c r="B115" s="403" t="s">
        <v>243</v>
      </c>
      <c r="C115" s="151">
        <v>28</v>
      </c>
      <c r="D115" s="151">
        <v>6</v>
      </c>
      <c r="E115" s="243">
        <v>34</v>
      </c>
    </row>
    <row r="116" spans="1:5" x14ac:dyDescent="0.35">
      <c r="A116" s="441">
        <v>113</v>
      </c>
      <c r="B116" s="403" t="s">
        <v>244</v>
      </c>
      <c r="C116" s="151">
        <v>61</v>
      </c>
      <c r="D116" s="151">
        <v>76</v>
      </c>
      <c r="E116" s="243">
        <v>137</v>
      </c>
    </row>
    <row r="117" spans="1:5" x14ac:dyDescent="0.35">
      <c r="A117" s="441">
        <v>114</v>
      </c>
      <c r="B117" s="403" t="s">
        <v>245</v>
      </c>
      <c r="C117" s="151">
        <v>40113</v>
      </c>
      <c r="D117" s="151">
        <v>43912</v>
      </c>
      <c r="E117" s="243">
        <v>84025</v>
      </c>
    </row>
    <row r="118" spans="1:5" x14ac:dyDescent="0.35">
      <c r="A118" s="441">
        <v>115</v>
      </c>
      <c r="B118" s="403" t="s">
        <v>246</v>
      </c>
      <c r="C118" s="151">
        <v>33533</v>
      </c>
      <c r="D118" s="151">
        <v>45651</v>
      </c>
      <c r="E118" s="243">
        <v>79184</v>
      </c>
    </row>
    <row r="119" spans="1:5" x14ac:dyDescent="0.35">
      <c r="A119" s="441">
        <v>116</v>
      </c>
      <c r="B119" s="403" t="s">
        <v>247</v>
      </c>
      <c r="C119" s="151">
        <v>36665</v>
      </c>
      <c r="D119" s="151">
        <v>52568</v>
      </c>
      <c r="E119" s="243">
        <v>89233</v>
      </c>
    </row>
    <row r="120" spans="1:5" x14ac:dyDescent="0.35">
      <c r="A120" s="441">
        <v>117</v>
      </c>
      <c r="B120" s="403" t="s">
        <v>248</v>
      </c>
      <c r="C120" s="151">
        <v>1</v>
      </c>
      <c r="D120" s="151"/>
      <c r="E120" s="243">
        <v>1</v>
      </c>
    </row>
    <row r="121" spans="1:5" x14ac:dyDescent="0.35">
      <c r="A121" s="441">
        <v>118</v>
      </c>
      <c r="B121" s="403" t="s">
        <v>249</v>
      </c>
      <c r="C121" s="151">
        <v>56</v>
      </c>
      <c r="D121" s="151">
        <v>37</v>
      </c>
      <c r="E121" s="243">
        <v>93</v>
      </c>
    </row>
    <row r="122" spans="1:5" x14ac:dyDescent="0.35">
      <c r="A122" s="441">
        <v>119</v>
      </c>
      <c r="B122" s="403" t="s">
        <v>250</v>
      </c>
      <c r="C122" s="151">
        <v>380</v>
      </c>
      <c r="D122" s="151">
        <v>129</v>
      </c>
      <c r="E122" s="243">
        <v>509</v>
      </c>
    </row>
    <row r="123" spans="1:5" x14ac:dyDescent="0.35">
      <c r="A123" s="441">
        <v>120</v>
      </c>
      <c r="B123" s="403" t="s">
        <v>251</v>
      </c>
      <c r="C123" s="151">
        <v>2489</v>
      </c>
      <c r="D123" s="151">
        <v>2243</v>
      </c>
      <c r="E123" s="243">
        <v>4732</v>
      </c>
    </row>
    <row r="124" spans="1:5" x14ac:dyDescent="0.35">
      <c r="A124" s="441">
        <v>121</v>
      </c>
      <c r="B124" s="403" t="s">
        <v>252</v>
      </c>
      <c r="C124" s="151">
        <v>40</v>
      </c>
      <c r="D124" s="151">
        <v>28</v>
      </c>
      <c r="E124" s="243">
        <v>68</v>
      </c>
    </row>
    <row r="125" spans="1:5" x14ac:dyDescent="0.35">
      <c r="A125" s="441">
        <v>122</v>
      </c>
      <c r="B125" s="403" t="s">
        <v>253</v>
      </c>
      <c r="C125" s="151">
        <v>3</v>
      </c>
      <c r="D125" s="151">
        <v>2</v>
      </c>
      <c r="E125" s="243">
        <v>5</v>
      </c>
    </row>
    <row r="126" spans="1:5" x14ac:dyDescent="0.35">
      <c r="A126" s="441">
        <v>123</v>
      </c>
      <c r="B126" s="403" t="s">
        <v>254</v>
      </c>
      <c r="C126" s="151">
        <v>482</v>
      </c>
      <c r="D126" s="151">
        <v>380</v>
      </c>
      <c r="E126" s="243">
        <v>862</v>
      </c>
    </row>
    <row r="127" spans="1:5" x14ac:dyDescent="0.35">
      <c r="A127" s="441">
        <v>124</v>
      </c>
      <c r="B127" s="403" t="s">
        <v>255</v>
      </c>
      <c r="C127" s="151">
        <v>58429</v>
      </c>
      <c r="D127" s="151">
        <v>26600</v>
      </c>
      <c r="E127" s="243">
        <v>85029</v>
      </c>
    </row>
    <row r="128" spans="1:5" x14ac:dyDescent="0.35">
      <c r="A128" s="441">
        <v>125</v>
      </c>
      <c r="B128" s="403" t="s">
        <v>256</v>
      </c>
      <c r="C128" s="151">
        <v>76</v>
      </c>
      <c r="D128" s="151">
        <v>50</v>
      </c>
      <c r="E128" s="243">
        <v>126</v>
      </c>
    </row>
    <row r="129" spans="1:5" x14ac:dyDescent="0.35">
      <c r="A129" s="441">
        <v>126</v>
      </c>
      <c r="B129" s="403" t="s">
        <v>257</v>
      </c>
      <c r="C129" s="151">
        <v>16</v>
      </c>
      <c r="D129" s="151">
        <v>21</v>
      </c>
      <c r="E129" s="243">
        <v>37</v>
      </c>
    </row>
    <row r="130" spans="1:5" x14ac:dyDescent="0.35">
      <c r="A130" s="441">
        <v>127</v>
      </c>
      <c r="B130" s="403" t="s">
        <v>258</v>
      </c>
      <c r="C130" s="151">
        <v>321</v>
      </c>
      <c r="D130" s="151">
        <v>1039</v>
      </c>
      <c r="E130" s="243">
        <v>1360</v>
      </c>
    </row>
    <row r="131" spans="1:5" x14ac:dyDescent="0.35">
      <c r="A131" s="441">
        <v>128</v>
      </c>
      <c r="B131" s="403" t="s">
        <v>259</v>
      </c>
      <c r="C131" s="151">
        <v>505</v>
      </c>
      <c r="D131" s="151">
        <v>357</v>
      </c>
      <c r="E131" s="243">
        <v>862</v>
      </c>
    </row>
    <row r="132" spans="1:5" x14ac:dyDescent="0.35">
      <c r="A132" s="441">
        <v>129</v>
      </c>
      <c r="B132" s="403" t="s">
        <v>260</v>
      </c>
      <c r="C132" s="151">
        <v>3</v>
      </c>
      <c r="D132" s="151">
        <v>7</v>
      </c>
      <c r="E132" s="243">
        <v>10</v>
      </c>
    </row>
    <row r="133" spans="1:5" x14ac:dyDescent="0.35">
      <c r="A133" s="441">
        <v>130</v>
      </c>
      <c r="B133" s="403" t="s">
        <v>261</v>
      </c>
      <c r="C133" s="151">
        <v>349740</v>
      </c>
      <c r="D133" s="151">
        <v>153749</v>
      </c>
      <c r="E133" s="243">
        <v>503489</v>
      </c>
    </row>
    <row r="134" spans="1:5" x14ac:dyDescent="0.35">
      <c r="A134" s="441">
        <v>131</v>
      </c>
      <c r="B134" s="403" t="s">
        <v>262</v>
      </c>
      <c r="C134" s="151">
        <v>730</v>
      </c>
      <c r="D134" s="151">
        <v>176</v>
      </c>
      <c r="E134" s="243">
        <v>906</v>
      </c>
    </row>
    <row r="135" spans="1:5" x14ac:dyDescent="0.35">
      <c r="A135" s="441">
        <v>132</v>
      </c>
      <c r="B135" s="403" t="s">
        <v>263</v>
      </c>
      <c r="C135" s="151">
        <v>118</v>
      </c>
      <c r="D135" s="151">
        <v>13</v>
      </c>
      <c r="E135" s="243">
        <v>131</v>
      </c>
    </row>
    <row r="136" spans="1:5" x14ac:dyDescent="0.35">
      <c r="A136" s="441">
        <v>133</v>
      </c>
      <c r="B136" s="403" t="s">
        <v>264</v>
      </c>
      <c r="C136" s="151">
        <v>33</v>
      </c>
      <c r="D136" s="151">
        <v>163</v>
      </c>
      <c r="E136" s="243">
        <v>196</v>
      </c>
    </row>
    <row r="137" spans="1:5" x14ac:dyDescent="0.35">
      <c r="A137" s="441">
        <v>134</v>
      </c>
      <c r="B137" s="403" t="s">
        <v>265</v>
      </c>
      <c r="C137" s="151">
        <v>1</v>
      </c>
      <c r="D137" s="151">
        <v>10</v>
      </c>
      <c r="E137" s="243">
        <v>11</v>
      </c>
    </row>
    <row r="138" spans="1:5" x14ac:dyDescent="0.35">
      <c r="A138" s="441">
        <v>135</v>
      </c>
      <c r="B138" s="403" t="s">
        <v>266</v>
      </c>
      <c r="C138" s="151">
        <v>20712</v>
      </c>
      <c r="D138" s="151">
        <v>82302</v>
      </c>
      <c r="E138" s="243">
        <v>103014</v>
      </c>
    </row>
    <row r="139" spans="1:5" x14ac:dyDescent="0.35">
      <c r="A139" s="441">
        <v>136</v>
      </c>
      <c r="B139" s="403" t="s">
        <v>267</v>
      </c>
      <c r="C139" s="151">
        <v>1211</v>
      </c>
      <c r="D139" s="151">
        <v>416</v>
      </c>
      <c r="E139" s="243">
        <v>1627</v>
      </c>
    </row>
    <row r="140" spans="1:5" x14ac:dyDescent="0.35">
      <c r="A140" s="441">
        <v>137</v>
      </c>
      <c r="B140" s="403" t="s">
        <v>268</v>
      </c>
      <c r="C140" s="151">
        <v>7</v>
      </c>
      <c r="D140" s="151"/>
      <c r="E140" s="243">
        <v>7</v>
      </c>
    </row>
    <row r="141" spans="1:5" ht="26.5" x14ac:dyDescent="0.35">
      <c r="A141" s="441">
        <v>138</v>
      </c>
      <c r="B141" s="403" t="s">
        <v>269</v>
      </c>
      <c r="C141" s="151">
        <v>35</v>
      </c>
      <c r="D141" s="151">
        <v>17</v>
      </c>
      <c r="E141" s="243">
        <v>52</v>
      </c>
    </row>
    <row r="142" spans="1:5" x14ac:dyDescent="0.35">
      <c r="A142" s="441">
        <v>139</v>
      </c>
      <c r="B142" s="403" t="s">
        <v>270</v>
      </c>
      <c r="C142" s="151">
        <v>437</v>
      </c>
      <c r="D142" s="151">
        <v>689</v>
      </c>
      <c r="E142" s="243">
        <v>1126</v>
      </c>
    </row>
    <row r="143" spans="1:5" x14ac:dyDescent="0.35">
      <c r="A143" s="441">
        <v>140</v>
      </c>
      <c r="B143" s="403" t="s">
        <v>271</v>
      </c>
      <c r="C143" s="151">
        <v>2069</v>
      </c>
      <c r="D143" s="151">
        <v>1490</v>
      </c>
      <c r="E143" s="243">
        <v>3559</v>
      </c>
    </row>
    <row r="144" spans="1:5" x14ac:dyDescent="0.35">
      <c r="A144" s="441">
        <v>141</v>
      </c>
      <c r="B144" s="403" t="s">
        <v>272</v>
      </c>
      <c r="C144" s="151">
        <v>768</v>
      </c>
      <c r="D144" s="151">
        <v>414</v>
      </c>
      <c r="E144" s="243">
        <v>1182</v>
      </c>
    </row>
    <row r="145" spans="1:5" x14ac:dyDescent="0.35">
      <c r="A145" s="441">
        <v>142</v>
      </c>
      <c r="B145" s="403" t="s">
        <v>273</v>
      </c>
      <c r="C145" s="151">
        <v>49</v>
      </c>
      <c r="D145" s="151">
        <v>65</v>
      </c>
      <c r="E145" s="243">
        <v>114</v>
      </c>
    </row>
    <row r="146" spans="1:5" x14ac:dyDescent="0.35">
      <c r="A146" s="441">
        <v>143</v>
      </c>
      <c r="B146" s="403" t="s">
        <v>274</v>
      </c>
      <c r="C146" s="151">
        <v>5</v>
      </c>
      <c r="D146" s="151">
        <v>20</v>
      </c>
      <c r="E146" s="243">
        <v>25</v>
      </c>
    </row>
    <row r="147" spans="1:5" x14ac:dyDescent="0.35">
      <c r="A147" s="441">
        <v>144</v>
      </c>
      <c r="B147" s="403" t="s">
        <v>275</v>
      </c>
      <c r="C147" s="151">
        <v>3021</v>
      </c>
      <c r="D147" s="151">
        <v>2512</v>
      </c>
      <c r="E147" s="243">
        <v>5533</v>
      </c>
    </row>
    <row r="148" spans="1:5" x14ac:dyDescent="0.35">
      <c r="A148" s="441">
        <v>145</v>
      </c>
      <c r="B148" s="403" t="s">
        <v>276</v>
      </c>
      <c r="C148" s="151">
        <v>98</v>
      </c>
      <c r="D148" s="151">
        <v>72</v>
      </c>
      <c r="E148" s="243">
        <v>170</v>
      </c>
    </row>
    <row r="149" spans="1:5" x14ac:dyDescent="0.35">
      <c r="A149" s="441">
        <v>146</v>
      </c>
      <c r="B149" s="403" t="s">
        <v>277</v>
      </c>
      <c r="C149" s="151">
        <v>35</v>
      </c>
      <c r="D149" s="151">
        <v>81</v>
      </c>
      <c r="E149" s="243">
        <v>116</v>
      </c>
    </row>
    <row r="150" spans="1:5" x14ac:dyDescent="0.35">
      <c r="A150" s="441">
        <v>147</v>
      </c>
      <c r="B150" s="403" t="s">
        <v>278</v>
      </c>
      <c r="C150" s="151">
        <v>78060</v>
      </c>
      <c r="D150" s="151">
        <v>36722</v>
      </c>
      <c r="E150" s="243">
        <v>114782</v>
      </c>
    </row>
    <row r="151" spans="1:5" x14ac:dyDescent="0.35">
      <c r="A151" s="441">
        <v>148</v>
      </c>
      <c r="B151" s="403" t="s">
        <v>279</v>
      </c>
      <c r="C151" s="151">
        <v>17</v>
      </c>
      <c r="D151" s="151">
        <v>20</v>
      </c>
      <c r="E151" s="243">
        <v>37</v>
      </c>
    </row>
    <row r="152" spans="1:5" x14ac:dyDescent="0.35">
      <c r="A152" s="441">
        <v>149</v>
      </c>
      <c r="B152" s="403" t="s">
        <v>280</v>
      </c>
      <c r="C152" s="151">
        <v>9630</v>
      </c>
      <c r="D152" s="151">
        <v>8545</v>
      </c>
      <c r="E152" s="243">
        <v>18175</v>
      </c>
    </row>
    <row r="153" spans="1:5" x14ac:dyDescent="0.35">
      <c r="A153" s="441">
        <v>150</v>
      </c>
      <c r="B153" s="403" t="s">
        <v>281</v>
      </c>
      <c r="C153" s="151">
        <v>101</v>
      </c>
      <c r="D153" s="151">
        <v>92</v>
      </c>
      <c r="E153" s="243">
        <v>193</v>
      </c>
    </row>
    <row r="154" spans="1:5" x14ac:dyDescent="0.35">
      <c r="A154" s="441">
        <v>151</v>
      </c>
      <c r="B154" s="403" t="s">
        <v>282</v>
      </c>
      <c r="C154" s="151">
        <v>61</v>
      </c>
      <c r="D154" s="151">
        <v>135</v>
      </c>
      <c r="E154" s="243">
        <v>196</v>
      </c>
    </row>
    <row r="155" spans="1:5" x14ac:dyDescent="0.35">
      <c r="A155" s="441">
        <v>152</v>
      </c>
      <c r="B155" s="403" t="s">
        <v>283</v>
      </c>
      <c r="C155" s="151">
        <v>272598</v>
      </c>
      <c r="D155" s="151">
        <v>477215</v>
      </c>
      <c r="E155" s="243">
        <v>749813</v>
      </c>
    </row>
    <row r="156" spans="1:5" x14ac:dyDescent="0.35">
      <c r="A156" s="441">
        <v>153</v>
      </c>
      <c r="B156" s="403" t="s">
        <v>284</v>
      </c>
      <c r="C156" s="151">
        <v>550</v>
      </c>
      <c r="D156" s="151">
        <v>900</v>
      </c>
      <c r="E156" s="243">
        <v>1450</v>
      </c>
    </row>
    <row r="157" spans="1:5" x14ac:dyDescent="0.35">
      <c r="A157" s="441">
        <v>154</v>
      </c>
      <c r="B157" s="403" t="s">
        <v>285</v>
      </c>
      <c r="C157" s="151">
        <v>153606</v>
      </c>
      <c r="D157" s="151">
        <v>124418</v>
      </c>
      <c r="E157" s="243">
        <v>278024</v>
      </c>
    </row>
    <row r="158" spans="1:5" ht="26.5" x14ac:dyDescent="0.35">
      <c r="A158" s="441">
        <v>155</v>
      </c>
      <c r="B158" s="403" t="s">
        <v>286</v>
      </c>
      <c r="C158" s="151">
        <v>75</v>
      </c>
      <c r="D158" s="151">
        <v>73</v>
      </c>
      <c r="E158" s="243">
        <v>148</v>
      </c>
    </row>
    <row r="159" spans="1:5" x14ac:dyDescent="0.35">
      <c r="A159" s="441">
        <v>156</v>
      </c>
      <c r="B159" s="403" t="s">
        <v>287</v>
      </c>
      <c r="C159" s="151">
        <v>503</v>
      </c>
      <c r="D159" s="151">
        <v>424</v>
      </c>
      <c r="E159" s="243">
        <v>927</v>
      </c>
    </row>
    <row r="160" spans="1:5" x14ac:dyDescent="0.35">
      <c r="A160" s="441">
        <v>157</v>
      </c>
      <c r="B160" s="403" t="s">
        <v>288</v>
      </c>
      <c r="C160" s="151">
        <v>32806</v>
      </c>
      <c r="D160" s="151">
        <v>33030</v>
      </c>
      <c r="E160" s="243">
        <v>65836</v>
      </c>
    </row>
    <row r="161" spans="1:5" x14ac:dyDescent="0.35">
      <c r="A161" s="441">
        <v>158</v>
      </c>
      <c r="B161" s="403" t="s">
        <v>289</v>
      </c>
      <c r="C161" s="151">
        <v>42466</v>
      </c>
      <c r="D161" s="151">
        <v>30042</v>
      </c>
      <c r="E161" s="243">
        <v>72508</v>
      </c>
    </row>
    <row r="162" spans="1:5" x14ac:dyDescent="0.35">
      <c r="A162" s="441">
        <v>159</v>
      </c>
      <c r="B162" s="403" t="s">
        <v>290</v>
      </c>
      <c r="C162" s="151">
        <v>358</v>
      </c>
      <c r="D162" s="151">
        <v>136</v>
      </c>
      <c r="E162" s="243">
        <v>494</v>
      </c>
    </row>
    <row r="163" spans="1:5" x14ac:dyDescent="0.35">
      <c r="A163" s="441">
        <v>160</v>
      </c>
      <c r="B163" s="403" t="s">
        <v>291</v>
      </c>
      <c r="C163" s="151">
        <v>13</v>
      </c>
      <c r="D163" s="151">
        <v>63</v>
      </c>
      <c r="E163" s="243">
        <v>76</v>
      </c>
    </row>
    <row r="164" spans="1:5" x14ac:dyDescent="0.35">
      <c r="A164" s="441">
        <v>161</v>
      </c>
      <c r="B164" s="403" t="s">
        <v>292</v>
      </c>
      <c r="C164" s="151">
        <v>61960</v>
      </c>
      <c r="D164" s="151">
        <v>118734</v>
      </c>
      <c r="E164" s="243">
        <v>180694</v>
      </c>
    </row>
    <row r="165" spans="1:5" x14ac:dyDescent="0.35">
      <c r="A165" s="441">
        <v>162</v>
      </c>
      <c r="B165" s="403" t="s">
        <v>293</v>
      </c>
      <c r="C165" s="151">
        <v>11402</v>
      </c>
      <c r="D165" s="151">
        <v>12478</v>
      </c>
      <c r="E165" s="243">
        <v>23880</v>
      </c>
    </row>
    <row r="166" spans="1:5" x14ac:dyDescent="0.35">
      <c r="A166" s="441">
        <v>163</v>
      </c>
      <c r="B166" s="403" t="s">
        <v>294</v>
      </c>
      <c r="C166" s="151">
        <v>1637</v>
      </c>
      <c r="D166" s="151">
        <v>3656</v>
      </c>
      <c r="E166" s="243">
        <v>5293</v>
      </c>
    </row>
    <row r="167" spans="1:5" x14ac:dyDescent="0.35">
      <c r="A167" s="441">
        <v>164</v>
      </c>
      <c r="B167" s="403" t="s">
        <v>295</v>
      </c>
      <c r="C167" s="151">
        <v>12</v>
      </c>
      <c r="D167" s="151">
        <v>94</v>
      </c>
      <c r="E167" s="243">
        <v>106</v>
      </c>
    </row>
    <row r="168" spans="1:5" x14ac:dyDescent="0.35">
      <c r="A168" s="441">
        <v>165</v>
      </c>
      <c r="B168" s="403" t="s">
        <v>296</v>
      </c>
      <c r="C168" s="151">
        <v>749</v>
      </c>
      <c r="D168" s="151">
        <v>1154</v>
      </c>
      <c r="E168" s="243">
        <v>1903</v>
      </c>
    </row>
    <row r="169" spans="1:5" x14ac:dyDescent="0.35">
      <c r="A169" s="441">
        <v>166</v>
      </c>
      <c r="B169" s="403" t="s">
        <v>297</v>
      </c>
      <c r="C169" s="151">
        <v>8</v>
      </c>
      <c r="D169" s="151">
        <v>9</v>
      </c>
      <c r="E169" s="243">
        <v>17</v>
      </c>
    </row>
    <row r="170" spans="1:5" x14ac:dyDescent="0.35">
      <c r="A170" s="441">
        <v>167</v>
      </c>
      <c r="B170" s="403" t="s">
        <v>298</v>
      </c>
      <c r="C170" s="151">
        <v>5496</v>
      </c>
      <c r="D170" s="151">
        <v>3582</v>
      </c>
      <c r="E170" s="243">
        <v>9078</v>
      </c>
    </row>
    <row r="171" spans="1:5" x14ac:dyDescent="0.35">
      <c r="A171" s="441">
        <v>168</v>
      </c>
      <c r="B171" s="403" t="s">
        <v>299</v>
      </c>
      <c r="C171" s="151">
        <v>8304</v>
      </c>
      <c r="D171" s="151">
        <v>18464</v>
      </c>
      <c r="E171" s="243">
        <v>26768</v>
      </c>
    </row>
    <row r="172" spans="1:5" x14ac:dyDescent="0.35">
      <c r="A172" s="441">
        <v>169</v>
      </c>
      <c r="B172" s="403" t="s">
        <v>300</v>
      </c>
      <c r="C172" s="151">
        <v>1027</v>
      </c>
      <c r="D172" s="151">
        <v>1141</v>
      </c>
      <c r="E172" s="243">
        <v>2168</v>
      </c>
    </row>
    <row r="173" spans="1:5" x14ac:dyDescent="0.35">
      <c r="A173" s="441">
        <v>170</v>
      </c>
      <c r="B173" s="403" t="s">
        <v>301</v>
      </c>
      <c r="C173" s="151">
        <v>200</v>
      </c>
      <c r="D173" s="151">
        <v>137</v>
      </c>
      <c r="E173" s="243">
        <v>337</v>
      </c>
    </row>
    <row r="174" spans="1:5" x14ac:dyDescent="0.35">
      <c r="A174" s="441">
        <v>171</v>
      </c>
      <c r="B174" s="403" t="s">
        <v>302</v>
      </c>
      <c r="C174" s="151">
        <v>54</v>
      </c>
      <c r="D174" s="151">
        <v>280</v>
      </c>
      <c r="E174" s="243">
        <v>334</v>
      </c>
    </row>
    <row r="175" spans="1:5" x14ac:dyDescent="0.35">
      <c r="A175" s="441">
        <v>172</v>
      </c>
      <c r="B175" s="403" t="s">
        <v>303</v>
      </c>
      <c r="C175" s="151">
        <v>339</v>
      </c>
      <c r="D175" s="151">
        <v>296</v>
      </c>
      <c r="E175" s="243">
        <v>635</v>
      </c>
    </row>
    <row r="176" spans="1:5" x14ac:dyDescent="0.35">
      <c r="A176" s="441">
        <v>173</v>
      </c>
      <c r="B176" s="403" t="s">
        <v>304</v>
      </c>
      <c r="C176" s="151">
        <v>14</v>
      </c>
      <c r="D176" s="151">
        <v>84</v>
      </c>
      <c r="E176" s="243">
        <v>98</v>
      </c>
    </row>
    <row r="177" spans="1:5" x14ac:dyDescent="0.35">
      <c r="A177" s="441">
        <v>174</v>
      </c>
      <c r="B177" s="403" t="s">
        <v>305</v>
      </c>
      <c r="C177" s="151">
        <v>853</v>
      </c>
      <c r="D177" s="151">
        <v>1092</v>
      </c>
      <c r="E177" s="243">
        <v>1945</v>
      </c>
    </row>
    <row r="178" spans="1:5" x14ac:dyDescent="0.35">
      <c r="A178" s="441">
        <v>175</v>
      </c>
      <c r="B178" s="403" t="s">
        <v>306</v>
      </c>
      <c r="C178" s="151">
        <v>36</v>
      </c>
      <c r="D178" s="151">
        <v>71</v>
      </c>
      <c r="E178" s="243">
        <v>107</v>
      </c>
    </row>
    <row r="179" spans="1:5" x14ac:dyDescent="0.35">
      <c r="A179" s="441">
        <v>176</v>
      </c>
      <c r="B179" s="403" t="s">
        <v>307</v>
      </c>
      <c r="C179" s="151">
        <v>247</v>
      </c>
      <c r="D179" s="151">
        <v>325</v>
      </c>
      <c r="E179" s="243">
        <v>572</v>
      </c>
    </row>
    <row r="180" spans="1:5" x14ac:dyDescent="0.35">
      <c r="A180" s="441">
        <v>177</v>
      </c>
      <c r="B180" s="403" t="s">
        <v>308</v>
      </c>
      <c r="C180" s="151">
        <v>232</v>
      </c>
      <c r="D180" s="151">
        <v>172</v>
      </c>
      <c r="E180" s="243">
        <v>404</v>
      </c>
    </row>
    <row r="181" spans="1:5" x14ac:dyDescent="0.35">
      <c r="A181" s="441">
        <v>178</v>
      </c>
      <c r="B181" s="403" t="s">
        <v>309</v>
      </c>
      <c r="C181" s="151">
        <v>844</v>
      </c>
      <c r="D181" s="151">
        <v>825</v>
      </c>
      <c r="E181" s="243">
        <v>1669</v>
      </c>
    </row>
    <row r="182" spans="1:5" x14ac:dyDescent="0.35">
      <c r="A182" s="441">
        <v>179</v>
      </c>
      <c r="B182" s="403" t="s">
        <v>310</v>
      </c>
      <c r="C182" s="151">
        <v>423</v>
      </c>
      <c r="D182" s="151">
        <v>286</v>
      </c>
      <c r="E182" s="243">
        <v>709</v>
      </c>
    </row>
    <row r="183" spans="1:5" x14ac:dyDescent="0.35">
      <c r="A183" s="441">
        <v>180</v>
      </c>
      <c r="B183" s="403" t="s">
        <v>311</v>
      </c>
      <c r="C183" s="151">
        <v>511</v>
      </c>
      <c r="D183" s="151">
        <v>399</v>
      </c>
      <c r="E183" s="243">
        <v>910</v>
      </c>
    </row>
    <row r="184" spans="1:5" x14ac:dyDescent="0.35">
      <c r="A184" s="441">
        <v>181</v>
      </c>
      <c r="B184" s="403" t="s">
        <v>312</v>
      </c>
      <c r="C184" s="151">
        <v>1652</v>
      </c>
      <c r="D184" s="151">
        <v>2002</v>
      </c>
      <c r="E184" s="243">
        <v>3654</v>
      </c>
    </row>
    <row r="185" spans="1:5" x14ac:dyDescent="0.35">
      <c r="A185" s="441">
        <v>182</v>
      </c>
      <c r="B185" s="403" t="s">
        <v>313</v>
      </c>
      <c r="C185" s="151">
        <v>2093</v>
      </c>
      <c r="D185" s="151">
        <v>2145</v>
      </c>
      <c r="E185" s="243">
        <v>4238</v>
      </c>
    </row>
    <row r="186" spans="1:5" x14ac:dyDescent="0.35">
      <c r="A186" s="441">
        <v>183</v>
      </c>
      <c r="B186" s="403" t="s">
        <v>314</v>
      </c>
      <c r="C186" s="151">
        <v>10</v>
      </c>
      <c r="D186" s="151">
        <v>58</v>
      </c>
      <c r="E186" s="243">
        <v>68</v>
      </c>
    </row>
    <row r="187" spans="1:5" x14ac:dyDescent="0.35">
      <c r="A187" s="441">
        <v>184</v>
      </c>
      <c r="B187" s="403" t="s">
        <v>315</v>
      </c>
      <c r="C187" s="151">
        <v>175</v>
      </c>
      <c r="D187" s="151">
        <v>207</v>
      </c>
      <c r="E187" s="243">
        <v>382</v>
      </c>
    </row>
    <row r="188" spans="1:5" x14ac:dyDescent="0.35">
      <c r="A188" s="441">
        <v>185</v>
      </c>
      <c r="B188" s="403" t="s">
        <v>316</v>
      </c>
      <c r="C188" s="151">
        <v>1126</v>
      </c>
      <c r="D188" s="151">
        <v>814</v>
      </c>
      <c r="E188" s="243">
        <v>1940</v>
      </c>
    </row>
    <row r="189" spans="1:5" x14ac:dyDescent="0.35">
      <c r="A189" s="441">
        <v>186</v>
      </c>
      <c r="B189" s="403" t="s">
        <v>317</v>
      </c>
      <c r="C189" s="151">
        <v>1250</v>
      </c>
      <c r="D189" s="151">
        <v>966</v>
      </c>
      <c r="E189" s="243">
        <v>2216</v>
      </c>
    </row>
    <row r="190" spans="1:5" x14ac:dyDescent="0.35">
      <c r="A190" s="441">
        <v>187</v>
      </c>
      <c r="B190" s="403" t="s">
        <v>318</v>
      </c>
      <c r="C190" s="151">
        <v>201</v>
      </c>
      <c r="D190" s="151">
        <v>109</v>
      </c>
      <c r="E190" s="243">
        <v>310</v>
      </c>
    </row>
    <row r="191" spans="1:5" x14ac:dyDescent="0.35">
      <c r="A191" s="441">
        <v>188</v>
      </c>
      <c r="B191" s="403" t="s">
        <v>319</v>
      </c>
      <c r="C191" s="151">
        <v>318</v>
      </c>
      <c r="D191" s="151">
        <v>431</v>
      </c>
      <c r="E191" s="243">
        <v>749</v>
      </c>
    </row>
    <row r="192" spans="1:5" x14ac:dyDescent="0.35">
      <c r="A192" s="441">
        <v>189</v>
      </c>
      <c r="B192" s="403" t="s">
        <v>320</v>
      </c>
      <c r="C192" s="151">
        <v>57</v>
      </c>
      <c r="D192" s="151">
        <v>21</v>
      </c>
      <c r="E192" s="243">
        <v>78</v>
      </c>
    </row>
    <row r="193" spans="1:5" x14ac:dyDescent="0.35">
      <c r="A193" s="441">
        <v>190</v>
      </c>
      <c r="B193" s="403" t="s">
        <v>321</v>
      </c>
      <c r="C193" s="151">
        <v>83</v>
      </c>
      <c r="D193" s="151">
        <v>185</v>
      </c>
      <c r="E193" s="243">
        <v>268</v>
      </c>
    </row>
    <row r="194" spans="1:5" x14ac:dyDescent="0.35">
      <c r="A194" s="441">
        <v>191</v>
      </c>
      <c r="B194" s="403" t="s">
        <v>322</v>
      </c>
      <c r="C194" s="151">
        <v>115</v>
      </c>
      <c r="D194" s="151">
        <v>211</v>
      </c>
      <c r="E194" s="243">
        <v>326</v>
      </c>
    </row>
    <row r="195" spans="1:5" x14ac:dyDescent="0.35">
      <c r="A195" s="441">
        <v>192</v>
      </c>
      <c r="B195" s="403" t="s">
        <v>323</v>
      </c>
      <c r="C195" s="151">
        <v>423</v>
      </c>
      <c r="D195" s="151">
        <v>419</v>
      </c>
      <c r="E195" s="243">
        <v>842</v>
      </c>
    </row>
    <row r="196" spans="1:5" x14ac:dyDescent="0.35">
      <c r="A196" s="441">
        <v>193</v>
      </c>
      <c r="B196" s="403" t="s">
        <v>324</v>
      </c>
      <c r="C196" s="151">
        <v>454</v>
      </c>
      <c r="D196" s="151">
        <v>256</v>
      </c>
      <c r="E196" s="243">
        <v>710</v>
      </c>
    </row>
    <row r="197" spans="1:5" x14ac:dyDescent="0.35">
      <c r="A197" s="441">
        <v>194</v>
      </c>
      <c r="B197" s="403" t="s">
        <v>325</v>
      </c>
      <c r="C197" s="151">
        <v>58</v>
      </c>
      <c r="D197" s="151">
        <v>30</v>
      </c>
      <c r="E197" s="243">
        <v>88</v>
      </c>
    </row>
    <row r="198" spans="1:5" x14ac:dyDescent="0.35">
      <c r="A198" s="441">
        <v>195</v>
      </c>
      <c r="B198" s="403" t="s">
        <v>326</v>
      </c>
      <c r="C198" s="151">
        <v>3344</v>
      </c>
      <c r="D198" s="151">
        <v>1722</v>
      </c>
      <c r="E198" s="243">
        <v>5066</v>
      </c>
    </row>
    <row r="199" spans="1:5" x14ac:dyDescent="0.35">
      <c r="A199" s="441">
        <v>196</v>
      </c>
      <c r="B199" s="403" t="s">
        <v>327</v>
      </c>
      <c r="C199" s="151">
        <v>425</v>
      </c>
      <c r="D199" s="151">
        <v>848</v>
      </c>
      <c r="E199" s="243">
        <v>1273</v>
      </c>
    </row>
    <row r="200" spans="1:5" x14ac:dyDescent="0.35">
      <c r="A200" s="441">
        <v>197</v>
      </c>
      <c r="B200" s="403" t="s">
        <v>328</v>
      </c>
      <c r="C200" s="151">
        <v>14</v>
      </c>
      <c r="D200" s="151">
        <v>5</v>
      </c>
      <c r="E200" s="243">
        <v>19</v>
      </c>
    </row>
    <row r="201" spans="1:5" x14ac:dyDescent="0.35">
      <c r="A201" s="441">
        <v>198</v>
      </c>
      <c r="B201" s="403" t="s">
        <v>329</v>
      </c>
      <c r="C201" s="151">
        <v>25</v>
      </c>
      <c r="D201" s="151">
        <v>17</v>
      </c>
      <c r="E201" s="243">
        <v>42</v>
      </c>
    </row>
    <row r="202" spans="1:5" x14ac:dyDescent="0.35">
      <c r="A202" s="441">
        <v>199</v>
      </c>
      <c r="B202" s="403" t="s">
        <v>330</v>
      </c>
      <c r="C202" s="151">
        <v>1250</v>
      </c>
      <c r="D202" s="151">
        <v>2759</v>
      </c>
      <c r="E202" s="243">
        <v>4009</v>
      </c>
    </row>
    <row r="203" spans="1:5" x14ac:dyDescent="0.35">
      <c r="A203" s="441">
        <v>200</v>
      </c>
      <c r="B203" s="403" t="s">
        <v>331</v>
      </c>
      <c r="C203" s="151">
        <v>9113</v>
      </c>
      <c r="D203" s="151">
        <v>10074</v>
      </c>
      <c r="E203" s="243">
        <v>19187</v>
      </c>
    </row>
    <row r="204" spans="1:5" x14ac:dyDescent="0.35">
      <c r="A204" s="441">
        <v>201</v>
      </c>
      <c r="B204" s="403" t="s">
        <v>332</v>
      </c>
      <c r="C204" s="151">
        <v>235</v>
      </c>
      <c r="D204" s="151">
        <v>597</v>
      </c>
      <c r="E204" s="243">
        <v>832</v>
      </c>
    </row>
    <row r="205" spans="1:5" x14ac:dyDescent="0.35">
      <c r="A205" s="441">
        <v>202</v>
      </c>
      <c r="B205" s="403" t="s">
        <v>333</v>
      </c>
      <c r="C205" s="151">
        <v>417</v>
      </c>
      <c r="D205" s="151">
        <v>490</v>
      </c>
      <c r="E205" s="243">
        <v>907</v>
      </c>
    </row>
    <row r="206" spans="1:5" x14ac:dyDescent="0.35">
      <c r="A206" s="441">
        <v>203</v>
      </c>
      <c r="B206" s="403" t="s">
        <v>335</v>
      </c>
      <c r="C206" s="151">
        <v>2323</v>
      </c>
      <c r="D206" s="151">
        <v>3499</v>
      </c>
      <c r="E206" s="243">
        <v>5822</v>
      </c>
    </row>
    <row r="207" spans="1:5" x14ac:dyDescent="0.35">
      <c r="A207" s="441">
        <v>204</v>
      </c>
      <c r="B207" s="403" t="s">
        <v>336</v>
      </c>
      <c r="C207" s="151">
        <v>3405</v>
      </c>
      <c r="D207" s="151">
        <v>3230</v>
      </c>
      <c r="E207" s="243">
        <v>6635</v>
      </c>
    </row>
    <row r="208" spans="1:5" x14ac:dyDescent="0.35">
      <c r="A208" s="441">
        <v>205</v>
      </c>
      <c r="B208" s="403" t="s">
        <v>337</v>
      </c>
      <c r="C208" s="151">
        <v>10348</v>
      </c>
      <c r="D208" s="151">
        <v>14297</v>
      </c>
      <c r="E208" s="243">
        <v>24645</v>
      </c>
    </row>
    <row r="209" spans="1:5" x14ac:dyDescent="0.35">
      <c r="A209" s="441">
        <v>206</v>
      </c>
      <c r="B209" s="404" t="s">
        <v>338</v>
      </c>
      <c r="C209" s="151">
        <v>6</v>
      </c>
      <c r="D209" s="151">
        <v>23</v>
      </c>
      <c r="E209" s="243">
        <v>29</v>
      </c>
    </row>
    <row r="210" spans="1:5" x14ac:dyDescent="0.35">
      <c r="A210" s="441">
        <v>207</v>
      </c>
      <c r="B210" s="403" t="s">
        <v>339</v>
      </c>
      <c r="C210" s="151">
        <v>16</v>
      </c>
      <c r="D210" s="151">
        <v>36</v>
      </c>
      <c r="E210" s="243">
        <v>52</v>
      </c>
    </row>
    <row r="211" spans="1:5" x14ac:dyDescent="0.35">
      <c r="A211" s="441">
        <v>208</v>
      </c>
      <c r="B211" s="403" t="s">
        <v>340</v>
      </c>
      <c r="C211" s="151">
        <v>3</v>
      </c>
      <c r="D211" s="151">
        <v>14</v>
      </c>
      <c r="E211" s="243">
        <v>17</v>
      </c>
    </row>
    <row r="212" spans="1:5" x14ac:dyDescent="0.35">
      <c r="A212" s="441">
        <v>209</v>
      </c>
      <c r="B212" s="403" t="s">
        <v>341</v>
      </c>
      <c r="C212" s="151">
        <v>68</v>
      </c>
      <c r="D212" s="151">
        <v>38</v>
      </c>
      <c r="E212" s="243">
        <v>106</v>
      </c>
    </row>
    <row r="213" spans="1:5" x14ac:dyDescent="0.35">
      <c r="A213" s="441">
        <v>210</v>
      </c>
      <c r="B213" s="403" t="s">
        <v>342</v>
      </c>
      <c r="C213" s="151">
        <v>6</v>
      </c>
      <c r="D213" s="151">
        <v>20</v>
      </c>
      <c r="E213" s="243">
        <v>26</v>
      </c>
    </row>
    <row r="214" spans="1:5" x14ac:dyDescent="0.35">
      <c r="A214" s="441">
        <v>211</v>
      </c>
      <c r="B214" s="403" t="s">
        <v>343</v>
      </c>
      <c r="C214" s="151">
        <v>90</v>
      </c>
      <c r="D214" s="151">
        <v>130</v>
      </c>
      <c r="E214" s="243">
        <v>220</v>
      </c>
    </row>
    <row r="215" spans="1:5" x14ac:dyDescent="0.35">
      <c r="A215" s="441">
        <v>212</v>
      </c>
      <c r="B215" s="403" t="s">
        <v>344</v>
      </c>
      <c r="C215" s="151">
        <v>274</v>
      </c>
      <c r="D215" s="151">
        <v>132</v>
      </c>
      <c r="E215" s="243">
        <v>406</v>
      </c>
    </row>
    <row r="216" spans="1:5" x14ac:dyDescent="0.35">
      <c r="A216" s="441">
        <v>213</v>
      </c>
      <c r="B216" s="403" t="s">
        <v>345</v>
      </c>
      <c r="C216" s="151">
        <v>3</v>
      </c>
      <c r="D216" s="151">
        <v>30</v>
      </c>
      <c r="E216" s="243">
        <v>33</v>
      </c>
    </row>
    <row r="217" spans="1:5" x14ac:dyDescent="0.35">
      <c r="A217" s="441">
        <v>214</v>
      </c>
      <c r="B217" s="403" t="s">
        <v>346</v>
      </c>
      <c r="C217" s="151">
        <v>1410</v>
      </c>
      <c r="D217" s="151">
        <v>5268</v>
      </c>
      <c r="E217" s="243">
        <v>6678</v>
      </c>
    </row>
    <row r="218" spans="1:5" x14ac:dyDescent="0.35">
      <c r="A218" s="441">
        <v>215</v>
      </c>
      <c r="B218" s="403" t="s">
        <v>347</v>
      </c>
      <c r="C218" s="151">
        <v>7</v>
      </c>
      <c r="D218" s="151">
        <v>27</v>
      </c>
      <c r="E218" s="243">
        <v>34</v>
      </c>
    </row>
    <row r="219" spans="1:5" x14ac:dyDescent="0.35">
      <c r="A219" s="441">
        <v>216</v>
      </c>
      <c r="B219" s="403" t="s">
        <v>348</v>
      </c>
      <c r="C219" s="151">
        <v>458</v>
      </c>
      <c r="D219" s="151">
        <v>373</v>
      </c>
      <c r="E219" s="243">
        <v>831</v>
      </c>
    </row>
    <row r="220" spans="1:5" ht="26.5" x14ac:dyDescent="0.35">
      <c r="A220" s="441">
        <v>217</v>
      </c>
      <c r="B220" s="403" t="s">
        <v>349</v>
      </c>
      <c r="C220" s="151">
        <v>60</v>
      </c>
      <c r="D220" s="151">
        <v>18</v>
      </c>
      <c r="E220" s="243">
        <v>78</v>
      </c>
    </row>
    <row r="221" spans="1:5" x14ac:dyDescent="0.35">
      <c r="A221" s="441">
        <v>218</v>
      </c>
      <c r="B221" s="403" t="s">
        <v>351</v>
      </c>
      <c r="C221" s="151">
        <v>116</v>
      </c>
      <c r="D221" s="151">
        <v>117</v>
      </c>
      <c r="E221" s="243">
        <v>233</v>
      </c>
    </row>
    <row r="222" spans="1:5" x14ac:dyDescent="0.35">
      <c r="A222" s="441">
        <v>219</v>
      </c>
      <c r="B222" s="403" t="s">
        <v>352</v>
      </c>
      <c r="C222" s="151">
        <v>6</v>
      </c>
      <c r="D222" s="151">
        <v>45</v>
      </c>
      <c r="E222" s="243">
        <v>51</v>
      </c>
    </row>
    <row r="223" spans="1:5" ht="26.5" x14ac:dyDescent="0.35">
      <c r="A223" s="441">
        <v>220</v>
      </c>
      <c r="B223" s="403" t="s">
        <v>353</v>
      </c>
      <c r="C223" s="151">
        <v>38</v>
      </c>
      <c r="D223" s="151">
        <v>76</v>
      </c>
      <c r="E223" s="243">
        <v>114</v>
      </c>
    </row>
    <row r="224" spans="1:5" ht="26.5" x14ac:dyDescent="0.35">
      <c r="A224" s="441">
        <v>221</v>
      </c>
      <c r="B224" s="403" t="s">
        <v>354</v>
      </c>
      <c r="C224" s="151">
        <v>137</v>
      </c>
      <c r="D224" s="151">
        <v>214</v>
      </c>
      <c r="E224" s="243">
        <v>351</v>
      </c>
    </row>
    <row r="225" spans="1:5" ht="26.5" x14ac:dyDescent="0.35">
      <c r="A225" s="441">
        <v>222</v>
      </c>
      <c r="B225" s="403" t="s">
        <v>355</v>
      </c>
      <c r="C225" s="151">
        <v>7</v>
      </c>
      <c r="D225" s="151">
        <v>12</v>
      </c>
      <c r="E225" s="243">
        <v>19</v>
      </c>
    </row>
    <row r="226" spans="1:5" x14ac:dyDescent="0.35">
      <c r="A226" s="441">
        <v>223</v>
      </c>
      <c r="B226" s="403" t="s">
        <v>356</v>
      </c>
      <c r="C226" s="151">
        <v>17</v>
      </c>
      <c r="D226" s="151">
        <v>36</v>
      </c>
      <c r="E226" s="243">
        <v>53</v>
      </c>
    </row>
    <row r="227" spans="1:5" x14ac:dyDescent="0.35">
      <c r="A227" s="441">
        <v>224</v>
      </c>
      <c r="B227" s="403" t="s">
        <v>357</v>
      </c>
      <c r="C227" s="151">
        <v>23</v>
      </c>
      <c r="D227" s="151">
        <v>36</v>
      </c>
      <c r="E227" s="243">
        <v>59</v>
      </c>
    </row>
    <row r="228" spans="1:5" x14ac:dyDescent="0.35">
      <c r="A228" s="441">
        <v>225</v>
      </c>
      <c r="B228" s="402" t="s">
        <v>358</v>
      </c>
      <c r="C228" s="151">
        <v>138140</v>
      </c>
      <c r="D228" s="151">
        <v>225791</v>
      </c>
      <c r="E228" s="243">
        <v>363931</v>
      </c>
    </row>
    <row r="229" spans="1:5" x14ac:dyDescent="0.35">
      <c r="A229" s="441">
        <v>226</v>
      </c>
      <c r="B229" s="401" t="s">
        <v>359</v>
      </c>
      <c r="C229" s="401">
        <v>747</v>
      </c>
      <c r="D229" s="401">
        <v>946</v>
      </c>
      <c r="E229" s="401">
        <v>1693</v>
      </c>
    </row>
    <row r="230" spans="1:5" x14ac:dyDescent="0.35">
      <c r="A230" s="441">
        <v>227</v>
      </c>
      <c r="B230" s="401" t="s">
        <v>361</v>
      </c>
      <c r="C230" s="401">
        <v>31519</v>
      </c>
      <c r="D230" s="401">
        <v>14488</v>
      </c>
      <c r="E230" s="401">
        <v>46007</v>
      </c>
    </row>
    <row r="231" spans="1:5" x14ac:dyDescent="0.35">
      <c r="A231" s="441">
        <v>228</v>
      </c>
      <c r="B231" s="401" t="s">
        <v>362</v>
      </c>
      <c r="C231" s="401">
        <v>15</v>
      </c>
      <c r="D231" s="401">
        <v>4</v>
      </c>
      <c r="E231" s="401">
        <v>19</v>
      </c>
    </row>
    <row r="232" spans="1:5" x14ac:dyDescent="0.35">
      <c r="A232" s="441">
        <v>229</v>
      </c>
      <c r="B232" s="401" t="s">
        <v>363</v>
      </c>
      <c r="C232" s="401">
        <v>12</v>
      </c>
      <c r="D232" s="401">
        <v>11</v>
      </c>
      <c r="E232" s="401">
        <v>23</v>
      </c>
    </row>
    <row r="233" spans="1:5" x14ac:dyDescent="0.35">
      <c r="A233" s="441">
        <v>230</v>
      </c>
      <c r="B233" s="401" t="s">
        <v>364</v>
      </c>
      <c r="C233" s="401">
        <v>123</v>
      </c>
      <c r="D233" s="401">
        <v>111</v>
      </c>
      <c r="E233" s="401">
        <v>234</v>
      </c>
    </row>
    <row r="234" spans="1:5" x14ac:dyDescent="0.35">
      <c r="A234" s="441">
        <v>231</v>
      </c>
      <c r="B234" s="401" t="s">
        <v>365</v>
      </c>
      <c r="C234" s="401">
        <v>741</v>
      </c>
      <c r="D234" s="401">
        <v>644</v>
      </c>
      <c r="E234" s="401">
        <v>1385</v>
      </c>
    </row>
    <row r="235" spans="1:5" x14ac:dyDescent="0.35">
      <c r="A235" s="441">
        <v>232</v>
      </c>
      <c r="B235" s="401" t="s">
        <v>366</v>
      </c>
      <c r="C235" s="401">
        <v>261</v>
      </c>
      <c r="D235" s="401">
        <v>445</v>
      </c>
      <c r="E235" s="401">
        <v>706</v>
      </c>
    </row>
    <row r="236" spans="1:5" x14ac:dyDescent="0.35">
      <c r="A236" s="441">
        <v>233</v>
      </c>
      <c r="B236" s="401" t="s">
        <v>367</v>
      </c>
      <c r="C236" s="401">
        <v>185</v>
      </c>
      <c r="D236" s="401">
        <v>98</v>
      </c>
      <c r="E236" s="401">
        <v>283</v>
      </c>
    </row>
    <row r="237" spans="1:5" x14ac:dyDescent="0.35">
      <c r="A237" s="441">
        <v>234</v>
      </c>
      <c r="B237" s="401" t="s">
        <v>368</v>
      </c>
      <c r="C237" s="401">
        <v>308</v>
      </c>
      <c r="D237" s="401">
        <v>358</v>
      </c>
      <c r="E237" s="401">
        <v>666</v>
      </c>
    </row>
    <row r="238" spans="1:5" x14ac:dyDescent="0.35">
      <c r="A238" s="441">
        <v>235</v>
      </c>
      <c r="B238" s="401" t="s">
        <v>370</v>
      </c>
      <c r="C238" s="401">
        <v>821</v>
      </c>
      <c r="D238" s="401">
        <v>596</v>
      </c>
      <c r="E238" s="401">
        <v>1417</v>
      </c>
    </row>
    <row r="239" spans="1:5" x14ac:dyDescent="0.35">
      <c r="A239" s="441">
        <v>236</v>
      </c>
      <c r="B239" s="401" t="s">
        <v>371</v>
      </c>
      <c r="C239" s="401">
        <v>150</v>
      </c>
      <c r="D239" s="401">
        <v>75</v>
      </c>
      <c r="E239" s="401">
        <v>225</v>
      </c>
    </row>
    <row r="240" spans="1:5" x14ac:dyDescent="0.35">
      <c r="A240" s="441">
        <v>237</v>
      </c>
      <c r="B240" s="401" t="s">
        <v>372</v>
      </c>
      <c r="C240" s="401">
        <v>1</v>
      </c>
      <c r="D240" s="401">
        <v>1</v>
      </c>
      <c r="E240" s="401">
        <v>2</v>
      </c>
    </row>
    <row r="241" spans="1:5" x14ac:dyDescent="0.35">
      <c r="A241" s="441">
        <v>238</v>
      </c>
      <c r="B241" s="401" t="s">
        <v>373</v>
      </c>
      <c r="C241" s="401">
        <v>35</v>
      </c>
      <c r="D241" s="401">
        <v>17</v>
      </c>
      <c r="E241" s="401">
        <v>52</v>
      </c>
    </row>
    <row r="242" spans="1:5" x14ac:dyDescent="0.35">
      <c r="A242" s="441">
        <v>239</v>
      </c>
      <c r="B242" s="401" t="s">
        <v>374</v>
      </c>
      <c r="C242" s="401">
        <v>4947</v>
      </c>
      <c r="D242" s="401">
        <v>3447</v>
      </c>
      <c r="E242" s="401">
        <v>8394</v>
      </c>
    </row>
    <row r="243" spans="1:5" x14ac:dyDescent="0.35">
      <c r="A243" s="441">
        <v>240</v>
      </c>
      <c r="B243" s="401" t="s">
        <v>375</v>
      </c>
      <c r="C243" s="401">
        <v>1053</v>
      </c>
      <c r="D243" s="401">
        <v>662</v>
      </c>
      <c r="E243" s="401">
        <v>1715</v>
      </c>
    </row>
    <row r="244" spans="1:5" x14ac:dyDescent="0.35">
      <c r="A244" s="441">
        <v>241</v>
      </c>
      <c r="B244" s="401" t="s">
        <v>376</v>
      </c>
      <c r="C244" s="401">
        <v>6</v>
      </c>
      <c r="D244" s="401">
        <v>24</v>
      </c>
      <c r="E244" s="401">
        <v>30</v>
      </c>
    </row>
    <row r="245" spans="1:5" x14ac:dyDescent="0.35">
      <c r="A245" s="441">
        <v>242</v>
      </c>
      <c r="B245" s="401" t="s">
        <v>377</v>
      </c>
      <c r="C245" s="401">
        <v>18917</v>
      </c>
      <c r="D245" s="401">
        <v>17369</v>
      </c>
      <c r="E245" s="401">
        <v>36286</v>
      </c>
    </row>
    <row r="246" spans="1:5" x14ac:dyDescent="0.35">
      <c r="A246" s="441">
        <v>243</v>
      </c>
      <c r="B246" s="401" t="s">
        <v>378</v>
      </c>
      <c r="C246" s="401">
        <v>2314</v>
      </c>
      <c r="D246" s="401">
        <v>3788</v>
      </c>
      <c r="E246" s="401">
        <v>6102</v>
      </c>
    </row>
    <row r="247" spans="1:5" x14ac:dyDescent="0.35">
      <c r="A247" s="441">
        <v>244</v>
      </c>
      <c r="B247" s="401" t="s">
        <v>379</v>
      </c>
      <c r="C247" s="401"/>
      <c r="D247" s="401">
        <v>1</v>
      </c>
      <c r="E247" s="401">
        <v>1</v>
      </c>
    </row>
    <row r="248" spans="1:5" x14ac:dyDescent="0.35">
      <c r="A248" s="441">
        <v>245</v>
      </c>
      <c r="B248" s="401" t="s">
        <v>380</v>
      </c>
      <c r="C248" s="401">
        <v>495</v>
      </c>
      <c r="D248" s="401">
        <v>1683</v>
      </c>
      <c r="E248" s="401">
        <v>2178</v>
      </c>
    </row>
    <row r="249" spans="1:5" x14ac:dyDescent="0.35">
      <c r="A249" s="441">
        <v>246</v>
      </c>
      <c r="B249" s="401" t="s">
        <v>381</v>
      </c>
      <c r="C249" s="401">
        <v>64358</v>
      </c>
      <c r="D249" s="401">
        <v>68627</v>
      </c>
      <c r="E249" s="401">
        <v>132985</v>
      </c>
    </row>
    <row r="250" spans="1:5" x14ac:dyDescent="0.35">
      <c r="A250" s="441">
        <v>247</v>
      </c>
      <c r="B250" s="401" t="s">
        <v>383</v>
      </c>
      <c r="C250" s="401">
        <v>9749</v>
      </c>
      <c r="D250" s="401">
        <v>5210</v>
      </c>
      <c r="E250" s="401">
        <v>14959</v>
      </c>
    </row>
    <row r="251" spans="1:5" x14ac:dyDescent="0.35">
      <c r="A251" s="441">
        <v>248</v>
      </c>
      <c r="B251" s="401" t="s">
        <v>384</v>
      </c>
      <c r="C251" s="401">
        <v>67</v>
      </c>
      <c r="D251" s="401">
        <v>23</v>
      </c>
      <c r="E251" s="401">
        <v>90</v>
      </c>
    </row>
    <row r="252" spans="1:5" x14ac:dyDescent="0.35">
      <c r="A252" s="441">
        <v>249</v>
      </c>
      <c r="B252" s="401" t="s">
        <v>385</v>
      </c>
      <c r="C252" s="401">
        <v>1514</v>
      </c>
      <c r="D252" s="401">
        <v>1899</v>
      </c>
      <c r="E252" s="401">
        <v>3413</v>
      </c>
    </row>
    <row r="253" spans="1:5" x14ac:dyDescent="0.35">
      <c r="A253" s="441">
        <v>250</v>
      </c>
      <c r="B253" s="401" t="s">
        <v>386</v>
      </c>
      <c r="C253" s="401">
        <v>216</v>
      </c>
      <c r="D253" s="401">
        <v>489</v>
      </c>
      <c r="E253" s="401">
        <v>705</v>
      </c>
    </row>
    <row r="254" spans="1:5" x14ac:dyDescent="0.35">
      <c r="A254" s="441">
        <v>251</v>
      </c>
      <c r="B254" s="401" t="s">
        <v>387</v>
      </c>
      <c r="C254" s="401">
        <v>14</v>
      </c>
      <c r="D254" s="401">
        <v>4</v>
      </c>
      <c r="E254" s="401">
        <v>18</v>
      </c>
    </row>
    <row r="255" spans="1:5" x14ac:dyDescent="0.35">
      <c r="A255" s="441">
        <v>252</v>
      </c>
      <c r="B255" s="401" t="s">
        <v>389</v>
      </c>
      <c r="C255" s="401">
        <v>118</v>
      </c>
      <c r="D255" s="401">
        <v>43</v>
      </c>
      <c r="E255" s="401">
        <v>161</v>
      </c>
    </row>
    <row r="256" spans="1:5" x14ac:dyDescent="0.35">
      <c r="A256" s="441">
        <v>253</v>
      </c>
      <c r="B256" s="401" t="s">
        <v>390</v>
      </c>
      <c r="C256" s="401">
        <v>15</v>
      </c>
      <c r="D256" s="401">
        <v>5</v>
      </c>
      <c r="E256" s="401">
        <v>20</v>
      </c>
    </row>
    <row r="257" spans="1:5" x14ac:dyDescent="0.35">
      <c r="A257" s="889" t="s">
        <v>12</v>
      </c>
      <c r="B257" s="890"/>
      <c r="C257" s="400">
        <v>5247310</v>
      </c>
      <c r="D257" s="400">
        <v>5705836</v>
      </c>
      <c r="E257" s="400">
        <v>10953146</v>
      </c>
    </row>
  </sheetData>
  <mergeCells count="2">
    <mergeCell ref="A1:E1"/>
    <mergeCell ref="A257:B257"/>
  </mergeCells>
  <conditionalFormatting sqref="B258:B1048576 B1:B256 D3">
    <cfRule type="duplicateValues" dxfId="1" priority="1"/>
  </conditionalFormatting>
  <pageMargins left="0.47244094488188981" right="0.15748031496062992" top="0.39370078740157483" bottom="0.39370078740157483" header="0.31496062992125984" footer="0.19685039370078741"/>
  <pageSetup paperSize="9" orientation="portrait" r:id="rId1"/>
  <headerFooter>
    <oddFooter>&amp;L&amp;"Arial,Italic"&amp;9AISHE 2023-24&amp;RT-34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A9C1-6648-4383-B9CB-214F58450090}">
  <dimension ref="A1:N258"/>
  <sheetViews>
    <sheetView showZeros="0" view="pageBreakPreview" topLeftCell="C18" zoomScale="108" zoomScaleNormal="100" zoomScaleSheetLayoutView="108" workbookViewId="0">
      <selection activeCell="H18" sqref="H18"/>
    </sheetView>
  </sheetViews>
  <sheetFormatPr defaultColWidth="9.1796875" defaultRowHeight="13" x14ac:dyDescent="0.3"/>
  <cols>
    <col min="1" max="1" width="7.26953125" style="407" bestFit="1" customWidth="1"/>
    <col min="2" max="2" width="55.7265625" style="407" customWidth="1"/>
    <col min="3" max="4" width="10.81640625" style="407" customWidth="1"/>
    <col min="5" max="5" width="11.26953125" style="407" bestFit="1" customWidth="1"/>
    <col min="6" max="8" width="10.81640625" style="407" customWidth="1"/>
    <col min="9" max="14" width="11.54296875" style="407" customWidth="1"/>
    <col min="15" max="16384" width="9.1796875" style="407"/>
  </cols>
  <sheetData>
    <row r="1" spans="1:14" s="410" customFormat="1" ht="28.5" customHeight="1" x14ac:dyDescent="0.3">
      <c r="A1" s="893"/>
      <c r="B1" s="893"/>
      <c r="C1" s="894" t="s">
        <v>1018</v>
      </c>
      <c r="D1" s="895"/>
      <c r="E1" s="895"/>
      <c r="F1" s="895"/>
      <c r="G1" s="895"/>
      <c r="H1" s="895"/>
      <c r="I1" s="894" t="str">
        <f>C1</f>
        <v>Table 35. Programme-wise Out-turn/Pass-Out at Various Social group  
(Based on Actual Response)</v>
      </c>
      <c r="J1" s="896"/>
      <c r="K1" s="896"/>
      <c r="L1" s="896"/>
      <c r="M1" s="896"/>
      <c r="N1" s="896"/>
    </row>
    <row r="2" spans="1:14" s="409" customFormat="1" x14ac:dyDescent="0.3">
      <c r="A2" s="688" t="s">
        <v>48</v>
      </c>
      <c r="B2" s="898" t="s">
        <v>124</v>
      </c>
      <c r="C2" s="688" t="s">
        <v>703</v>
      </c>
      <c r="D2" s="688"/>
      <c r="E2" s="688"/>
      <c r="F2" s="688" t="s">
        <v>395</v>
      </c>
      <c r="G2" s="688"/>
      <c r="H2" s="688"/>
      <c r="I2" s="688" t="s">
        <v>396</v>
      </c>
      <c r="J2" s="688"/>
      <c r="K2" s="688"/>
      <c r="L2" s="688" t="s">
        <v>397</v>
      </c>
      <c r="M2" s="688"/>
      <c r="N2" s="688"/>
    </row>
    <row r="3" spans="1:14" s="409" customFormat="1" x14ac:dyDescent="0.3">
      <c r="A3" s="897"/>
      <c r="B3" s="898"/>
      <c r="C3" s="379" t="s">
        <v>103</v>
      </c>
      <c r="D3" s="379" t="s">
        <v>104</v>
      </c>
      <c r="E3" s="379" t="s">
        <v>89</v>
      </c>
      <c r="F3" s="379" t="s">
        <v>103</v>
      </c>
      <c r="G3" s="379" t="s">
        <v>104</v>
      </c>
      <c r="H3" s="379" t="s">
        <v>89</v>
      </c>
      <c r="I3" s="379" t="s">
        <v>103</v>
      </c>
      <c r="J3" s="379" t="s">
        <v>104</v>
      </c>
      <c r="K3" s="379" t="s">
        <v>89</v>
      </c>
      <c r="L3" s="379" t="s">
        <v>103</v>
      </c>
      <c r="M3" s="379" t="s">
        <v>104</v>
      </c>
      <c r="N3" s="379" t="s">
        <v>89</v>
      </c>
    </row>
    <row r="4" spans="1:14" s="444" customFormat="1" ht="10.5" x14ac:dyDescent="0.25">
      <c r="A4" s="442">
        <v>1</v>
      </c>
      <c r="B4" s="443">
        <v>2</v>
      </c>
      <c r="C4" s="442">
        <v>3</v>
      </c>
      <c r="D4" s="443">
        <v>4</v>
      </c>
      <c r="E4" s="442">
        <v>5</v>
      </c>
      <c r="F4" s="443">
        <v>6</v>
      </c>
      <c r="G4" s="442">
        <v>7</v>
      </c>
      <c r="H4" s="443">
        <v>8</v>
      </c>
      <c r="I4" s="442">
        <v>9</v>
      </c>
      <c r="J4" s="443">
        <v>10</v>
      </c>
      <c r="K4" s="442">
        <v>11</v>
      </c>
      <c r="L4" s="443">
        <v>12</v>
      </c>
      <c r="M4" s="442">
        <v>13</v>
      </c>
      <c r="N4" s="443">
        <v>14</v>
      </c>
    </row>
    <row r="5" spans="1:14" x14ac:dyDescent="0.3">
      <c r="A5" s="441">
        <v>1</v>
      </c>
      <c r="B5" s="403" t="s">
        <v>129</v>
      </c>
      <c r="C5" s="151">
        <v>706</v>
      </c>
      <c r="D5" s="243">
        <v>40611</v>
      </c>
      <c r="E5" s="243">
        <v>41317</v>
      </c>
      <c r="F5" s="151">
        <v>151</v>
      </c>
      <c r="G5" s="243">
        <v>11316</v>
      </c>
      <c r="H5" s="243">
        <v>11467</v>
      </c>
      <c r="I5" s="151">
        <v>96</v>
      </c>
      <c r="J5" s="243">
        <v>6505</v>
      </c>
      <c r="K5" s="243">
        <v>6601</v>
      </c>
      <c r="L5" s="151">
        <v>187</v>
      </c>
      <c r="M5" s="243">
        <v>12216</v>
      </c>
      <c r="N5" s="243">
        <v>12403</v>
      </c>
    </row>
    <row r="6" spans="1:14" x14ac:dyDescent="0.3">
      <c r="A6" s="441">
        <v>2</v>
      </c>
      <c r="B6" s="403" t="s">
        <v>130</v>
      </c>
      <c r="C6" s="151">
        <v>5406</v>
      </c>
      <c r="D6" s="243">
        <v>2689</v>
      </c>
      <c r="E6" s="243">
        <v>8095</v>
      </c>
      <c r="F6" s="151">
        <v>226</v>
      </c>
      <c r="G6" s="243">
        <v>335</v>
      </c>
      <c r="H6" s="243">
        <v>561</v>
      </c>
      <c r="I6" s="151">
        <v>86</v>
      </c>
      <c r="J6" s="243">
        <v>151</v>
      </c>
      <c r="K6" s="243">
        <v>237</v>
      </c>
      <c r="L6" s="151">
        <v>780</v>
      </c>
      <c r="M6" s="243">
        <v>867</v>
      </c>
      <c r="N6" s="243">
        <v>1647</v>
      </c>
    </row>
    <row r="7" spans="1:14" x14ac:dyDescent="0.3">
      <c r="A7" s="441">
        <v>3</v>
      </c>
      <c r="B7" s="403" t="s">
        <v>131</v>
      </c>
      <c r="C7" s="151">
        <v>29</v>
      </c>
      <c r="D7" s="243"/>
      <c r="E7" s="243">
        <v>29</v>
      </c>
      <c r="F7" s="151"/>
      <c r="G7" s="243"/>
      <c r="H7" s="243"/>
      <c r="I7" s="151"/>
      <c r="J7" s="243"/>
      <c r="K7" s="243"/>
      <c r="L7" s="151"/>
      <c r="M7" s="243"/>
      <c r="N7" s="243"/>
    </row>
    <row r="8" spans="1:14" x14ac:dyDescent="0.3">
      <c r="A8" s="441">
        <v>4</v>
      </c>
      <c r="B8" s="403" t="s">
        <v>132</v>
      </c>
      <c r="C8" s="151">
        <v>16</v>
      </c>
      <c r="D8" s="243">
        <v>26</v>
      </c>
      <c r="E8" s="243">
        <v>42</v>
      </c>
      <c r="F8" s="151">
        <v>3</v>
      </c>
      <c r="G8" s="243">
        <v>4</v>
      </c>
      <c r="H8" s="243">
        <v>7</v>
      </c>
      <c r="I8" s="151"/>
      <c r="J8" s="243">
        <v>1</v>
      </c>
      <c r="K8" s="243">
        <v>1</v>
      </c>
      <c r="L8" s="151">
        <v>9</v>
      </c>
      <c r="M8" s="243">
        <v>14</v>
      </c>
      <c r="N8" s="243">
        <v>23</v>
      </c>
    </row>
    <row r="9" spans="1:14" x14ac:dyDescent="0.3">
      <c r="A9" s="441">
        <v>5</v>
      </c>
      <c r="B9" s="403" t="s">
        <v>133</v>
      </c>
      <c r="C9" s="151">
        <v>15</v>
      </c>
      <c r="D9" s="243">
        <v>10</v>
      </c>
      <c r="E9" s="243">
        <v>25</v>
      </c>
      <c r="F9" s="151"/>
      <c r="G9" s="243">
        <v>2</v>
      </c>
      <c r="H9" s="243">
        <v>2</v>
      </c>
      <c r="I9" s="151"/>
      <c r="J9" s="243">
        <v>1</v>
      </c>
      <c r="K9" s="243">
        <v>1</v>
      </c>
      <c r="L9" s="151">
        <v>2</v>
      </c>
      <c r="M9" s="243">
        <v>1</v>
      </c>
      <c r="N9" s="243">
        <v>3</v>
      </c>
    </row>
    <row r="10" spans="1:14" x14ac:dyDescent="0.3">
      <c r="A10" s="441">
        <v>6</v>
      </c>
      <c r="B10" s="403" t="s">
        <v>134</v>
      </c>
      <c r="C10" s="151">
        <v>1059</v>
      </c>
      <c r="D10" s="243">
        <v>1894</v>
      </c>
      <c r="E10" s="243">
        <v>2953</v>
      </c>
      <c r="F10" s="151">
        <v>101</v>
      </c>
      <c r="G10" s="243">
        <v>178</v>
      </c>
      <c r="H10" s="243">
        <v>279</v>
      </c>
      <c r="I10" s="151">
        <v>56</v>
      </c>
      <c r="J10" s="243">
        <v>93</v>
      </c>
      <c r="K10" s="243">
        <v>149</v>
      </c>
      <c r="L10" s="151">
        <v>389</v>
      </c>
      <c r="M10" s="243">
        <v>745</v>
      </c>
      <c r="N10" s="243">
        <v>1134</v>
      </c>
    </row>
    <row r="11" spans="1:14" x14ac:dyDescent="0.3">
      <c r="A11" s="441">
        <v>7</v>
      </c>
      <c r="B11" s="403" t="s">
        <v>135</v>
      </c>
      <c r="C11" s="151">
        <v>10300</v>
      </c>
      <c r="D11" s="243">
        <v>13949</v>
      </c>
      <c r="E11" s="243">
        <v>24249</v>
      </c>
      <c r="F11" s="151">
        <v>2080</v>
      </c>
      <c r="G11" s="243">
        <v>2410</v>
      </c>
      <c r="H11" s="243">
        <v>4490</v>
      </c>
      <c r="I11" s="151">
        <v>1437</v>
      </c>
      <c r="J11" s="243">
        <v>1714</v>
      </c>
      <c r="K11" s="243">
        <v>3151</v>
      </c>
      <c r="L11" s="151">
        <v>4461</v>
      </c>
      <c r="M11" s="243">
        <v>5767</v>
      </c>
      <c r="N11" s="243">
        <v>10228</v>
      </c>
    </row>
    <row r="12" spans="1:14" x14ac:dyDescent="0.3">
      <c r="A12" s="441">
        <v>8</v>
      </c>
      <c r="B12" s="403" t="s">
        <v>136</v>
      </c>
      <c r="C12" s="151">
        <v>14446</v>
      </c>
      <c r="D12" s="243">
        <v>11462</v>
      </c>
      <c r="E12" s="243">
        <v>25908</v>
      </c>
      <c r="F12" s="151">
        <v>1651</v>
      </c>
      <c r="G12" s="243">
        <v>1350</v>
      </c>
      <c r="H12" s="243">
        <v>3001</v>
      </c>
      <c r="I12" s="151">
        <v>400</v>
      </c>
      <c r="J12" s="243">
        <v>385</v>
      </c>
      <c r="K12" s="243">
        <v>785</v>
      </c>
      <c r="L12" s="151">
        <v>3600</v>
      </c>
      <c r="M12" s="243">
        <v>2318</v>
      </c>
      <c r="N12" s="243">
        <v>5918</v>
      </c>
    </row>
    <row r="13" spans="1:14" x14ac:dyDescent="0.3">
      <c r="A13" s="441">
        <v>9</v>
      </c>
      <c r="B13" s="403" t="s">
        <v>137</v>
      </c>
      <c r="C13" s="151">
        <v>71</v>
      </c>
      <c r="D13" s="243">
        <v>73</v>
      </c>
      <c r="E13" s="243">
        <v>144</v>
      </c>
      <c r="F13" s="151">
        <v>16</v>
      </c>
      <c r="G13" s="243">
        <v>7</v>
      </c>
      <c r="H13" s="243">
        <v>23</v>
      </c>
      <c r="I13" s="151">
        <v>1</v>
      </c>
      <c r="J13" s="243">
        <v>1</v>
      </c>
      <c r="K13" s="243">
        <v>2</v>
      </c>
      <c r="L13" s="151">
        <v>12</v>
      </c>
      <c r="M13" s="243">
        <v>16</v>
      </c>
      <c r="N13" s="243">
        <v>28</v>
      </c>
    </row>
    <row r="14" spans="1:14" x14ac:dyDescent="0.3">
      <c r="A14" s="441">
        <v>10</v>
      </c>
      <c r="B14" s="403" t="s">
        <v>138</v>
      </c>
      <c r="C14" s="151">
        <v>175006</v>
      </c>
      <c r="D14" s="243">
        <v>245196</v>
      </c>
      <c r="E14" s="243">
        <v>420202</v>
      </c>
      <c r="F14" s="151">
        <v>23927</v>
      </c>
      <c r="G14" s="243">
        <v>29451</v>
      </c>
      <c r="H14" s="243">
        <v>53378</v>
      </c>
      <c r="I14" s="151">
        <v>17668</v>
      </c>
      <c r="J14" s="243">
        <v>22471</v>
      </c>
      <c r="K14" s="243">
        <v>40139</v>
      </c>
      <c r="L14" s="151">
        <v>67652</v>
      </c>
      <c r="M14" s="243">
        <v>84561</v>
      </c>
      <c r="N14" s="243">
        <v>152213</v>
      </c>
    </row>
    <row r="15" spans="1:14" x14ac:dyDescent="0.3">
      <c r="A15" s="441">
        <v>11</v>
      </c>
      <c r="B15" s="403" t="s">
        <v>139</v>
      </c>
      <c r="C15" s="151">
        <v>1094412</v>
      </c>
      <c r="D15" s="243">
        <v>1348076</v>
      </c>
      <c r="E15" s="243">
        <v>2442488</v>
      </c>
      <c r="F15" s="151">
        <v>207346</v>
      </c>
      <c r="G15" s="243">
        <v>240544</v>
      </c>
      <c r="H15" s="243">
        <v>447890</v>
      </c>
      <c r="I15" s="151">
        <v>85691</v>
      </c>
      <c r="J15" s="243">
        <v>104680</v>
      </c>
      <c r="K15" s="243">
        <v>190371</v>
      </c>
      <c r="L15" s="151">
        <v>449165</v>
      </c>
      <c r="M15" s="243">
        <v>555665</v>
      </c>
      <c r="N15" s="243">
        <v>1004830</v>
      </c>
    </row>
    <row r="16" spans="1:14" x14ac:dyDescent="0.3">
      <c r="A16" s="441">
        <v>12</v>
      </c>
      <c r="B16" s="403" t="s">
        <v>140</v>
      </c>
      <c r="C16" s="151">
        <v>490</v>
      </c>
      <c r="D16" s="243">
        <v>706</v>
      </c>
      <c r="E16" s="243">
        <v>1196</v>
      </c>
      <c r="F16" s="151">
        <v>38</v>
      </c>
      <c r="G16" s="243">
        <v>54</v>
      </c>
      <c r="H16" s="243">
        <v>92</v>
      </c>
      <c r="I16" s="151">
        <v>24</v>
      </c>
      <c r="J16" s="243">
        <v>33</v>
      </c>
      <c r="K16" s="243">
        <v>57</v>
      </c>
      <c r="L16" s="151">
        <v>200</v>
      </c>
      <c r="M16" s="243">
        <v>280</v>
      </c>
      <c r="N16" s="243">
        <v>480</v>
      </c>
    </row>
    <row r="17" spans="1:14" x14ac:dyDescent="0.3">
      <c r="A17" s="441">
        <v>13</v>
      </c>
      <c r="B17" s="403" t="s">
        <v>141</v>
      </c>
      <c r="C17" s="151">
        <v>5796</v>
      </c>
      <c r="D17" s="243">
        <v>8196</v>
      </c>
      <c r="E17" s="243">
        <v>13992</v>
      </c>
      <c r="F17" s="151">
        <v>556</v>
      </c>
      <c r="G17" s="243">
        <v>792</v>
      </c>
      <c r="H17" s="243">
        <v>1348</v>
      </c>
      <c r="I17" s="151">
        <v>256</v>
      </c>
      <c r="J17" s="243">
        <v>338</v>
      </c>
      <c r="K17" s="243">
        <v>594</v>
      </c>
      <c r="L17" s="151">
        <v>2319</v>
      </c>
      <c r="M17" s="243">
        <v>3122</v>
      </c>
      <c r="N17" s="243">
        <v>5441</v>
      </c>
    </row>
    <row r="18" spans="1:14" x14ac:dyDescent="0.3">
      <c r="A18" s="441">
        <v>14</v>
      </c>
      <c r="B18" s="403" t="s">
        <v>142</v>
      </c>
      <c r="C18" s="151">
        <v>179</v>
      </c>
      <c r="D18" s="243">
        <v>555</v>
      </c>
      <c r="E18" s="243">
        <v>734</v>
      </c>
      <c r="F18" s="151">
        <v>14</v>
      </c>
      <c r="G18" s="243">
        <v>23</v>
      </c>
      <c r="H18" s="243">
        <v>37</v>
      </c>
      <c r="I18" s="151">
        <v>4</v>
      </c>
      <c r="J18" s="243">
        <v>11</v>
      </c>
      <c r="K18" s="243">
        <v>15</v>
      </c>
      <c r="L18" s="151">
        <v>73</v>
      </c>
      <c r="M18" s="243">
        <v>309</v>
      </c>
      <c r="N18" s="243">
        <v>382</v>
      </c>
    </row>
    <row r="19" spans="1:14" x14ac:dyDescent="0.3">
      <c r="A19" s="441">
        <v>15</v>
      </c>
      <c r="B19" s="403" t="s">
        <v>143</v>
      </c>
      <c r="C19" s="151">
        <v>26142</v>
      </c>
      <c r="D19" s="243">
        <v>9907</v>
      </c>
      <c r="E19" s="243">
        <v>36049</v>
      </c>
      <c r="F19" s="151">
        <v>3225</v>
      </c>
      <c r="G19" s="243">
        <v>1257</v>
      </c>
      <c r="H19" s="243">
        <v>4482</v>
      </c>
      <c r="I19" s="151">
        <v>1057</v>
      </c>
      <c r="J19" s="243">
        <v>730</v>
      </c>
      <c r="K19" s="243">
        <v>1787</v>
      </c>
      <c r="L19" s="151">
        <v>12459</v>
      </c>
      <c r="M19" s="243">
        <v>4245</v>
      </c>
      <c r="N19" s="243">
        <v>16704</v>
      </c>
    </row>
    <row r="20" spans="1:14" x14ac:dyDescent="0.3">
      <c r="A20" s="441">
        <v>16</v>
      </c>
      <c r="B20" s="403" t="s">
        <v>144</v>
      </c>
      <c r="C20" s="151">
        <v>6294</v>
      </c>
      <c r="D20" s="243">
        <v>7187</v>
      </c>
      <c r="E20" s="243">
        <v>13481</v>
      </c>
      <c r="F20" s="151">
        <v>377</v>
      </c>
      <c r="G20" s="243">
        <v>333</v>
      </c>
      <c r="H20" s="243">
        <v>710</v>
      </c>
      <c r="I20" s="151">
        <v>94</v>
      </c>
      <c r="J20" s="243">
        <v>75</v>
      </c>
      <c r="K20" s="243">
        <v>169</v>
      </c>
      <c r="L20" s="151">
        <v>2138</v>
      </c>
      <c r="M20" s="243">
        <v>2053</v>
      </c>
      <c r="N20" s="243">
        <v>4191</v>
      </c>
    </row>
    <row r="21" spans="1:14" x14ac:dyDescent="0.3">
      <c r="A21" s="441">
        <v>17</v>
      </c>
      <c r="B21" s="403" t="s">
        <v>942</v>
      </c>
      <c r="C21" s="151">
        <v>1910</v>
      </c>
      <c r="D21" s="243">
        <v>1456</v>
      </c>
      <c r="E21" s="243">
        <v>3366</v>
      </c>
      <c r="F21" s="151">
        <v>148</v>
      </c>
      <c r="G21" s="243">
        <v>157</v>
      </c>
      <c r="H21" s="243">
        <v>305</v>
      </c>
      <c r="I21" s="151">
        <v>62</v>
      </c>
      <c r="J21" s="243">
        <v>67</v>
      </c>
      <c r="K21" s="243">
        <v>129</v>
      </c>
      <c r="L21" s="151">
        <v>515</v>
      </c>
      <c r="M21" s="243">
        <v>310</v>
      </c>
      <c r="N21" s="243">
        <v>825</v>
      </c>
    </row>
    <row r="22" spans="1:14" x14ac:dyDescent="0.3">
      <c r="A22" s="441">
        <v>18</v>
      </c>
      <c r="B22" s="403" t="s">
        <v>146</v>
      </c>
      <c r="C22" s="151">
        <v>102018</v>
      </c>
      <c r="D22" s="243">
        <v>73272</v>
      </c>
      <c r="E22" s="243">
        <v>175290</v>
      </c>
      <c r="F22" s="151">
        <v>7805</v>
      </c>
      <c r="G22" s="243">
        <v>6592</v>
      </c>
      <c r="H22" s="243">
        <v>14397</v>
      </c>
      <c r="I22" s="151">
        <v>2060</v>
      </c>
      <c r="J22" s="243">
        <v>1465</v>
      </c>
      <c r="K22" s="243">
        <v>3525</v>
      </c>
      <c r="L22" s="151">
        <v>33450</v>
      </c>
      <c r="M22" s="243">
        <v>26206</v>
      </c>
      <c r="N22" s="243">
        <v>59656</v>
      </c>
    </row>
    <row r="23" spans="1:14" x14ac:dyDescent="0.3">
      <c r="A23" s="441">
        <v>19</v>
      </c>
      <c r="B23" s="403" t="s">
        <v>148</v>
      </c>
      <c r="C23" s="151">
        <v>302</v>
      </c>
      <c r="D23" s="243">
        <v>311</v>
      </c>
      <c r="E23" s="243">
        <v>613</v>
      </c>
      <c r="F23" s="151">
        <v>7</v>
      </c>
      <c r="G23" s="243">
        <v>13</v>
      </c>
      <c r="H23" s="243">
        <v>20</v>
      </c>
      <c r="I23" s="151">
        <v>2</v>
      </c>
      <c r="J23" s="243">
        <v>2</v>
      </c>
      <c r="K23" s="243">
        <v>4</v>
      </c>
      <c r="L23" s="151">
        <v>38</v>
      </c>
      <c r="M23" s="243">
        <v>57</v>
      </c>
      <c r="N23" s="243">
        <v>95</v>
      </c>
    </row>
    <row r="24" spans="1:14" ht="26" x14ac:dyDescent="0.3">
      <c r="A24" s="441">
        <v>20</v>
      </c>
      <c r="B24" s="403" t="s">
        <v>149</v>
      </c>
      <c r="C24" s="151">
        <v>2735</v>
      </c>
      <c r="D24" s="243">
        <v>2295</v>
      </c>
      <c r="E24" s="243">
        <v>5030</v>
      </c>
      <c r="F24" s="151">
        <v>106</v>
      </c>
      <c r="G24" s="243">
        <v>107</v>
      </c>
      <c r="H24" s="243">
        <v>213</v>
      </c>
      <c r="I24" s="151">
        <v>18</v>
      </c>
      <c r="J24" s="243">
        <v>20</v>
      </c>
      <c r="K24" s="243">
        <v>38</v>
      </c>
      <c r="L24" s="151">
        <v>430</v>
      </c>
      <c r="M24" s="243">
        <v>405</v>
      </c>
      <c r="N24" s="243">
        <v>835</v>
      </c>
    </row>
    <row r="25" spans="1:14" x14ac:dyDescent="0.3">
      <c r="A25" s="441">
        <v>21</v>
      </c>
      <c r="B25" s="403" t="s">
        <v>150</v>
      </c>
      <c r="C25" s="151">
        <v>1994</v>
      </c>
      <c r="D25" s="243">
        <v>1597</v>
      </c>
      <c r="E25" s="243">
        <v>3591</v>
      </c>
      <c r="F25" s="151">
        <v>164</v>
      </c>
      <c r="G25" s="243">
        <v>135</v>
      </c>
      <c r="H25" s="243">
        <v>299</v>
      </c>
      <c r="I25" s="151">
        <v>43</v>
      </c>
      <c r="J25" s="243">
        <v>30</v>
      </c>
      <c r="K25" s="243">
        <v>73</v>
      </c>
      <c r="L25" s="151">
        <v>670</v>
      </c>
      <c r="M25" s="243">
        <v>593</v>
      </c>
      <c r="N25" s="243">
        <v>1263</v>
      </c>
    </row>
    <row r="26" spans="1:14" x14ac:dyDescent="0.3">
      <c r="A26" s="441">
        <v>22</v>
      </c>
      <c r="B26" s="403" t="s">
        <v>151</v>
      </c>
      <c r="C26" s="151">
        <v>79</v>
      </c>
      <c r="D26" s="243">
        <v>31</v>
      </c>
      <c r="E26" s="243">
        <v>110</v>
      </c>
      <c r="F26" s="151">
        <v>12</v>
      </c>
      <c r="G26" s="243">
        <v>1</v>
      </c>
      <c r="H26" s="243">
        <v>13</v>
      </c>
      <c r="I26" s="151"/>
      <c r="J26" s="243"/>
      <c r="K26" s="243"/>
      <c r="L26" s="151">
        <v>19</v>
      </c>
      <c r="M26" s="243">
        <v>1</v>
      </c>
      <c r="N26" s="243">
        <v>20</v>
      </c>
    </row>
    <row r="27" spans="1:14" x14ac:dyDescent="0.3">
      <c r="A27" s="441">
        <v>23</v>
      </c>
      <c r="B27" s="403" t="s">
        <v>152</v>
      </c>
      <c r="C27" s="151">
        <v>1117</v>
      </c>
      <c r="D27" s="243">
        <v>799</v>
      </c>
      <c r="E27" s="243">
        <v>1916</v>
      </c>
      <c r="F27" s="151">
        <v>138</v>
      </c>
      <c r="G27" s="243">
        <v>114</v>
      </c>
      <c r="H27" s="243">
        <v>252</v>
      </c>
      <c r="I27" s="151">
        <v>40</v>
      </c>
      <c r="J27" s="243">
        <v>43</v>
      </c>
      <c r="K27" s="243">
        <v>83</v>
      </c>
      <c r="L27" s="151">
        <v>333</v>
      </c>
      <c r="M27" s="243">
        <v>254</v>
      </c>
      <c r="N27" s="243">
        <v>587</v>
      </c>
    </row>
    <row r="28" spans="1:14" x14ac:dyDescent="0.3">
      <c r="A28" s="441">
        <v>24</v>
      </c>
      <c r="B28" s="403" t="s">
        <v>153</v>
      </c>
      <c r="C28" s="151">
        <v>91105</v>
      </c>
      <c r="D28" s="243">
        <v>59739</v>
      </c>
      <c r="E28" s="243">
        <v>150844</v>
      </c>
      <c r="F28" s="151">
        <v>8195</v>
      </c>
      <c r="G28" s="243">
        <v>6450</v>
      </c>
      <c r="H28" s="243">
        <v>14645</v>
      </c>
      <c r="I28" s="151">
        <v>2036</v>
      </c>
      <c r="J28" s="243">
        <v>1374</v>
      </c>
      <c r="K28" s="243">
        <v>3410</v>
      </c>
      <c r="L28" s="151">
        <v>36139</v>
      </c>
      <c r="M28" s="243">
        <v>26126</v>
      </c>
      <c r="N28" s="243">
        <v>62265</v>
      </c>
    </row>
    <row r="29" spans="1:14" x14ac:dyDescent="0.3">
      <c r="A29" s="441">
        <v>25</v>
      </c>
      <c r="B29" s="403" t="s">
        <v>154</v>
      </c>
      <c r="C29" s="151">
        <v>209</v>
      </c>
      <c r="D29" s="243">
        <v>43</v>
      </c>
      <c r="E29" s="243">
        <v>252</v>
      </c>
      <c r="F29" s="151"/>
      <c r="G29" s="243">
        <v>1</v>
      </c>
      <c r="H29" s="243">
        <v>1</v>
      </c>
      <c r="I29" s="151">
        <v>1</v>
      </c>
      <c r="J29" s="243">
        <v>2</v>
      </c>
      <c r="K29" s="243">
        <v>3</v>
      </c>
      <c r="L29" s="151">
        <v>14</v>
      </c>
      <c r="M29" s="243"/>
      <c r="N29" s="243">
        <v>14</v>
      </c>
    </row>
    <row r="30" spans="1:14" x14ac:dyDescent="0.3">
      <c r="A30" s="441">
        <v>26</v>
      </c>
      <c r="B30" s="403" t="s">
        <v>155</v>
      </c>
      <c r="C30" s="151">
        <v>131</v>
      </c>
      <c r="D30" s="243">
        <v>47</v>
      </c>
      <c r="E30" s="243">
        <v>178</v>
      </c>
      <c r="F30" s="151">
        <v>11</v>
      </c>
      <c r="G30" s="243">
        <v>5</v>
      </c>
      <c r="H30" s="243">
        <v>16</v>
      </c>
      <c r="I30" s="151">
        <v>5</v>
      </c>
      <c r="J30" s="243"/>
      <c r="K30" s="243">
        <v>5</v>
      </c>
      <c r="L30" s="151">
        <v>43</v>
      </c>
      <c r="M30" s="243">
        <v>20</v>
      </c>
      <c r="N30" s="243">
        <v>63</v>
      </c>
    </row>
    <row r="31" spans="1:14" x14ac:dyDescent="0.3">
      <c r="A31" s="441">
        <v>27</v>
      </c>
      <c r="B31" s="403" t="s">
        <v>156</v>
      </c>
      <c r="C31" s="151">
        <v>128</v>
      </c>
      <c r="D31" s="243">
        <v>26</v>
      </c>
      <c r="E31" s="243">
        <v>154</v>
      </c>
      <c r="F31" s="151">
        <v>5</v>
      </c>
      <c r="G31" s="243">
        <v>1</v>
      </c>
      <c r="H31" s="243">
        <v>6</v>
      </c>
      <c r="I31" s="151">
        <v>2</v>
      </c>
      <c r="J31" s="243"/>
      <c r="K31" s="243">
        <v>2</v>
      </c>
      <c r="L31" s="151">
        <v>5</v>
      </c>
      <c r="M31" s="243">
        <v>2</v>
      </c>
      <c r="N31" s="243">
        <v>7</v>
      </c>
    </row>
    <row r="32" spans="1:14" x14ac:dyDescent="0.3">
      <c r="A32" s="441">
        <v>28</v>
      </c>
      <c r="B32" s="403" t="s">
        <v>157</v>
      </c>
      <c r="C32" s="151">
        <v>1</v>
      </c>
      <c r="D32" s="243">
        <v>9</v>
      </c>
      <c r="E32" s="243">
        <v>10</v>
      </c>
      <c r="F32" s="151"/>
      <c r="G32" s="243"/>
      <c r="H32" s="243"/>
      <c r="I32" s="151"/>
      <c r="J32" s="243"/>
      <c r="K32" s="243"/>
      <c r="L32" s="151"/>
      <c r="M32" s="243"/>
      <c r="N32" s="243"/>
    </row>
    <row r="33" spans="1:14" x14ac:dyDescent="0.3">
      <c r="A33" s="441">
        <v>29</v>
      </c>
      <c r="B33" s="403" t="s">
        <v>158</v>
      </c>
      <c r="C33" s="151">
        <v>19</v>
      </c>
      <c r="D33" s="243">
        <v>85</v>
      </c>
      <c r="E33" s="243">
        <v>104</v>
      </c>
      <c r="F33" s="151">
        <v>3</v>
      </c>
      <c r="G33" s="243">
        <v>10</v>
      </c>
      <c r="H33" s="243">
        <v>13</v>
      </c>
      <c r="I33" s="151"/>
      <c r="J33" s="243"/>
      <c r="K33" s="243"/>
      <c r="L33" s="151">
        <v>8</v>
      </c>
      <c r="M33" s="243">
        <v>21</v>
      </c>
      <c r="N33" s="243">
        <v>29</v>
      </c>
    </row>
    <row r="34" spans="1:14" x14ac:dyDescent="0.3">
      <c r="A34" s="441">
        <v>30</v>
      </c>
      <c r="B34" s="403" t="s">
        <v>159</v>
      </c>
      <c r="C34" s="151">
        <v>25496</v>
      </c>
      <c r="D34" s="243">
        <v>22456</v>
      </c>
      <c r="E34" s="243">
        <v>47952</v>
      </c>
      <c r="F34" s="151">
        <v>2692</v>
      </c>
      <c r="G34" s="243">
        <v>2172</v>
      </c>
      <c r="H34" s="243">
        <v>4864</v>
      </c>
      <c r="I34" s="151">
        <v>887</v>
      </c>
      <c r="J34" s="243">
        <v>801</v>
      </c>
      <c r="K34" s="243">
        <v>1688</v>
      </c>
      <c r="L34" s="151">
        <v>6541</v>
      </c>
      <c r="M34" s="243">
        <v>5944</v>
      </c>
      <c r="N34" s="243">
        <v>12485</v>
      </c>
    </row>
    <row r="35" spans="1:14" x14ac:dyDescent="0.3">
      <c r="A35" s="441">
        <v>31</v>
      </c>
      <c r="B35" s="403" t="s">
        <v>160</v>
      </c>
      <c r="C35" s="151">
        <v>462246</v>
      </c>
      <c r="D35" s="243">
        <v>495346</v>
      </c>
      <c r="E35" s="243">
        <v>957592</v>
      </c>
      <c r="F35" s="151">
        <v>51509</v>
      </c>
      <c r="G35" s="243">
        <v>56965</v>
      </c>
      <c r="H35" s="243">
        <v>108474</v>
      </c>
      <c r="I35" s="151">
        <v>16592</v>
      </c>
      <c r="J35" s="243">
        <v>16802</v>
      </c>
      <c r="K35" s="243">
        <v>33394</v>
      </c>
      <c r="L35" s="151">
        <v>186489</v>
      </c>
      <c r="M35" s="243">
        <v>210343</v>
      </c>
      <c r="N35" s="243">
        <v>396832</v>
      </c>
    </row>
    <row r="36" spans="1:14" x14ac:dyDescent="0.3">
      <c r="A36" s="441">
        <v>32</v>
      </c>
      <c r="B36" s="403" t="s">
        <v>161</v>
      </c>
      <c r="C36" s="151">
        <v>850</v>
      </c>
      <c r="D36" s="243">
        <v>927</v>
      </c>
      <c r="E36" s="243">
        <v>1777</v>
      </c>
      <c r="F36" s="151">
        <v>63</v>
      </c>
      <c r="G36" s="243">
        <v>66</v>
      </c>
      <c r="H36" s="243">
        <v>129</v>
      </c>
      <c r="I36" s="151">
        <v>8</v>
      </c>
      <c r="J36" s="243">
        <v>7</v>
      </c>
      <c r="K36" s="243">
        <v>15</v>
      </c>
      <c r="L36" s="151">
        <v>181</v>
      </c>
      <c r="M36" s="243">
        <v>169</v>
      </c>
      <c r="N36" s="243">
        <v>350</v>
      </c>
    </row>
    <row r="37" spans="1:14" x14ac:dyDescent="0.3">
      <c r="A37" s="441">
        <v>33</v>
      </c>
      <c r="B37" s="403" t="s">
        <v>162</v>
      </c>
      <c r="C37" s="151">
        <v>5169</v>
      </c>
      <c r="D37" s="243">
        <v>14929</v>
      </c>
      <c r="E37" s="243">
        <v>20098</v>
      </c>
      <c r="F37" s="151">
        <v>551</v>
      </c>
      <c r="G37" s="243">
        <v>1406</v>
      </c>
      <c r="H37" s="243">
        <v>1957</v>
      </c>
      <c r="I37" s="151">
        <v>146</v>
      </c>
      <c r="J37" s="243">
        <v>327</v>
      </c>
      <c r="K37" s="243">
        <v>473</v>
      </c>
      <c r="L37" s="151">
        <v>1681</v>
      </c>
      <c r="M37" s="243">
        <v>5432</v>
      </c>
      <c r="N37" s="243">
        <v>7113</v>
      </c>
    </row>
    <row r="38" spans="1:14" x14ac:dyDescent="0.3">
      <c r="A38" s="441">
        <v>34</v>
      </c>
      <c r="B38" s="403" t="s">
        <v>163</v>
      </c>
      <c r="C38" s="151">
        <v>2</v>
      </c>
      <c r="D38" s="243">
        <v>19</v>
      </c>
      <c r="E38" s="243">
        <v>21</v>
      </c>
      <c r="F38" s="151">
        <v>1</v>
      </c>
      <c r="G38" s="243">
        <v>1</v>
      </c>
      <c r="H38" s="243">
        <v>2</v>
      </c>
      <c r="I38" s="151"/>
      <c r="J38" s="243"/>
      <c r="K38" s="243"/>
      <c r="L38" s="151">
        <v>1</v>
      </c>
      <c r="M38" s="243">
        <v>14</v>
      </c>
      <c r="N38" s="243">
        <v>15</v>
      </c>
    </row>
    <row r="39" spans="1:14" x14ac:dyDescent="0.3">
      <c r="A39" s="441">
        <v>35</v>
      </c>
      <c r="B39" s="403" t="s">
        <v>164</v>
      </c>
      <c r="C39" s="151">
        <v>9</v>
      </c>
      <c r="D39" s="243">
        <v>17</v>
      </c>
      <c r="E39" s="243">
        <v>26</v>
      </c>
      <c r="F39" s="151">
        <v>1</v>
      </c>
      <c r="G39" s="243"/>
      <c r="H39" s="243">
        <v>1</v>
      </c>
      <c r="I39" s="151">
        <v>1</v>
      </c>
      <c r="J39" s="243"/>
      <c r="K39" s="243">
        <v>1</v>
      </c>
      <c r="L39" s="151">
        <v>2</v>
      </c>
      <c r="M39" s="243">
        <v>6</v>
      </c>
      <c r="N39" s="243">
        <v>8</v>
      </c>
    </row>
    <row r="40" spans="1:14" x14ac:dyDescent="0.3">
      <c r="A40" s="441">
        <v>36</v>
      </c>
      <c r="B40" s="403" t="s">
        <v>165</v>
      </c>
      <c r="C40" s="151">
        <v>2767</v>
      </c>
      <c r="D40" s="243">
        <v>6644</v>
      </c>
      <c r="E40" s="243">
        <v>9411</v>
      </c>
      <c r="F40" s="151">
        <v>201</v>
      </c>
      <c r="G40" s="243">
        <v>846</v>
      </c>
      <c r="H40" s="243">
        <v>1047</v>
      </c>
      <c r="I40" s="151">
        <v>60</v>
      </c>
      <c r="J40" s="243">
        <v>293</v>
      </c>
      <c r="K40" s="243">
        <v>353</v>
      </c>
      <c r="L40" s="151">
        <v>585</v>
      </c>
      <c r="M40" s="243">
        <v>896</v>
      </c>
      <c r="N40" s="243">
        <v>1481</v>
      </c>
    </row>
    <row r="41" spans="1:14" x14ac:dyDescent="0.3">
      <c r="A41" s="441">
        <v>37</v>
      </c>
      <c r="B41" s="403" t="s">
        <v>166</v>
      </c>
      <c r="C41" s="151">
        <v>31</v>
      </c>
      <c r="D41" s="243">
        <v>163</v>
      </c>
      <c r="E41" s="243">
        <v>194</v>
      </c>
      <c r="F41" s="151"/>
      <c r="G41" s="243">
        <v>48</v>
      </c>
      <c r="H41" s="243">
        <v>48</v>
      </c>
      <c r="I41" s="151"/>
      <c r="J41" s="243">
        <v>27</v>
      </c>
      <c r="K41" s="243">
        <v>27</v>
      </c>
      <c r="L41" s="151">
        <v>8</v>
      </c>
      <c r="M41" s="243">
        <v>15</v>
      </c>
      <c r="N41" s="243">
        <v>23</v>
      </c>
    </row>
    <row r="42" spans="1:14" x14ac:dyDescent="0.3">
      <c r="A42" s="441">
        <v>38</v>
      </c>
      <c r="B42" s="403" t="s">
        <v>167</v>
      </c>
      <c r="C42" s="151">
        <v>201540</v>
      </c>
      <c r="D42" s="243">
        <v>85199</v>
      </c>
      <c r="E42" s="243">
        <v>286739</v>
      </c>
      <c r="F42" s="151">
        <v>18308</v>
      </c>
      <c r="G42" s="243">
        <v>9890</v>
      </c>
      <c r="H42" s="243">
        <v>28198</v>
      </c>
      <c r="I42" s="151">
        <v>4299</v>
      </c>
      <c r="J42" s="243">
        <v>2155</v>
      </c>
      <c r="K42" s="243">
        <v>6454</v>
      </c>
      <c r="L42" s="151">
        <v>90727</v>
      </c>
      <c r="M42" s="243">
        <v>41535</v>
      </c>
      <c r="N42" s="243">
        <v>132262</v>
      </c>
    </row>
    <row r="43" spans="1:14" x14ac:dyDescent="0.3">
      <c r="A43" s="441">
        <v>39</v>
      </c>
      <c r="B43" s="403" t="s">
        <v>168</v>
      </c>
      <c r="C43" s="151">
        <v>598</v>
      </c>
      <c r="D43" s="243">
        <v>628</v>
      </c>
      <c r="E43" s="243">
        <v>1226</v>
      </c>
      <c r="F43" s="151">
        <v>87</v>
      </c>
      <c r="G43" s="243">
        <v>64</v>
      </c>
      <c r="H43" s="243">
        <v>151</v>
      </c>
      <c r="I43" s="151">
        <v>39</v>
      </c>
      <c r="J43" s="243">
        <v>30</v>
      </c>
      <c r="K43" s="243">
        <v>69</v>
      </c>
      <c r="L43" s="151">
        <v>206</v>
      </c>
      <c r="M43" s="243">
        <v>208</v>
      </c>
      <c r="N43" s="243">
        <v>414</v>
      </c>
    </row>
    <row r="44" spans="1:14" x14ac:dyDescent="0.3">
      <c r="A44" s="441">
        <v>40</v>
      </c>
      <c r="B44" s="403" t="s">
        <v>169</v>
      </c>
      <c r="C44" s="151">
        <v>257394</v>
      </c>
      <c r="D44" s="243">
        <v>468352</v>
      </c>
      <c r="E44" s="243">
        <v>725746</v>
      </c>
      <c r="F44" s="151">
        <v>48790</v>
      </c>
      <c r="G44" s="243">
        <v>75325</v>
      </c>
      <c r="H44" s="243">
        <v>124115</v>
      </c>
      <c r="I44" s="151">
        <v>21159</v>
      </c>
      <c r="J44" s="243">
        <v>31187</v>
      </c>
      <c r="K44" s="243">
        <v>52346</v>
      </c>
      <c r="L44" s="151">
        <v>98507</v>
      </c>
      <c r="M44" s="243">
        <v>177095</v>
      </c>
      <c r="N44" s="243">
        <v>275602</v>
      </c>
    </row>
    <row r="45" spans="1:14" x14ac:dyDescent="0.3">
      <c r="A45" s="441">
        <v>41</v>
      </c>
      <c r="B45" s="403" t="s">
        <v>170</v>
      </c>
      <c r="C45" s="151">
        <v>1087</v>
      </c>
      <c r="D45" s="243">
        <v>2152</v>
      </c>
      <c r="E45" s="243">
        <v>3239</v>
      </c>
      <c r="F45" s="151">
        <v>218</v>
      </c>
      <c r="G45" s="243">
        <v>384</v>
      </c>
      <c r="H45" s="243">
        <v>602</v>
      </c>
      <c r="I45" s="151">
        <v>1</v>
      </c>
      <c r="J45" s="243">
        <v>15</v>
      </c>
      <c r="K45" s="243">
        <v>16</v>
      </c>
      <c r="L45" s="151">
        <v>510</v>
      </c>
      <c r="M45" s="243">
        <v>894</v>
      </c>
      <c r="N45" s="243">
        <v>1404</v>
      </c>
    </row>
    <row r="46" spans="1:14" x14ac:dyDescent="0.3">
      <c r="A46" s="441">
        <v>42</v>
      </c>
      <c r="B46" s="403" t="s">
        <v>171</v>
      </c>
      <c r="C46" s="151">
        <v>2725</v>
      </c>
      <c r="D46" s="243">
        <v>3076</v>
      </c>
      <c r="E46" s="243">
        <v>5801</v>
      </c>
      <c r="F46" s="151">
        <v>499</v>
      </c>
      <c r="G46" s="243">
        <v>331</v>
      </c>
      <c r="H46" s="243">
        <v>830</v>
      </c>
      <c r="I46" s="151">
        <v>163</v>
      </c>
      <c r="J46" s="243">
        <v>99</v>
      </c>
      <c r="K46" s="243">
        <v>262</v>
      </c>
      <c r="L46" s="151">
        <v>960</v>
      </c>
      <c r="M46" s="243">
        <v>883</v>
      </c>
      <c r="N46" s="243">
        <v>1843</v>
      </c>
    </row>
    <row r="47" spans="1:14" x14ac:dyDescent="0.3">
      <c r="A47" s="441">
        <v>43</v>
      </c>
      <c r="B47" s="403" t="s">
        <v>172</v>
      </c>
      <c r="C47" s="151">
        <v>608</v>
      </c>
      <c r="D47" s="243">
        <v>573</v>
      </c>
      <c r="E47" s="243">
        <v>1181</v>
      </c>
      <c r="F47" s="151">
        <v>91</v>
      </c>
      <c r="G47" s="243">
        <v>63</v>
      </c>
      <c r="H47" s="243">
        <v>154</v>
      </c>
      <c r="I47" s="151">
        <v>42</v>
      </c>
      <c r="J47" s="243">
        <v>52</v>
      </c>
      <c r="K47" s="243">
        <v>94</v>
      </c>
      <c r="L47" s="151">
        <v>305</v>
      </c>
      <c r="M47" s="243">
        <v>252</v>
      </c>
      <c r="N47" s="243">
        <v>557</v>
      </c>
    </row>
    <row r="48" spans="1:14" x14ac:dyDescent="0.3">
      <c r="A48" s="441">
        <v>44</v>
      </c>
      <c r="B48" s="403" t="s">
        <v>173</v>
      </c>
      <c r="C48" s="151">
        <v>106</v>
      </c>
      <c r="D48" s="243">
        <v>438</v>
      </c>
      <c r="E48" s="243">
        <v>544</v>
      </c>
      <c r="F48" s="151">
        <v>16</v>
      </c>
      <c r="G48" s="243">
        <v>48</v>
      </c>
      <c r="H48" s="243">
        <v>64</v>
      </c>
      <c r="I48" s="151">
        <v>1</v>
      </c>
      <c r="J48" s="243">
        <v>4</v>
      </c>
      <c r="K48" s="243">
        <v>5</v>
      </c>
      <c r="L48" s="151">
        <v>30</v>
      </c>
      <c r="M48" s="243">
        <v>133</v>
      </c>
      <c r="N48" s="243">
        <v>163</v>
      </c>
    </row>
    <row r="49" spans="1:14" x14ac:dyDescent="0.3">
      <c r="A49" s="441">
        <v>45</v>
      </c>
      <c r="B49" s="403" t="s">
        <v>174</v>
      </c>
      <c r="C49" s="151">
        <v>269</v>
      </c>
      <c r="D49" s="243">
        <v>182</v>
      </c>
      <c r="E49" s="243">
        <v>451</v>
      </c>
      <c r="F49" s="151">
        <v>19</v>
      </c>
      <c r="G49" s="243">
        <v>12</v>
      </c>
      <c r="H49" s="243">
        <v>31</v>
      </c>
      <c r="I49" s="151">
        <v>2</v>
      </c>
      <c r="J49" s="243"/>
      <c r="K49" s="243">
        <v>2</v>
      </c>
      <c r="L49" s="151">
        <v>65</v>
      </c>
      <c r="M49" s="243">
        <v>28</v>
      </c>
      <c r="N49" s="243">
        <v>93</v>
      </c>
    </row>
    <row r="50" spans="1:14" x14ac:dyDescent="0.3">
      <c r="A50" s="441">
        <v>46</v>
      </c>
      <c r="B50" s="403" t="s">
        <v>175</v>
      </c>
      <c r="C50" s="151">
        <v>433</v>
      </c>
      <c r="D50" s="243">
        <v>599</v>
      </c>
      <c r="E50" s="243">
        <v>1032</v>
      </c>
      <c r="F50" s="151">
        <v>38</v>
      </c>
      <c r="G50" s="243">
        <v>70</v>
      </c>
      <c r="H50" s="243">
        <v>108</v>
      </c>
      <c r="I50" s="151">
        <v>14</v>
      </c>
      <c r="J50" s="243">
        <v>18</v>
      </c>
      <c r="K50" s="243">
        <v>32</v>
      </c>
      <c r="L50" s="151">
        <v>63</v>
      </c>
      <c r="M50" s="243">
        <v>78</v>
      </c>
      <c r="N50" s="243">
        <v>141</v>
      </c>
    </row>
    <row r="51" spans="1:14" x14ac:dyDescent="0.3">
      <c r="A51" s="441">
        <v>47</v>
      </c>
      <c r="B51" s="403" t="s">
        <v>176</v>
      </c>
      <c r="C51" s="151">
        <v>8450</v>
      </c>
      <c r="D51" s="243">
        <v>2126</v>
      </c>
      <c r="E51" s="243">
        <v>10576</v>
      </c>
      <c r="F51" s="151">
        <v>711</v>
      </c>
      <c r="G51" s="243">
        <v>217</v>
      </c>
      <c r="H51" s="243">
        <v>928</v>
      </c>
      <c r="I51" s="151">
        <v>188</v>
      </c>
      <c r="J51" s="243">
        <v>100</v>
      </c>
      <c r="K51" s="243">
        <v>288</v>
      </c>
      <c r="L51" s="151">
        <v>1635</v>
      </c>
      <c r="M51" s="243">
        <v>328</v>
      </c>
      <c r="N51" s="243">
        <v>1963</v>
      </c>
    </row>
    <row r="52" spans="1:14" x14ac:dyDescent="0.3">
      <c r="A52" s="441">
        <v>48</v>
      </c>
      <c r="B52" s="403" t="s">
        <v>177</v>
      </c>
      <c r="C52" s="151">
        <v>3934</v>
      </c>
      <c r="D52" s="243">
        <v>886</v>
      </c>
      <c r="E52" s="243">
        <v>4820</v>
      </c>
      <c r="F52" s="151">
        <v>445</v>
      </c>
      <c r="G52" s="243">
        <v>162</v>
      </c>
      <c r="H52" s="243">
        <v>607</v>
      </c>
      <c r="I52" s="151">
        <v>63</v>
      </c>
      <c r="J52" s="243">
        <v>14</v>
      </c>
      <c r="K52" s="243">
        <v>77</v>
      </c>
      <c r="L52" s="151">
        <v>1019</v>
      </c>
      <c r="M52" s="243">
        <v>145</v>
      </c>
      <c r="N52" s="243">
        <v>1164</v>
      </c>
    </row>
    <row r="53" spans="1:14" x14ac:dyDescent="0.3">
      <c r="A53" s="441">
        <v>49</v>
      </c>
      <c r="B53" s="403" t="s">
        <v>178</v>
      </c>
      <c r="C53" s="151">
        <v>4798</v>
      </c>
      <c r="D53" s="243">
        <v>7773</v>
      </c>
      <c r="E53" s="243">
        <v>12571</v>
      </c>
      <c r="F53" s="151">
        <v>455</v>
      </c>
      <c r="G53" s="243">
        <v>793</v>
      </c>
      <c r="H53" s="243">
        <v>1248</v>
      </c>
      <c r="I53" s="151">
        <v>200</v>
      </c>
      <c r="J53" s="243">
        <v>315</v>
      </c>
      <c r="K53" s="243">
        <v>515</v>
      </c>
      <c r="L53" s="151">
        <v>2034</v>
      </c>
      <c r="M53" s="243">
        <v>2835</v>
      </c>
      <c r="N53" s="243">
        <v>4869</v>
      </c>
    </row>
    <row r="54" spans="1:14" x14ac:dyDescent="0.3">
      <c r="A54" s="441">
        <v>50</v>
      </c>
      <c r="B54" s="403" t="s">
        <v>179</v>
      </c>
      <c r="C54" s="151">
        <v>1415</v>
      </c>
      <c r="D54" s="243">
        <v>758</v>
      </c>
      <c r="E54" s="243">
        <v>2173</v>
      </c>
      <c r="F54" s="151">
        <v>83</v>
      </c>
      <c r="G54" s="243">
        <v>53</v>
      </c>
      <c r="H54" s="243">
        <v>136</v>
      </c>
      <c r="I54" s="151">
        <v>40</v>
      </c>
      <c r="J54" s="243">
        <v>38</v>
      </c>
      <c r="K54" s="243">
        <v>78</v>
      </c>
      <c r="L54" s="151">
        <v>186</v>
      </c>
      <c r="M54" s="243">
        <v>102</v>
      </c>
      <c r="N54" s="243">
        <v>288</v>
      </c>
    </row>
    <row r="55" spans="1:14" x14ac:dyDescent="0.3">
      <c r="A55" s="441">
        <v>51</v>
      </c>
      <c r="B55" s="403" t="s">
        <v>180</v>
      </c>
      <c r="C55" s="151">
        <v>188</v>
      </c>
      <c r="D55" s="243">
        <v>171</v>
      </c>
      <c r="E55" s="243">
        <v>359</v>
      </c>
      <c r="F55" s="151">
        <v>9</v>
      </c>
      <c r="G55" s="243">
        <v>7</v>
      </c>
      <c r="H55" s="243">
        <v>16</v>
      </c>
      <c r="I55" s="151">
        <v>2</v>
      </c>
      <c r="J55" s="243"/>
      <c r="K55" s="243">
        <v>2</v>
      </c>
      <c r="L55" s="151">
        <v>24</v>
      </c>
      <c r="M55" s="243">
        <v>12</v>
      </c>
      <c r="N55" s="243">
        <v>36</v>
      </c>
    </row>
    <row r="56" spans="1:14" x14ac:dyDescent="0.3">
      <c r="A56" s="441">
        <v>52</v>
      </c>
      <c r="B56" s="403" t="s">
        <v>181</v>
      </c>
      <c r="C56" s="151">
        <v>191</v>
      </c>
      <c r="D56" s="243">
        <v>67</v>
      </c>
      <c r="E56" s="243">
        <v>258</v>
      </c>
      <c r="F56" s="151">
        <v>13</v>
      </c>
      <c r="G56" s="243">
        <v>6</v>
      </c>
      <c r="H56" s="243">
        <v>19</v>
      </c>
      <c r="I56" s="151">
        <v>2</v>
      </c>
      <c r="J56" s="243"/>
      <c r="K56" s="243">
        <v>2</v>
      </c>
      <c r="L56" s="151">
        <v>40</v>
      </c>
      <c r="M56" s="243">
        <v>8</v>
      </c>
      <c r="N56" s="243">
        <v>48</v>
      </c>
    </row>
    <row r="57" spans="1:14" x14ac:dyDescent="0.3">
      <c r="A57" s="441">
        <v>53</v>
      </c>
      <c r="B57" s="403" t="s">
        <v>182</v>
      </c>
      <c r="C57" s="151">
        <v>59</v>
      </c>
      <c r="D57" s="243">
        <v>29</v>
      </c>
      <c r="E57" s="243">
        <v>88</v>
      </c>
      <c r="F57" s="151">
        <v>1</v>
      </c>
      <c r="G57" s="243"/>
      <c r="H57" s="243">
        <v>1</v>
      </c>
      <c r="I57" s="151"/>
      <c r="J57" s="243"/>
      <c r="K57" s="243"/>
      <c r="L57" s="151">
        <v>13</v>
      </c>
      <c r="M57" s="243">
        <v>7</v>
      </c>
      <c r="N57" s="243">
        <v>20</v>
      </c>
    </row>
    <row r="58" spans="1:14" x14ac:dyDescent="0.3">
      <c r="A58" s="441">
        <v>54</v>
      </c>
      <c r="B58" s="403" t="s">
        <v>183</v>
      </c>
      <c r="C58" s="151">
        <v>45</v>
      </c>
      <c r="D58" s="243">
        <v>96</v>
      </c>
      <c r="E58" s="243">
        <v>141</v>
      </c>
      <c r="F58" s="151">
        <v>3</v>
      </c>
      <c r="G58" s="243">
        <v>7</v>
      </c>
      <c r="H58" s="243">
        <v>10</v>
      </c>
      <c r="I58" s="151"/>
      <c r="J58" s="243"/>
      <c r="K58" s="243"/>
      <c r="L58" s="151">
        <v>26</v>
      </c>
      <c r="M58" s="243">
        <v>54</v>
      </c>
      <c r="N58" s="243">
        <v>80</v>
      </c>
    </row>
    <row r="59" spans="1:14" x14ac:dyDescent="0.3">
      <c r="A59" s="441">
        <v>55</v>
      </c>
      <c r="B59" s="403" t="s">
        <v>184</v>
      </c>
      <c r="C59" s="151">
        <v>551</v>
      </c>
      <c r="D59" s="243">
        <v>318</v>
      </c>
      <c r="E59" s="243">
        <v>869</v>
      </c>
      <c r="F59" s="151">
        <v>83</v>
      </c>
      <c r="G59" s="243">
        <v>37</v>
      </c>
      <c r="H59" s="243">
        <v>120</v>
      </c>
      <c r="I59" s="151">
        <v>50</v>
      </c>
      <c r="J59" s="243">
        <v>5</v>
      </c>
      <c r="K59" s="243">
        <v>55</v>
      </c>
      <c r="L59" s="151">
        <v>93</v>
      </c>
      <c r="M59" s="243">
        <v>39</v>
      </c>
      <c r="N59" s="243">
        <v>132</v>
      </c>
    </row>
    <row r="60" spans="1:14" x14ac:dyDescent="0.3">
      <c r="A60" s="441">
        <v>56</v>
      </c>
      <c r="B60" s="403" t="s">
        <v>185</v>
      </c>
      <c r="C60" s="151">
        <v>2542</v>
      </c>
      <c r="D60" s="243">
        <v>2988</v>
      </c>
      <c r="E60" s="243">
        <v>5530</v>
      </c>
      <c r="F60" s="151">
        <v>242</v>
      </c>
      <c r="G60" s="243">
        <v>209</v>
      </c>
      <c r="H60" s="243">
        <v>451</v>
      </c>
      <c r="I60" s="151">
        <v>117</v>
      </c>
      <c r="J60" s="243">
        <v>48</v>
      </c>
      <c r="K60" s="243">
        <v>165</v>
      </c>
      <c r="L60" s="151">
        <v>392</v>
      </c>
      <c r="M60" s="243">
        <v>375</v>
      </c>
      <c r="N60" s="243">
        <v>767</v>
      </c>
    </row>
    <row r="61" spans="1:14" x14ac:dyDescent="0.3">
      <c r="A61" s="441">
        <v>57</v>
      </c>
      <c r="B61" s="403" t="s">
        <v>186</v>
      </c>
      <c r="C61" s="151">
        <v>7635</v>
      </c>
      <c r="D61" s="243">
        <v>4840</v>
      </c>
      <c r="E61" s="243">
        <v>12475</v>
      </c>
      <c r="F61" s="151">
        <v>833</v>
      </c>
      <c r="G61" s="243">
        <v>524</v>
      </c>
      <c r="H61" s="243">
        <v>1357</v>
      </c>
      <c r="I61" s="151">
        <v>120</v>
      </c>
      <c r="J61" s="243">
        <v>94</v>
      </c>
      <c r="K61" s="243">
        <v>214</v>
      </c>
      <c r="L61" s="151">
        <v>2141</v>
      </c>
      <c r="M61" s="243">
        <v>1192</v>
      </c>
      <c r="N61" s="243">
        <v>3333</v>
      </c>
    </row>
    <row r="62" spans="1:14" x14ac:dyDescent="0.3">
      <c r="A62" s="441">
        <v>58</v>
      </c>
      <c r="B62" s="403" t="s">
        <v>187</v>
      </c>
      <c r="C62" s="151">
        <v>10531</v>
      </c>
      <c r="D62" s="243">
        <v>8957</v>
      </c>
      <c r="E62" s="243">
        <v>19488</v>
      </c>
      <c r="F62" s="151">
        <v>1314</v>
      </c>
      <c r="G62" s="243">
        <v>1062</v>
      </c>
      <c r="H62" s="243">
        <v>2376</v>
      </c>
      <c r="I62" s="151">
        <v>481</v>
      </c>
      <c r="J62" s="243">
        <v>314</v>
      </c>
      <c r="K62" s="243">
        <v>795</v>
      </c>
      <c r="L62" s="151">
        <v>5493</v>
      </c>
      <c r="M62" s="243">
        <v>4239</v>
      </c>
      <c r="N62" s="243">
        <v>9732</v>
      </c>
    </row>
    <row r="63" spans="1:14" x14ac:dyDescent="0.3">
      <c r="A63" s="441">
        <v>59</v>
      </c>
      <c r="B63" s="403" t="s">
        <v>188</v>
      </c>
      <c r="C63" s="151">
        <v>7231</v>
      </c>
      <c r="D63" s="243">
        <v>7510</v>
      </c>
      <c r="E63" s="243">
        <v>14741</v>
      </c>
      <c r="F63" s="151">
        <v>1004</v>
      </c>
      <c r="G63" s="243">
        <v>978</v>
      </c>
      <c r="H63" s="243">
        <v>1982</v>
      </c>
      <c r="I63" s="151">
        <v>568</v>
      </c>
      <c r="J63" s="243">
        <v>595</v>
      </c>
      <c r="K63" s="243">
        <v>1163</v>
      </c>
      <c r="L63" s="151">
        <v>2642</v>
      </c>
      <c r="M63" s="243">
        <v>2454</v>
      </c>
      <c r="N63" s="243">
        <v>5096</v>
      </c>
    </row>
    <row r="64" spans="1:14" ht="15" customHeight="1" x14ac:dyDescent="0.3">
      <c r="A64" s="441">
        <v>60</v>
      </c>
      <c r="B64" s="408" t="s">
        <v>189</v>
      </c>
      <c r="C64" s="151">
        <v>666</v>
      </c>
      <c r="D64" s="243">
        <v>1220</v>
      </c>
      <c r="E64" s="243">
        <v>1886</v>
      </c>
      <c r="F64" s="151">
        <v>148</v>
      </c>
      <c r="G64" s="243">
        <v>257</v>
      </c>
      <c r="H64" s="243">
        <v>405</v>
      </c>
      <c r="I64" s="151">
        <v>10</v>
      </c>
      <c r="J64" s="243">
        <v>21</v>
      </c>
      <c r="K64" s="243">
        <v>31</v>
      </c>
      <c r="L64" s="151">
        <v>386</v>
      </c>
      <c r="M64" s="243">
        <v>683</v>
      </c>
      <c r="N64" s="243">
        <v>1069</v>
      </c>
    </row>
    <row r="65" spans="1:14" x14ac:dyDescent="0.3">
      <c r="A65" s="441">
        <v>61</v>
      </c>
      <c r="B65" s="403" t="s">
        <v>190</v>
      </c>
      <c r="C65" s="151">
        <v>2231</v>
      </c>
      <c r="D65" s="243">
        <v>1844</v>
      </c>
      <c r="E65" s="243">
        <v>4075</v>
      </c>
      <c r="F65" s="151">
        <v>287</v>
      </c>
      <c r="G65" s="243">
        <v>227</v>
      </c>
      <c r="H65" s="243">
        <v>514</v>
      </c>
      <c r="I65" s="151">
        <v>154</v>
      </c>
      <c r="J65" s="243">
        <v>177</v>
      </c>
      <c r="K65" s="243">
        <v>331</v>
      </c>
      <c r="L65" s="151">
        <v>799</v>
      </c>
      <c r="M65" s="243">
        <v>711</v>
      </c>
      <c r="N65" s="243">
        <v>1510</v>
      </c>
    </row>
    <row r="66" spans="1:14" x14ac:dyDescent="0.3">
      <c r="A66" s="441">
        <v>62</v>
      </c>
      <c r="B66" s="403" t="s">
        <v>191</v>
      </c>
      <c r="C66" s="151">
        <v>254</v>
      </c>
      <c r="D66" s="243">
        <v>317</v>
      </c>
      <c r="E66" s="243">
        <v>571</v>
      </c>
      <c r="F66" s="151">
        <v>15</v>
      </c>
      <c r="G66" s="243">
        <v>21</v>
      </c>
      <c r="H66" s="243">
        <v>36</v>
      </c>
      <c r="I66" s="151"/>
      <c r="J66" s="243">
        <v>1</v>
      </c>
      <c r="K66" s="243">
        <v>1</v>
      </c>
      <c r="L66" s="151">
        <v>98</v>
      </c>
      <c r="M66" s="243">
        <v>63</v>
      </c>
      <c r="N66" s="243">
        <v>161</v>
      </c>
    </row>
    <row r="67" spans="1:14" x14ac:dyDescent="0.3">
      <c r="A67" s="441">
        <v>63</v>
      </c>
      <c r="B67" s="403" t="s">
        <v>192</v>
      </c>
      <c r="C67" s="151">
        <v>8406</v>
      </c>
      <c r="D67" s="243">
        <v>7368</v>
      </c>
      <c r="E67" s="243">
        <v>15774</v>
      </c>
      <c r="F67" s="151">
        <v>428</v>
      </c>
      <c r="G67" s="243">
        <v>456</v>
      </c>
      <c r="H67" s="243">
        <v>884</v>
      </c>
      <c r="I67" s="151">
        <v>72</v>
      </c>
      <c r="J67" s="243">
        <v>70</v>
      </c>
      <c r="K67" s="243">
        <v>142</v>
      </c>
      <c r="L67" s="151">
        <v>878</v>
      </c>
      <c r="M67" s="243">
        <v>808</v>
      </c>
      <c r="N67" s="243">
        <v>1686</v>
      </c>
    </row>
    <row r="68" spans="1:14" x14ac:dyDescent="0.3">
      <c r="A68" s="441">
        <v>64</v>
      </c>
      <c r="B68" s="403" t="s">
        <v>193</v>
      </c>
      <c r="C68" s="151">
        <v>158</v>
      </c>
      <c r="D68" s="243">
        <v>216</v>
      </c>
      <c r="E68" s="243">
        <v>374</v>
      </c>
      <c r="F68" s="151">
        <v>10</v>
      </c>
      <c r="G68" s="243">
        <v>28</v>
      </c>
      <c r="H68" s="243">
        <v>38</v>
      </c>
      <c r="I68" s="151">
        <v>56</v>
      </c>
      <c r="J68" s="243">
        <v>50</v>
      </c>
      <c r="K68" s="243">
        <v>106</v>
      </c>
      <c r="L68" s="151">
        <v>37</v>
      </c>
      <c r="M68" s="243">
        <v>58</v>
      </c>
      <c r="N68" s="243">
        <v>95</v>
      </c>
    </row>
    <row r="69" spans="1:14" x14ac:dyDescent="0.3">
      <c r="A69" s="441">
        <v>65</v>
      </c>
      <c r="B69" s="403" t="s">
        <v>194</v>
      </c>
      <c r="C69" s="151">
        <v>431</v>
      </c>
      <c r="D69" s="243">
        <v>796</v>
      </c>
      <c r="E69" s="243">
        <v>1227</v>
      </c>
      <c r="F69" s="151">
        <v>82</v>
      </c>
      <c r="G69" s="243">
        <v>134</v>
      </c>
      <c r="H69" s="243">
        <v>216</v>
      </c>
      <c r="I69" s="151">
        <v>25</v>
      </c>
      <c r="J69" s="243">
        <v>20</v>
      </c>
      <c r="K69" s="243">
        <v>45</v>
      </c>
      <c r="L69" s="151">
        <v>200</v>
      </c>
      <c r="M69" s="243">
        <v>454</v>
      </c>
      <c r="N69" s="243">
        <v>654</v>
      </c>
    </row>
    <row r="70" spans="1:14" x14ac:dyDescent="0.3">
      <c r="A70" s="441">
        <v>66</v>
      </c>
      <c r="B70" s="403" t="s">
        <v>195</v>
      </c>
      <c r="C70" s="151">
        <v>77</v>
      </c>
      <c r="D70" s="243">
        <v>145</v>
      </c>
      <c r="E70" s="243">
        <v>222</v>
      </c>
      <c r="F70" s="151">
        <v>7</v>
      </c>
      <c r="G70" s="243">
        <v>13</v>
      </c>
      <c r="H70" s="243">
        <v>20</v>
      </c>
      <c r="I70" s="151">
        <v>7</v>
      </c>
      <c r="J70" s="243">
        <v>12</v>
      </c>
      <c r="K70" s="243">
        <v>19</v>
      </c>
      <c r="L70" s="151">
        <v>34</v>
      </c>
      <c r="M70" s="243">
        <v>57</v>
      </c>
      <c r="N70" s="243">
        <v>91</v>
      </c>
    </row>
    <row r="71" spans="1:14" x14ac:dyDescent="0.3">
      <c r="A71" s="441">
        <v>67</v>
      </c>
      <c r="B71" s="403" t="s">
        <v>196</v>
      </c>
      <c r="C71" s="151">
        <v>100</v>
      </c>
      <c r="D71" s="243">
        <v>158</v>
      </c>
      <c r="E71" s="243">
        <v>258</v>
      </c>
      <c r="F71" s="151">
        <v>3</v>
      </c>
      <c r="G71" s="243">
        <v>22</v>
      </c>
      <c r="H71" s="243">
        <v>25</v>
      </c>
      <c r="I71" s="151">
        <v>5</v>
      </c>
      <c r="J71" s="243">
        <v>7</v>
      </c>
      <c r="K71" s="243">
        <v>12</v>
      </c>
      <c r="L71" s="151">
        <v>24</v>
      </c>
      <c r="M71" s="243">
        <v>58</v>
      </c>
      <c r="N71" s="243">
        <v>82</v>
      </c>
    </row>
    <row r="72" spans="1:14" x14ac:dyDescent="0.3">
      <c r="A72" s="441">
        <v>68</v>
      </c>
      <c r="B72" s="403" t="s">
        <v>197</v>
      </c>
      <c r="C72" s="151">
        <v>312</v>
      </c>
      <c r="D72" s="243">
        <v>595</v>
      </c>
      <c r="E72" s="243">
        <v>907</v>
      </c>
      <c r="F72" s="151">
        <v>40</v>
      </c>
      <c r="G72" s="243">
        <v>65</v>
      </c>
      <c r="H72" s="243">
        <v>105</v>
      </c>
      <c r="I72" s="151">
        <v>10</v>
      </c>
      <c r="J72" s="243">
        <v>8</v>
      </c>
      <c r="K72" s="243">
        <v>18</v>
      </c>
      <c r="L72" s="151">
        <v>141</v>
      </c>
      <c r="M72" s="243">
        <v>219</v>
      </c>
      <c r="N72" s="243">
        <v>360</v>
      </c>
    </row>
    <row r="73" spans="1:14" x14ac:dyDescent="0.3">
      <c r="A73" s="441">
        <v>69</v>
      </c>
      <c r="B73" s="403" t="s">
        <v>198</v>
      </c>
      <c r="C73" s="151">
        <v>730</v>
      </c>
      <c r="D73" s="243">
        <v>1195</v>
      </c>
      <c r="E73" s="243">
        <v>1925</v>
      </c>
      <c r="F73" s="151">
        <v>38</v>
      </c>
      <c r="G73" s="243">
        <v>86</v>
      </c>
      <c r="H73" s="243">
        <v>124</v>
      </c>
      <c r="I73" s="151">
        <v>29</v>
      </c>
      <c r="J73" s="243">
        <v>55</v>
      </c>
      <c r="K73" s="243">
        <v>84</v>
      </c>
      <c r="L73" s="151">
        <v>161</v>
      </c>
      <c r="M73" s="243">
        <v>388</v>
      </c>
      <c r="N73" s="243">
        <v>549</v>
      </c>
    </row>
    <row r="74" spans="1:14" x14ac:dyDescent="0.3">
      <c r="A74" s="441">
        <v>70</v>
      </c>
      <c r="B74" s="403" t="s">
        <v>199</v>
      </c>
      <c r="C74" s="151">
        <v>809</v>
      </c>
      <c r="D74" s="243">
        <v>722</v>
      </c>
      <c r="E74" s="243">
        <v>1531</v>
      </c>
      <c r="F74" s="151">
        <v>108</v>
      </c>
      <c r="G74" s="243">
        <v>99</v>
      </c>
      <c r="H74" s="243">
        <v>207</v>
      </c>
      <c r="I74" s="151">
        <v>46</v>
      </c>
      <c r="J74" s="243">
        <v>53</v>
      </c>
      <c r="K74" s="243">
        <v>99</v>
      </c>
      <c r="L74" s="151">
        <v>311</v>
      </c>
      <c r="M74" s="243">
        <v>202</v>
      </c>
      <c r="N74" s="243">
        <v>513</v>
      </c>
    </row>
    <row r="75" spans="1:14" x14ac:dyDescent="0.3">
      <c r="A75" s="441">
        <v>71</v>
      </c>
      <c r="B75" s="403" t="s">
        <v>200</v>
      </c>
      <c r="C75" s="151">
        <v>4274</v>
      </c>
      <c r="D75" s="243">
        <v>1571</v>
      </c>
      <c r="E75" s="243">
        <v>5845</v>
      </c>
      <c r="F75" s="151">
        <v>600</v>
      </c>
      <c r="G75" s="243">
        <v>277</v>
      </c>
      <c r="H75" s="243">
        <v>877</v>
      </c>
      <c r="I75" s="151">
        <v>245</v>
      </c>
      <c r="J75" s="243">
        <v>118</v>
      </c>
      <c r="K75" s="243">
        <v>363</v>
      </c>
      <c r="L75" s="151">
        <v>1306</v>
      </c>
      <c r="M75" s="243">
        <v>536</v>
      </c>
      <c r="N75" s="243">
        <v>1842</v>
      </c>
    </row>
    <row r="76" spans="1:14" x14ac:dyDescent="0.3">
      <c r="A76" s="441">
        <v>72</v>
      </c>
      <c r="B76" s="403" t="s">
        <v>201</v>
      </c>
      <c r="C76" s="151">
        <v>181</v>
      </c>
      <c r="D76" s="243">
        <v>44</v>
      </c>
      <c r="E76" s="243">
        <v>225</v>
      </c>
      <c r="F76" s="151">
        <v>2</v>
      </c>
      <c r="G76" s="243">
        <v>6</v>
      </c>
      <c r="H76" s="243">
        <v>8</v>
      </c>
      <c r="I76" s="151">
        <v>21</v>
      </c>
      <c r="J76" s="243">
        <v>2</v>
      </c>
      <c r="K76" s="243">
        <v>23</v>
      </c>
      <c r="L76" s="151">
        <v>51</v>
      </c>
      <c r="M76" s="243">
        <v>13</v>
      </c>
      <c r="N76" s="243">
        <v>64</v>
      </c>
    </row>
    <row r="77" spans="1:14" x14ac:dyDescent="0.3">
      <c r="A77" s="441">
        <v>73</v>
      </c>
      <c r="B77" s="403" t="s">
        <v>202</v>
      </c>
      <c r="C77" s="151">
        <v>14207</v>
      </c>
      <c r="D77" s="243">
        <v>6728</v>
      </c>
      <c r="E77" s="243">
        <v>20935</v>
      </c>
      <c r="F77" s="151">
        <v>2188</v>
      </c>
      <c r="G77" s="243">
        <v>1106</v>
      </c>
      <c r="H77" s="243">
        <v>3294</v>
      </c>
      <c r="I77" s="151">
        <v>989</v>
      </c>
      <c r="J77" s="243">
        <v>507</v>
      </c>
      <c r="K77" s="243">
        <v>1496</v>
      </c>
      <c r="L77" s="151">
        <v>4489</v>
      </c>
      <c r="M77" s="243">
        <v>2267</v>
      </c>
      <c r="N77" s="243">
        <v>6756</v>
      </c>
    </row>
    <row r="78" spans="1:14" x14ac:dyDescent="0.3">
      <c r="A78" s="441">
        <v>74</v>
      </c>
      <c r="B78" s="403" t="s">
        <v>203</v>
      </c>
      <c r="C78" s="151">
        <v>45</v>
      </c>
      <c r="D78" s="243">
        <v>66</v>
      </c>
      <c r="E78" s="243">
        <v>111</v>
      </c>
      <c r="F78" s="151">
        <v>9</v>
      </c>
      <c r="G78" s="243">
        <v>10</v>
      </c>
      <c r="H78" s="243">
        <v>19</v>
      </c>
      <c r="I78" s="151">
        <v>1</v>
      </c>
      <c r="J78" s="243">
        <v>2</v>
      </c>
      <c r="K78" s="243">
        <v>3</v>
      </c>
      <c r="L78" s="151">
        <v>10</v>
      </c>
      <c r="M78" s="243">
        <v>16</v>
      </c>
      <c r="N78" s="243">
        <v>26</v>
      </c>
    </row>
    <row r="79" spans="1:14" x14ac:dyDescent="0.3">
      <c r="A79" s="441">
        <v>75</v>
      </c>
      <c r="B79" s="403" t="s">
        <v>204</v>
      </c>
      <c r="C79" s="151">
        <v>78</v>
      </c>
      <c r="D79" s="243">
        <v>121</v>
      </c>
      <c r="E79" s="243">
        <v>199</v>
      </c>
      <c r="F79" s="151">
        <v>3</v>
      </c>
      <c r="G79" s="243">
        <v>10</v>
      </c>
      <c r="H79" s="243">
        <v>13</v>
      </c>
      <c r="I79" s="151">
        <v>6</v>
      </c>
      <c r="J79" s="243">
        <v>7</v>
      </c>
      <c r="K79" s="243">
        <v>13</v>
      </c>
      <c r="L79" s="151">
        <v>20</v>
      </c>
      <c r="M79" s="243">
        <v>47</v>
      </c>
      <c r="N79" s="243">
        <v>67</v>
      </c>
    </row>
    <row r="80" spans="1:14" x14ac:dyDescent="0.3">
      <c r="A80" s="441">
        <v>76</v>
      </c>
      <c r="B80" s="403" t="s">
        <v>205</v>
      </c>
      <c r="C80" s="151">
        <v>6236</v>
      </c>
      <c r="D80" s="243">
        <v>12055</v>
      </c>
      <c r="E80" s="243">
        <v>18291</v>
      </c>
      <c r="F80" s="151">
        <v>711</v>
      </c>
      <c r="G80" s="243">
        <v>1177</v>
      </c>
      <c r="H80" s="243">
        <v>1888</v>
      </c>
      <c r="I80" s="151">
        <v>235</v>
      </c>
      <c r="J80" s="243">
        <v>374</v>
      </c>
      <c r="K80" s="243">
        <v>609</v>
      </c>
      <c r="L80" s="151">
        <v>2050</v>
      </c>
      <c r="M80" s="243">
        <v>3603</v>
      </c>
      <c r="N80" s="243">
        <v>5653</v>
      </c>
    </row>
    <row r="81" spans="1:14" x14ac:dyDescent="0.3">
      <c r="A81" s="441">
        <v>77</v>
      </c>
      <c r="B81" s="403" t="s">
        <v>206</v>
      </c>
      <c r="C81" s="151">
        <v>59</v>
      </c>
      <c r="D81" s="243">
        <v>63</v>
      </c>
      <c r="E81" s="243">
        <v>122</v>
      </c>
      <c r="F81" s="151">
        <v>10</v>
      </c>
      <c r="G81" s="243">
        <v>5</v>
      </c>
      <c r="H81" s="243">
        <v>15</v>
      </c>
      <c r="I81" s="151">
        <v>1</v>
      </c>
      <c r="J81" s="243">
        <v>5</v>
      </c>
      <c r="K81" s="243">
        <v>6</v>
      </c>
      <c r="L81" s="151">
        <v>23</v>
      </c>
      <c r="M81" s="243">
        <v>16</v>
      </c>
      <c r="N81" s="243">
        <v>39</v>
      </c>
    </row>
    <row r="82" spans="1:14" x14ac:dyDescent="0.3">
      <c r="A82" s="441">
        <v>78</v>
      </c>
      <c r="B82" s="403" t="s">
        <v>207</v>
      </c>
      <c r="C82" s="151">
        <v>61585</v>
      </c>
      <c r="D82" s="243">
        <v>42996</v>
      </c>
      <c r="E82" s="243">
        <v>104581</v>
      </c>
      <c r="F82" s="151">
        <v>5879</v>
      </c>
      <c r="G82" s="243">
        <v>4949</v>
      </c>
      <c r="H82" s="243">
        <v>10828</v>
      </c>
      <c r="I82" s="151">
        <v>1588</v>
      </c>
      <c r="J82" s="243">
        <v>1405</v>
      </c>
      <c r="K82" s="243">
        <v>2993</v>
      </c>
      <c r="L82" s="151">
        <v>25331</v>
      </c>
      <c r="M82" s="243">
        <v>17783</v>
      </c>
      <c r="N82" s="243">
        <v>43114</v>
      </c>
    </row>
    <row r="83" spans="1:14" x14ac:dyDescent="0.3">
      <c r="A83" s="441">
        <v>79</v>
      </c>
      <c r="B83" s="403" t="s">
        <v>208</v>
      </c>
      <c r="C83" s="151">
        <v>169</v>
      </c>
      <c r="D83" s="243">
        <v>136</v>
      </c>
      <c r="E83" s="243">
        <v>305</v>
      </c>
      <c r="F83" s="151">
        <v>23</v>
      </c>
      <c r="G83" s="243">
        <v>11</v>
      </c>
      <c r="H83" s="243">
        <v>34</v>
      </c>
      <c r="I83" s="151">
        <v>6</v>
      </c>
      <c r="J83" s="243">
        <v>10</v>
      </c>
      <c r="K83" s="243">
        <v>16</v>
      </c>
      <c r="L83" s="151">
        <v>56</v>
      </c>
      <c r="M83" s="243">
        <v>41</v>
      </c>
      <c r="N83" s="243">
        <v>97</v>
      </c>
    </row>
    <row r="84" spans="1:14" x14ac:dyDescent="0.3">
      <c r="A84" s="441">
        <v>80</v>
      </c>
      <c r="B84" s="403" t="s">
        <v>209</v>
      </c>
      <c r="C84" s="151">
        <v>1289</v>
      </c>
      <c r="D84" s="243">
        <v>484</v>
      </c>
      <c r="E84" s="243">
        <v>1773</v>
      </c>
      <c r="F84" s="151">
        <v>125</v>
      </c>
      <c r="G84" s="243">
        <v>56</v>
      </c>
      <c r="H84" s="243">
        <v>181</v>
      </c>
      <c r="I84" s="151">
        <v>181</v>
      </c>
      <c r="J84" s="243">
        <v>194</v>
      </c>
      <c r="K84" s="243">
        <v>375</v>
      </c>
      <c r="L84" s="151">
        <v>631</v>
      </c>
      <c r="M84" s="243">
        <v>171</v>
      </c>
      <c r="N84" s="243">
        <v>802</v>
      </c>
    </row>
    <row r="85" spans="1:14" x14ac:dyDescent="0.3">
      <c r="A85" s="441">
        <v>81</v>
      </c>
      <c r="B85" s="403" t="s">
        <v>210</v>
      </c>
      <c r="C85" s="151">
        <v>1046</v>
      </c>
      <c r="D85" s="243">
        <v>752</v>
      </c>
      <c r="E85" s="243">
        <v>1798</v>
      </c>
      <c r="F85" s="151">
        <v>161</v>
      </c>
      <c r="G85" s="243">
        <v>95</v>
      </c>
      <c r="H85" s="243">
        <v>256</v>
      </c>
      <c r="I85" s="151">
        <v>69</v>
      </c>
      <c r="J85" s="243">
        <v>42</v>
      </c>
      <c r="K85" s="243">
        <v>111</v>
      </c>
      <c r="L85" s="151">
        <v>267</v>
      </c>
      <c r="M85" s="243">
        <v>193</v>
      </c>
      <c r="N85" s="243">
        <v>460</v>
      </c>
    </row>
    <row r="86" spans="1:14" ht="26" x14ac:dyDescent="0.3">
      <c r="A86" s="441">
        <v>82</v>
      </c>
      <c r="B86" s="403" t="s">
        <v>211</v>
      </c>
      <c r="C86" s="151">
        <v>320</v>
      </c>
      <c r="D86" s="243">
        <v>460</v>
      </c>
      <c r="E86" s="243">
        <v>780</v>
      </c>
      <c r="F86" s="151">
        <v>32</v>
      </c>
      <c r="G86" s="243">
        <v>50</v>
      </c>
      <c r="H86" s="243">
        <v>82</v>
      </c>
      <c r="I86" s="151">
        <v>5</v>
      </c>
      <c r="J86" s="243">
        <v>11</v>
      </c>
      <c r="K86" s="243">
        <v>16</v>
      </c>
      <c r="L86" s="151">
        <v>125</v>
      </c>
      <c r="M86" s="243">
        <v>279</v>
      </c>
      <c r="N86" s="243">
        <v>404</v>
      </c>
    </row>
    <row r="87" spans="1:14" x14ac:dyDescent="0.3">
      <c r="A87" s="441">
        <v>83</v>
      </c>
      <c r="B87" s="403" t="s">
        <v>212</v>
      </c>
      <c r="C87" s="151">
        <v>112</v>
      </c>
      <c r="D87" s="243">
        <v>437</v>
      </c>
      <c r="E87" s="243">
        <v>549</v>
      </c>
      <c r="F87" s="151">
        <v>28</v>
      </c>
      <c r="G87" s="243">
        <v>79</v>
      </c>
      <c r="H87" s="243">
        <v>107</v>
      </c>
      <c r="I87" s="151">
        <v>1</v>
      </c>
      <c r="J87" s="243">
        <v>3</v>
      </c>
      <c r="K87" s="243">
        <v>4</v>
      </c>
      <c r="L87" s="151">
        <v>78</v>
      </c>
      <c r="M87" s="243">
        <v>344</v>
      </c>
      <c r="N87" s="243">
        <v>422</v>
      </c>
    </row>
    <row r="88" spans="1:14" x14ac:dyDescent="0.3">
      <c r="A88" s="441">
        <v>84</v>
      </c>
      <c r="B88" s="403" t="s">
        <v>213</v>
      </c>
      <c r="C88" s="151">
        <v>129</v>
      </c>
      <c r="D88" s="243">
        <v>64</v>
      </c>
      <c r="E88" s="243">
        <v>193</v>
      </c>
      <c r="F88" s="151">
        <v>17</v>
      </c>
      <c r="G88" s="243">
        <v>15</v>
      </c>
      <c r="H88" s="243">
        <v>32</v>
      </c>
      <c r="I88" s="151">
        <v>4</v>
      </c>
      <c r="J88" s="243">
        <v>2</v>
      </c>
      <c r="K88" s="243">
        <v>6</v>
      </c>
      <c r="L88" s="151">
        <v>39</v>
      </c>
      <c r="M88" s="243">
        <v>22</v>
      </c>
      <c r="N88" s="243">
        <v>61</v>
      </c>
    </row>
    <row r="89" spans="1:14" ht="16.5" customHeight="1" x14ac:dyDescent="0.3">
      <c r="A89" s="441">
        <v>85</v>
      </c>
      <c r="B89" s="408" t="s">
        <v>214</v>
      </c>
      <c r="C89" s="151">
        <v>2788</v>
      </c>
      <c r="D89" s="243">
        <v>3375</v>
      </c>
      <c r="E89" s="243">
        <v>6163</v>
      </c>
      <c r="F89" s="151">
        <v>526</v>
      </c>
      <c r="G89" s="243">
        <v>515</v>
      </c>
      <c r="H89" s="243">
        <v>1041</v>
      </c>
      <c r="I89" s="151">
        <v>469</v>
      </c>
      <c r="J89" s="243">
        <v>555</v>
      </c>
      <c r="K89" s="243">
        <v>1024</v>
      </c>
      <c r="L89" s="151">
        <v>990</v>
      </c>
      <c r="M89" s="243">
        <v>1246</v>
      </c>
      <c r="N89" s="243">
        <v>2236</v>
      </c>
    </row>
    <row r="90" spans="1:14" x14ac:dyDescent="0.3">
      <c r="A90" s="441">
        <v>86</v>
      </c>
      <c r="B90" s="403" t="s">
        <v>215</v>
      </c>
      <c r="C90" s="151">
        <v>21</v>
      </c>
      <c r="D90" s="243">
        <v>25</v>
      </c>
      <c r="E90" s="243">
        <v>46</v>
      </c>
      <c r="F90" s="151">
        <v>1</v>
      </c>
      <c r="G90" s="243">
        <v>2</v>
      </c>
      <c r="H90" s="243">
        <v>3</v>
      </c>
      <c r="I90" s="151">
        <v>1</v>
      </c>
      <c r="J90" s="243"/>
      <c r="K90" s="243">
        <v>1</v>
      </c>
      <c r="L90" s="151">
        <v>15</v>
      </c>
      <c r="M90" s="243">
        <v>9</v>
      </c>
      <c r="N90" s="243">
        <v>24</v>
      </c>
    </row>
    <row r="91" spans="1:14" x14ac:dyDescent="0.3">
      <c r="A91" s="441">
        <v>87</v>
      </c>
      <c r="B91" s="403" t="s">
        <v>941</v>
      </c>
      <c r="C91" s="151">
        <v>181</v>
      </c>
      <c r="D91" s="243">
        <v>124</v>
      </c>
      <c r="E91" s="243">
        <v>305</v>
      </c>
      <c r="F91" s="151">
        <v>16</v>
      </c>
      <c r="G91" s="243">
        <v>10</v>
      </c>
      <c r="H91" s="243">
        <v>26</v>
      </c>
      <c r="I91" s="151">
        <v>5</v>
      </c>
      <c r="J91" s="243">
        <v>6</v>
      </c>
      <c r="K91" s="243">
        <v>11</v>
      </c>
      <c r="L91" s="151">
        <v>63</v>
      </c>
      <c r="M91" s="243">
        <v>46</v>
      </c>
      <c r="N91" s="243">
        <v>109</v>
      </c>
    </row>
    <row r="92" spans="1:14" x14ac:dyDescent="0.3">
      <c r="A92" s="441">
        <v>88</v>
      </c>
      <c r="B92" s="403" t="s">
        <v>217</v>
      </c>
      <c r="C92" s="151">
        <v>205</v>
      </c>
      <c r="D92" s="243">
        <v>182</v>
      </c>
      <c r="E92" s="243">
        <v>387</v>
      </c>
      <c r="F92" s="151">
        <v>16</v>
      </c>
      <c r="G92" s="243">
        <v>10</v>
      </c>
      <c r="H92" s="243">
        <v>26</v>
      </c>
      <c r="I92" s="151">
        <v>8</v>
      </c>
      <c r="J92" s="243">
        <v>5</v>
      </c>
      <c r="K92" s="243">
        <v>13</v>
      </c>
      <c r="L92" s="151">
        <v>52</v>
      </c>
      <c r="M92" s="243">
        <v>52</v>
      </c>
      <c r="N92" s="243">
        <v>104</v>
      </c>
    </row>
    <row r="93" spans="1:14" x14ac:dyDescent="0.3">
      <c r="A93" s="441">
        <v>89</v>
      </c>
      <c r="B93" s="403" t="s">
        <v>218</v>
      </c>
      <c r="C93" s="151">
        <v>203</v>
      </c>
      <c r="D93" s="243">
        <v>184</v>
      </c>
      <c r="E93" s="243">
        <v>387</v>
      </c>
      <c r="F93" s="151">
        <v>18</v>
      </c>
      <c r="G93" s="243">
        <v>14</v>
      </c>
      <c r="H93" s="243">
        <v>32</v>
      </c>
      <c r="I93" s="151">
        <v>2</v>
      </c>
      <c r="J93" s="243">
        <v>5</v>
      </c>
      <c r="K93" s="243">
        <v>7</v>
      </c>
      <c r="L93" s="151">
        <v>68</v>
      </c>
      <c r="M93" s="243">
        <v>50</v>
      </c>
      <c r="N93" s="243">
        <v>118</v>
      </c>
    </row>
    <row r="94" spans="1:14" x14ac:dyDescent="0.3">
      <c r="A94" s="441">
        <v>90</v>
      </c>
      <c r="B94" s="403" t="s">
        <v>220</v>
      </c>
      <c r="C94" s="151">
        <v>9546</v>
      </c>
      <c r="D94" s="243">
        <v>10540</v>
      </c>
      <c r="E94" s="243">
        <v>20086</v>
      </c>
      <c r="F94" s="151">
        <v>1731</v>
      </c>
      <c r="G94" s="243">
        <v>1702</v>
      </c>
      <c r="H94" s="243">
        <v>3433</v>
      </c>
      <c r="I94" s="151">
        <v>1457</v>
      </c>
      <c r="J94" s="243">
        <v>1396</v>
      </c>
      <c r="K94" s="243">
        <v>2853</v>
      </c>
      <c r="L94" s="151">
        <v>4106</v>
      </c>
      <c r="M94" s="243">
        <v>4623</v>
      </c>
      <c r="N94" s="243">
        <v>8729</v>
      </c>
    </row>
    <row r="95" spans="1:14" x14ac:dyDescent="0.3">
      <c r="A95" s="441">
        <v>91</v>
      </c>
      <c r="B95" s="403" t="s">
        <v>221</v>
      </c>
      <c r="C95" s="151">
        <v>463</v>
      </c>
      <c r="D95" s="243">
        <v>139</v>
      </c>
      <c r="E95" s="243">
        <v>602</v>
      </c>
      <c r="F95" s="151">
        <v>37</v>
      </c>
      <c r="G95" s="243">
        <v>10</v>
      </c>
      <c r="H95" s="243">
        <v>47</v>
      </c>
      <c r="I95" s="151">
        <v>18</v>
      </c>
      <c r="J95" s="243">
        <v>2</v>
      </c>
      <c r="K95" s="243">
        <v>20</v>
      </c>
      <c r="L95" s="151">
        <v>83</v>
      </c>
      <c r="M95" s="243">
        <v>17</v>
      </c>
      <c r="N95" s="243">
        <v>100</v>
      </c>
    </row>
    <row r="96" spans="1:14" x14ac:dyDescent="0.3">
      <c r="A96" s="441">
        <v>92</v>
      </c>
      <c r="B96" s="403" t="s">
        <v>222</v>
      </c>
      <c r="C96" s="151">
        <v>50</v>
      </c>
      <c r="D96" s="243">
        <v>37</v>
      </c>
      <c r="E96" s="243">
        <v>87</v>
      </c>
      <c r="F96" s="151">
        <v>1</v>
      </c>
      <c r="G96" s="243">
        <v>1</v>
      </c>
      <c r="H96" s="243">
        <v>2</v>
      </c>
      <c r="I96" s="151">
        <v>1</v>
      </c>
      <c r="J96" s="243"/>
      <c r="K96" s="243">
        <v>1</v>
      </c>
      <c r="L96" s="151">
        <v>6</v>
      </c>
      <c r="M96" s="243">
        <v>5</v>
      </c>
      <c r="N96" s="243">
        <v>11</v>
      </c>
    </row>
    <row r="97" spans="1:14" ht="15.75" customHeight="1" x14ac:dyDescent="0.3">
      <c r="A97" s="441">
        <v>93</v>
      </c>
      <c r="B97" s="408" t="s">
        <v>223</v>
      </c>
      <c r="C97" s="151">
        <v>1</v>
      </c>
      <c r="D97" s="243"/>
      <c r="E97" s="243">
        <v>1</v>
      </c>
      <c r="F97" s="151">
        <v>1</v>
      </c>
      <c r="G97" s="243"/>
      <c r="H97" s="243">
        <v>1</v>
      </c>
      <c r="I97" s="151"/>
      <c r="J97" s="243"/>
      <c r="K97" s="243"/>
      <c r="L97" s="151"/>
      <c r="M97" s="243"/>
      <c r="N97" s="243"/>
    </row>
    <row r="98" spans="1:14" x14ac:dyDescent="0.3">
      <c r="A98" s="441">
        <v>94</v>
      </c>
      <c r="B98" s="403" t="s">
        <v>224</v>
      </c>
      <c r="C98" s="151">
        <v>82841</v>
      </c>
      <c r="D98" s="243">
        <v>72001</v>
      </c>
      <c r="E98" s="243">
        <v>154842</v>
      </c>
      <c r="F98" s="151">
        <v>10275</v>
      </c>
      <c r="G98" s="243">
        <v>7896</v>
      </c>
      <c r="H98" s="243">
        <v>18171</v>
      </c>
      <c r="I98" s="151">
        <v>4251</v>
      </c>
      <c r="J98" s="243">
        <v>4174</v>
      </c>
      <c r="K98" s="243">
        <v>8425</v>
      </c>
      <c r="L98" s="151">
        <v>32822</v>
      </c>
      <c r="M98" s="243">
        <v>25950</v>
      </c>
      <c r="N98" s="243">
        <v>58772</v>
      </c>
    </row>
    <row r="99" spans="1:14" x14ac:dyDescent="0.3">
      <c r="A99" s="441">
        <v>95</v>
      </c>
      <c r="B99" s="403" t="s">
        <v>225</v>
      </c>
      <c r="C99" s="151">
        <v>21613</v>
      </c>
      <c r="D99" s="243">
        <v>70750</v>
      </c>
      <c r="E99" s="243">
        <v>92363</v>
      </c>
      <c r="F99" s="151">
        <v>3607</v>
      </c>
      <c r="G99" s="243">
        <v>12396</v>
      </c>
      <c r="H99" s="243">
        <v>16003</v>
      </c>
      <c r="I99" s="151">
        <v>1514</v>
      </c>
      <c r="J99" s="243">
        <v>5616</v>
      </c>
      <c r="K99" s="243">
        <v>7130</v>
      </c>
      <c r="L99" s="151">
        <v>7952</v>
      </c>
      <c r="M99" s="243">
        <v>22301</v>
      </c>
      <c r="N99" s="243">
        <v>30253</v>
      </c>
    </row>
    <row r="100" spans="1:14" x14ac:dyDescent="0.3">
      <c r="A100" s="441">
        <v>96</v>
      </c>
      <c r="B100" s="403" t="s">
        <v>226</v>
      </c>
      <c r="C100" s="151">
        <v>3318</v>
      </c>
      <c r="D100" s="243">
        <v>14859</v>
      </c>
      <c r="E100" s="243">
        <v>18177</v>
      </c>
      <c r="F100" s="151">
        <v>585</v>
      </c>
      <c r="G100" s="243">
        <v>2640</v>
      </c>
      <c r="H100" s="243">
        <v>3225</v>
      </c>
      <c r="I100" s="151">
        <v>274</v>
      </c>
      <c r="J100" s="243">
        <v>1240</v>
      </c>
      <c r="K100" s="243">
        <v>1514</v>
      </c>
      <c r="L100" s="151">
        <v>935</v>
      </c>
      <c r="M100" s="243">
        <v>3680</v>
      </c>
      <c r="N100" s="243">
        <v>4615</v>
      </c>
    </row>
    <row r="101" spans="1:14" x14ac:dyDescent="0.3">
      <c r="A101" s="441">
        <v>97</v>
      </c>
      <c r="B101" s="403" t="s">
        <v>227</v>
      </c>
      <c r="C101" s="151">
        <v>9</v>
      </c>
      <c r="D101" s="243">
        <v>2</v>
      </c>
      <c r="E101" s="243">
        <v>11</v>
      </c>
      <c r="F101" s="151"/>
      <c r="G101" s="243"/>
      <c r="H101" s="243"/>
      <c r="I101" s="151"/>
      <c r="J101" s="243"/>
      <c r="K101" s="243"/>
      <c r="L101" s="151">
        <v>2</v>
      </c>
      <c r="M101" s="243"/>
      <c r="N101" s="243">
        <v>2</v>
      </c>
    </row>
    <row r="102" spans="1:14" x14ac:dyDescent="0.3">
      <c r="A102" s="441">
        <v>98</v>
      </c>
      <c r="B102" s="403" t="s">
        <v>228</v>
      </c>
      <c r="C102" s="151">
        <v>297</v>
      </c>
      <c r="D102" s="243">
        <v>107</v>
      </c>
      <c r="E102" s="243">
        <v>404</v>
      </c>
      <c r="F102" s="151">
        <v>35</v>
      </c>
      <c r="G102" s="243">
        <v>12</v>
      </c>
      <c r="H102" s="243">
        <v>47</v>
      </c>
      <c r="I102" s="151">
        <v>13</v>
      </c>
      <c r="J102" s="243">
        <v>8</v>
      </c>
      <c r="K102" s="243">
        <v>21</v>
      </c>
      <c r="L102" s="151">
        <v>153</v>
      </c>
      <c r="M102" s="243">
        <v>26</v>
      </c>
      <c r="N102" s="243">
        <v>179</v>
      </c>
    </row>
    <row r="103" spans="1:14" x14ac:dyDescent="0.3">
      <c r="A103" s="441">
        <v>99</v>
      </c>
      <c r="B103" s="403" t="s">
        <v>229</v>
      </c>
      <c r="C103" s="151">
        <v>524394</v>
      </c>
      <c r="D103" s="243">
        <v>626376</v>
      </c>
      <c r="E103" s="243">
        <v>1150770</v>
      </c>
      <c r="F103" s="151">
        <v>77352</v>
      </c>
      <c r="G103" s="243">
        <v>87363</v>
      </c>
      <c r="H103" s="243">
        <v>164715</v>
      </c>
      <c r="I103" s="151">
        <v>25589</v>
      </c>
      <c r="J103" s="243">
        <v>32076</v>
      </c>
      <c r="K103" s="243">
        <v>57665</v>
      </c>
      <c r="L103" s="151">
        <v>236196</v>
      </c>
      <c r="M103" s="243">
        <v>300567</v>
      </c>
      <c r="N103" s="243">
        <v>536763</v>
      </c>
    </row>
    <row r="104" spans="1:14" x14ac:dyDescent="0.3">
      <c r="A104" s="441">
        <v>100</v>
      </c>
      <c r="B104" s="403" t="s">
        <v>230</v>
      </c>
      <c r="C104" s="151">
        <v>282</v>
      </c>
      <c r="D104" s="243">
        <v>283</v>
      </c>
      <c r="E104" s="243">
        <v>565</v>
      </c>
      <c r="F104" s="151">
        <v>47</v>
      </c>
      <c r="G104" s="243">
        <v>30</v>
      </c>
      <c r="H104" s="243">
        <v>77</v>
      </c>
      <c r="I104" s="151">
        <v>28</v>
      </c>
      <c r="J104" s="243">
        <v>20</v>
      </c>
      <c r="K104" s="243">
        <v>48</v>
      </c>
      <c r="L104" s="151">
        <v>127</v>
      </c>
      <c r="M104" s="243">
        <v>127</v>
      </c>
      <c r="N104" s="243">
        <v>254</v>
      </c>
    </row>
    <row r="105" spans="1:14" x14ac:dyDescent="0.3">
      <c r="A105" s="441">
        <v>101</v>
      </c>
      <c r="B105" s="403" t="s">
        <v>231</v>
      </c>
      <c r="C105" s="151">
        <v>375645</v>
      </c>
      <c r="D105" s="243">
        <v>157068</v>
      </c>
      <c r="E105" s="243">
        <v>532713</v>
      </c>
      <c r="F105" s="151">
        <v>35235</v>
      </c>
      <c r="G105" s="243">
        <v>15849</v>
      </c>
      <c r="H105" s="243">
        <v>51084</v>
      </c>
      <c r="I105" s="151">
        <v>12188</v>
      </c>
      <c r="J105" s="243">
        <v>5074</v>
      </c>
      <c r="K105" s="243">
        <v>17262</v>
      </c>
      <c r="L105" s="151">
        <v>123563</v>
      </c>
      <c r="M105" s="243">
        <v>55975</v>
      </c>
      <c r="N105" s="243">
        <v>179538</v>
      </c>
    </row>
    <row r="106" spans="1:14" x14ac:dyDescent="0.3">
      <c r="A106" s="441">
        <v>102</v>
      </c>
      <c r="B106" s="403" t="s">
        <v>232</v>
      </c>
      <c r="C106" s="151">
        <v>2353</v>
      </c>
      <c r="D106" s="243">
        <v>755</v>
      </c>
      <c r="E106" s="243">
        <v>3108</v>
      </c>
      <c r="F106" s="151">
        <v>243</v>
      </c>
      <c r="G106" s="243">
        <v>77</v>
      </c>
      <c r="H106" s="243">
        <v>320</v>
      </c>
      <c r="I106" s="151">
        <v>135</v>
      </c>
      <c r="J106" s="243">
        <v>28</v>
      </c>
      <c r="K106" s="243">
        <v>163</v>
      </c>
      <c r="L106" s="151">
        <v>732</v>
      </c>
      <c r="M106" s="243">
        <v>225</v>
      </c>
      <c r="N106" s="243">
        <v>957</v>
      </c>
    </row>
    <row r="107" spans="1:14" x14ac:dyDescent="0.3">
      <c r="A107" s="441">
        <v>103</v>
      </c>
      <c r="B107" s="403" t="s">
        <v>233</v>
      </c>
      <c r="C107" s="151">
        <v>1035</v>
      </c>
      <c r="D107" s="243">
        <v>1073</v>
      </c>
      <c r="E107" s="243">
        <v>2108</v>
      </c>
      <c r="F107" s="151">
        <v>10</v>
      </c>
      <c r="G107" s="243">
        <v>6</v>
      </c>
      <c r="H107" s="243">
        <v>16</v>
      </c>
      <c r="I107" s="151">
        <v>1</v>
      </c>
      <c r="J107" s="243">
        <v>2</v>
      </c>
      <c r="K107" s="243">
        <v>3</v>
      </c>
      <c r="L107" s="151">
        <v>386</v>
      </c>
      <c r="M107" s="243">
        <v>361</v>
      </c>
      <c r="N107" s="243">
        <v>747</v>
      </c>
    </row>
    <row r="108" spans="1:14" x14ac:dyDescent="0.3">
      <c r="A108" s="441">
        <v>104</v>
      </c>
      <c r="B108" s="403" t="s">
        <v>234</v>
      </c>
      <c r="C108" s="151">
        <v>237</v>
      </c>
      <c r="D108" s="243">
        <v>235</v>
      </c>
      <c r="E108" s="243">
        <v>472</v>
      </c>
      <c r="F108" s="151">
        <v>27</v>
      </c>
      <c r="G108" s="243">
        <v>11</v>
      </c>
      <c r="H108" s="243">
        <v>38</v>
      </c>
      <c r="I108" s="151">
        <v>11</v>
      </c>
      <c r="J108" s="243">
        <v>5</v>
      </c>
      <c r="K108" s="243">
        <v>16</v>
      </c>
      <c r="L108" s="151">
        <v>82</v>
      </c>
      <c r="M108" s="243">
        <v>52</v>
      </c>
      <c r="N108" s="243">
        <v>134</v>
      </c>
    </row>
    <row r="109" spans="1:14" x14ac:dyDescent="0.3">
      <c r="A109" s="441">
        <v>105</v>
      </c>
      <c r="B109" s="403" t="s">
        <v>235</v>
      </c>
      <c r="C109" s="151">
        <v>2294</v>
      </c>
      <c r="D109" s="243">
        <v>1421</v>
      </c>
      <c r="E109" s="243">
        <v>3715</v>
      </c>
      <c r="F109" s="151">
        <v>321</v>
      </c>
      <c r="G109" s="243">
        <v>189</v>
      </c>
      <c r="H109" s="243">
        <v>510</v>
      </c>
      <c r="I109" s="151">
        <v>166</v>
      </c>
      <c r="J109" s="243">
        <v>152</v>
      </c>
      <c r="K109" s="243">
        <v>318</v>
      </c>
      <c r="L109" s="151">
        <v>949</v>
      </c>
      <c r="M109" s="243">
        <v>546</v>
      </c>
      <c r="N109" s="243">
        <v>1495</v>
      </c>
    </row>
    <row r="110" spans="1:14" x14ac:dyDescent="0.3">
      <c r="A110" s="441">
        <v>106</v>
      </c>
      <c r="B110" s="403" t="s">
        <v>236</v>
      </c>
      <c r="C110" s="151">
        <v>494</v>
      </c>
      <c r="D110" s="243">
        <v>283</v>
      </c>
      <c r="E110" s="243">
        <v>777</v>
      </c>
      <c r="F110" s="151">
        <v>56</v>
      </c>
      <c r="G110" s="243">
        <v>45</v>
      </c>
      <c r="H110" s="243">
        <v>101</v>
      </c>
      <c r="I110" s="151">
        <v>42</v>
      </c>
      <c r="J110" s="243">
        <v>37</v>
      </c>
      <c r="K110" s="243">
        <v>79</v>
      </c>
      <c r="L110" s="151">
        <v>199</v>
      </c>
      <c r="M110" s="243">
        <v>102</v>
      </c>
      <c r="N110" s="243">
        <v>301</v>
      </c>
    </row>
    <row r="111" spans="1:14" x14ac:dyDescent="0.3">
      <c r="A111" s="441">
        <v>107</v>
      </c>
      <c r="B111" s="403" t="s">
        <v>237</v>
      </c>
      <c r="C111" s="151">
        <v>7863</v>
      </c>
      <c r="D111" s="243">
        <v>7331</v>
      </c>
      <c r="E111" s="243">
        <v>15194</v>
      </c>
      <c r="F111" s="151">
        <v>797</v>
      </c>
      <c r="G111" s="243">
        <v>757</v>
      </c>
      <c r="H111" s="243">
        <v>1554</v>
      </c>
      <c r="I111" s="151">
        <v>276</v>
      </c>
      <c r="J111" s="243">
        <v>272</v>
      </c>
      <c r="K111" s="243">
        <v>548</v>
      </c>
      <c r="L111" s="151">
        <v>2523</v>
      </c>
      <c r="M111" s="243">
        <v>2421</v>
      </c>
      <c r="N111" s="243">
        <v>4944</v>
      </c>
    </row>
    <row r="112" spans="1:14" x14ac:dyDescent="0.3">
      <c r="A112" s="441">
        <v>108</v>
      </c>
      <c r="B112" s="403" t="s">
        <v>238</v>
      </c>
      <c r="C112" s="151">
        <v>210</v>
      </c>
      <c r="D112" s="243">
        <v>129</v>
      </c>
      <c r="E112" s="243">
        <v>339</v>
      </c>
      <c r="F112" s="151">
        <v>38</v>
      </c>
      <c r="G112" s="243">
        <v>18</v>
      </c>
      <c r="H112" s="243">
        <v>56</v>
      </c>
      <c r="I112" s="151">
        <v>10</v>
      </c>
      <c r="J112" s="243">
        <v>9</v>
      </c>
      <c r="K112" s="243">
        <v>19</v>
      </c>
      <c r="L112" s="151">
        <v>84</v>
      </c>
      <c r="M112" s="243">
        <v>41</v>
      </c>
      <c r="N112" s="243">
        <v>125</v>
      </c>
    </row>
    <row r="113" spans="1:14" x14ac:dyDescent="0.3">
      <c r="A113" s="441">
        <v>109</v>
      </c>
      <c r="B113" s="403" t="s">
        <v>239</v>
      </c>
      <c r="C113" s="151">
        <v>16</v>
      </c>
      <c r="D113" s="243">
        <v>196</v>
      </c>
      <c r="E113" s="243">
        <v>212</v>
      </c>
      <c r="F113" s="151">
        <v>1</v>
      </c>
      <c r="G113" s="243">
        <v>106</v>
      </c>
      <c r="H113" s="243">
        <v>107</v>
      </c>
      <c r="I113" s="151"/>
      <c r="J113" s="243">
        <v>6</v>
      </c>
      <c r="K113" s="243">
        <v>6</v>
      </c>
      <c r="L113" s="151">
        <v>5</v>
      </c>
      <c r="M113" s="243">
        <v>43</v>
      </c>
      <c r="N113" s="243">
        <v>48</v>
      </c>
    </row>
    <row r="114" spans="1:14" x14ac:dyDescent="0.3">
      <c r="A114" s="441">
        <v>110</v>
      </c>
      <c r="B114" s="403" t="s">
        <v>240</v>
      </c>
      <c r="C114" s="151">
        <v>9</v>
      </c>
      <c r="D114" s="243">
        <v>13</v>
      </c>
      <c r="E114" s="243">
        <v>22</v>
      </c>
      <c r="F114" s="151">
        <v>2</v>
      </c>
      <c r="G114" s="243">
        <v>2</v>
      </c>
      <c r="H114" s="243">
        <v>4</v>
      </c>
      <c r="I114" s="151">
        <v>1</v>
      </c>
      <c r="J114" s="243">
        <v>1</v>
      </c>
      <c r="K114" s="243">
        <v>2</v>
      </c>
      <c r="L114" s="151">
        <v>3</v>
      </c>
      <c r="M114" s="243">
        <v>6</v>
      </c>
      <c r="N114" s="243">
        <v>9</v>
      </c>
    </row>
    <row r="115" spans="1:14" ht="26" x14ac:dyDescent="0.3">
      <c r="A115" s="441">
        <v>111</v>
      </c>
      <c r="B115" s="403" t="s">
        <v>242</v>
      </c>
      <c r="C115" s="151">
        <v>61</v>
      </c>
      <c r="D115" s="243">
        <v>44</v>
      </c>
      <c r="E115" s="243">
        <v>105</v>
      </c>
      <c r="F115" s="151">
        <v>2</v>
      </c>
      <c r="G115" s="243">
        <v>1</v>
      </c>
      <c r="H115" s="243">
        <v>3</v>
      </c>
      <c r="I115" s="151"/>
      <c r="J115" s="243"/>
      <c r="K115" s="243"/>
      <c r="L115" s="151">
        <v>5</v>
      </c>
      <c r="M115" s="243">
        <v>5</v>
      </c>
      <c r="N115" s="243">
        <v>10</v>
      </c>
    </row>
    <row r="116" spans="1:14" x14ac:dyDescent="0.3">
      <c r="A116" s="441">
        <v>112</v>
      </c>
      <c r="B116" s="403" t="s">
        <v>243</v>
      </c>
      <c r="C116" s="151">
        <v>28</v>
      </c>
      <c r="D116" s="243">
        <v>6</v>
      </c>
      <c r="E116" s="243">
        <v>34</v>
      </c>
      <c r="F116" s="151">
        <v>4</v>
      </c>
      <c r="G116" s="243">
        <v>1</v>
      </c>
      <c r="H116" s="243">
        <v>5</v>
      </c>
      <c r="I116" s="151">
        <v>2</v>
      </c>
      <c r="J116" s="243">
        <v>1</v>
      </c>
      <c r="K116" s="243">
        <v>3</v>
      </c>
      <c r="L116" s="151">
        <v>2</v>
      </c>
      <c r="M116" s="243"/>
      <c r="N116" s="243">
        <v>2</v>
      </c>
    </row>
    <row r="117" spans="1:14" x14ac:dyDescent="0.3">
      <c r="A117" s="441">
        <v>113</v>
      </c>
      <c r="B117" s="403" t="s">
        <v>244</v>
      </c>
      <c r="C117" s="151">
        <v>61</v>
      </c>
      <c r="D117" s="243">
        <v>76</v>
      </c>
      <c r="E117" s="243">
        <v>137</v>
      </c>
      <c r="F117" s="151">
        <v>22</v>
      </c>
      <c r="G117" s="243">
        <v>15</v>
      </c>
      <c r="H117" s="243">
        <v>37</v>
      </c>
      <c r="I117" s="151"/>
      <c r="J117" s="243">
        <v>2</v>
      </c>
      <c r="K117" s="243">
        <v>2</v>
      </c>
      <c r="L117" s="151">
        <v>7</v>
      </c>
      <c r="M117" s="243">
        <v>10</v>
      </c>
      <c r="N117" s="243">
        <v>17</v>
      </c>
    </row>
    <row r="118" spans="1:14" x14ac:dyDescent="0.3">
      <c r="A118" s="441">
        <v>114</v>
      </c>
      <c r="B118" s="403" t="s">
        <v>245</v>
      </c>
      <c r="C118" s="151">
        <v>40113</v>
      </c>
      <c r="D118" s="243">
        <v>43912</v>
      </c>
      <c r="E118" s="243">
        <v>84025</v>
      </c>
      <c r="F118" s="151">
        <v>4680</v>
      </c>
      <c r="G118" s="243">
        <v>5949</v>
      </c>
      <c r="H118" s="243">
        <v>10629</v>
      </c>
      <c r="I118" s="151">
        <v>2598</v>
      </c>
      <c r="J118" s="243">
        <v>3049</v>
      </c>
      <c r="K118" s="243">
        <v>5647</v>
      </c>
      <c r="L118" s="151">
        <v>12494</v>
      </c>
      <c r="M118" s="243">
        <v>15429</v>
      </c>
      <c r="N118" s="243">
        <v>27923</v>
      </c>
    </row>
    <row r="119" spans="1:14" x14ac:dyDescent="0.3">
      <c r="A119" s="441">
        <v>115</v>
      </c>
      <c r="B119" s="403" t="s">
        <v>246</v>
      </c>
      <c r="C119" s="151">
        <v>33533</v>
      </c>
      <c r="D119" s="243">
        <v>45651</v>
      </c>
      <c r="E119" s="243">
        <v>79184</v>
      </c>
      <c r="F119" s="151">
        <v>5173</v>
      </c>
      <c r="G119" s="243">
        <v>6780</v>
      </c>
      <c r="H119" s="243">
        <v>11953</v>
      </c>
      <c r="I119" s="151">
        <v>3081</v>
      </c>
      <c r="J119" s="243">
        <v>3825</v>
      </c>
      <c r="K119" s="243">
        <v>6906</v>
      </c>
      <c r="L119" s="151">
        <v>11659</v>
      </c>
      <c r="M119" s="243">
        <v>15609</v>
      </c>
      <c r="N119" s="243">
        <v>27268</v>
      </c>
    </row>
    <row r="120" spans="1:14" x14ac:dyDescent="0.3">
      <c r="A120" s="441">
        <v>116</v>
      </c>
      <c r="B120" s="403" t="s">
        <v>247</v>
      </c>
      <c r="C120" s="151">
        <v>36665</v>
      </c>
      <c r="D120" s="243">
        <v>52568</v>
      </c>
      <c r="E120" s="243">
        <v>89233</v>
      </c>
      <c r="F120" s="151">
        <v>7356</v>
      </c>
      <c r="G120" s="243">
        <v>9387</v>
      </c>
      <c r="H120" s="243">
        <v>16743</v>
      </c>
      <c r="I120" s="151">
        <v>2574</v>
      </c>
      <c r="J120" s="243">
        <v>4353</v>
      </c>
      <c r="K120" s="243">
        <v>6927</v>
      </c>
      <c r="L120" s="151">
        <v>14890</v>
      </c>
      <c r="M120" s="243">
        <v>21092</v>
      </c>
      <c r="N120" s="243">
        <v>35982</v>
      </c>
    </row>
    <row r="121" spans="1:14" x14ac:dyDescent="0.3">
      <c r="A121" s="441">
        <v>117</v>
      </c>
      <c r="B121" s="403" t="s">
        <v>248</v>
      </c>
      <c r="C121" s="151">
        <v>1</v>
      </c>
      <c r="D121" s="243"/>
      <c r="E121" s="243">
        <v>1</v>
      </c>
      <c r="F121" s="151"/>
      <c r="G121" s="243"/>
      <c r="H121" s="243"/>
      <c r="I121" s="151"/>
      <c r="J121" s="243"/>
      <c r="K121" s="243"/>
      <c r="L121" s="151"/>
      <c r="M121" s="243"/>
      <c r="N121" s="243"/>
    </row>
    <row r="122" spans="1:14" x14ac:dyDescent="0.3">
      <c r="A122" s="441">
        <v>118</v>
      </c>
      <c r="B122" s="403" t="s">
        <v>249</v>
      </c>
      <c r="C122" s="151">
        <v>56</v>
      </c>
      <c r="D122" s="243">
        <v>37</v>
      </c>
      <c r="E122" s="243">
        <v>93</v>
      </c>
      <c r="F122" s="151">
        <v>6</v>
      </c>
      <c r="G122" s="243">
        <v>8</v>
      </c>
      <c r="H122" s="243">
        <v>14</v>
      </c>
      <c r="I122" s="151">
        <v>3</v>
      </c>
      <c r="J122" s="243">
        <v>3</v>
      </c>
      <c r="K122" s="243">
        <v>6</v>
      </c>
      <c r="L122" s="151">
        <v>16</v>
      </c>
      <c r="M122" s="243">
        <v>11</v>
      </c>
      <c r="N122" s="243">
        <v>27</v>
      </c>
    </row>
    <row r="123" spans="1:14" x14ac:dyDescent="0.3">
      <c r="A123" s="441">
        <v>119</v>
      </c>
      <c r="B123" s="403" t="s">
        <v>250</v>
      </c>
      <c r="C123" s="151">
        <v>380</v>
      </c>
      <c r="D123" s="243">
        <v>129</v>
      </c>
      <c r="E123" s="243">
        <v>509</v>
      </c>
      <c r="F123" s="151">
        <v>5</v>
      </c>
      <c r="G123" s="243">
        <v>3</v>
      </c>
      <c r="H123" s="243">
        <v>8</v>
      </c>
      <c r="I123" s="151">
        <v>2</v>
      </c>
      <c r="J123" s="243"/>
      <c r="K123" s="243">
        <v>2</v>
      </c>
      <c r="L123" s="151">
        <v>54</v>
      </c>
      <c r="M123" s="243">
        <v>27</v>
      </c>
      <c r="N123" s="243">
        <v>81</v>
      </c>
    </row>
    <row r="124" spans="1:14" x14ac:dyDescent="0.3">
      <c r="A124" s="441">
        <v>120</v>
      </c>
      <c r="B124" s="403" t="s">
        <v>251</v>
      </c>
      <c r="C124" s="151">
        <v>2489</v>
      </c>
      <c r="D124" s="243">
        <v>2243</v>
      </c>
      <c r="E124" s="243">
        <v>4732</v>
      </c>
      <c r="F124" s="151">
        <v>421</v>
      </c>
      <c r="G124" s="243">
        <v>314</v>
      </c>
      <c r="H124" s="243">
        <v>735</v>
      </c>
      <c r="I124" s="151">
        <v>228</v>
      </c>
      <c r="J124" s="243">
        <v>268</v>
      </c>
      <c r="K124" s="243">
        <v>496</v>
      </c>
      <c r="L124" s="151">
        <v>931</v>
      </c>
      <c r="M124" s="243">
        <v>849</v>
      </c>
      <c r="N124" s="243">
        <v>1780</v>
      </c>
    </row>
    <row r="125" spans="1:14" x14ac:dyDescent="0.3">
      <c r="A125" s="441">
        <v>121</v>
      </c>
      <c r="B125" s="403" t="s">
        <v>252</v>
      </c>
      <c r="C125" s="151">
        <v>40</v>
      </c>
      <c r="D125" s="243">
        <v>28</v>
      </c>
      <c r="E125" s="243">
        <v>68</v>
      </c>
      <c r="F125" s="151">
        <v>5</v>
      </c>
      <c r="G125" s="243">
        <v>6</v>
      </c>
      <c r="H125" s="243">
        <v>11</v>
      </c>
      <c r="I125" s="151"/>
      <c r="J125" s="243"/>
      <c r="K125" s="243"/>
      <c r="L125" s="151">
        <v>18</v>
      </c>
      <c r="M125" s="243">
        <v>12</v>
      </c>
      <c r="N125" s="243">
        <v>30</v>
      </c>
    </row>
    <row r="126" spans="1:14" x14ac:dyDescent="0.3">
      <c r="A126" s="441">
        <v>122</v>
      </c>
      <c r="B126" s="403" t="s">
        <v>253</v>
      </c>
      <c r="C126" s="151">
        <v>3</v>
      </c>
      <c r="D126" s="243">
        <v>2</v>
      </c>
      <c r="E126" s="243">
        <v>5</v>
      </c>
      <c r="F126" s="151"/>
      <c r="G126" s="243"/>
      <c r="H126" s="243"/>
      <c r="I126" s="151"/>
      <c r="J126" s="243"/>
      <c r="K126" s="243"/>
      <c r="L126" s="151"/>
      <c r="M126" s="243"/>
      <c r="N126" s="243"/>
    </row>
    <row r="127" spans="1:14" x14ac:dyDescent="0.3">
      <c r="A127" s="441">
        <v>123</v>
      </c>
      <c r="B127" s="403" t="s">
        <v>254</v>
      </c>
      <c r="C127" s="151">
        <v>482</v>
      </c>
      <c r="D127" s="243">
        <v>380</v>
      </c>
      <c r="E127" s="243">
        <v>862</v>
      </c>
      <c r="F127" s="151">
        <v>89</v>
      </c>
      <c r="G127" s="243">
        <v>58</v>
      </c>
      <c r="H127" s="243">
        <v>147</v>
      </c>
      <c r="I127" s="151">
        <v>41</v>
      </c>
      <c r="J127" s="243">
        <v>38</v>
      </c>
      <c r="K127" s="243">
        <v>79</v>
      </c>
      <c r="L127" s="151">
        <v>229</v>
      </c>
      <c r="M127" s="243">
        <v>150</v>
      </c>
      <c r="N127" s="243">
        <v>379</v>
      </c>
    </row>
    <row r="128" spans="1:14" x14ac:dyDescent="0.3">
      <c r="A128" s="441">
        <v>124</v>
      </c>
      <c r="B128" s="403" t="s">
        <v>255</v>
      </c>
      <c r="C128" s="151">
        <v>58429</v>
      </c>
      <c r="D128" s="243">
        <v>26600</v>
      </c>
      <c r="E128" s="243">
        <v>85029</v>
      </c>
      <c r="F128" s="151">
        <v>6536</v>
      </c>
      <c r="G128" s="243">
        <v>3072</v>
      </c>
      <c r="H128" s="243">
        <v>9608</v>
      </c>
      <c r="I128" s="151">
        <v>1389</v>
      </c>
      <c r="J128" s="243">
        <v>855</v>
      </c>
      <c r="K128" s="243">
        <v>2244</v>
      </c>
      <c r="L128" s="151">
        <v>25180</v>
      </c>
      <c r="M128" s="243">
        <v>11183</v>
      </c>
      <c r="N128" s="243">
        <v>36363</v>
      </c>
    </row>
    <row r="129" spans="1:14" x14ac:dyDescent="0.3">
      <c r="A129" s="441">
        <v>125</v>
      </c>
      <c r="B129" s="403" t="s">
        <v>256</v>
      </c>
      <c r="C129" s="151">
        <v>76</v>
      </c>
      <c r="D129" s="243">
        <v>50</v>
      </c>
      <c r="E129" s="243">
        <v>126</v>
      </c>
      <c r="F129" s="151">
        <v>3</v>
      </c>
      <c r="G129" s="243">
        <v>1</v>
      </c>
      <c r="H129" s="243">
        <v>4</v>
      </c>
      <c r="I129" s="151">
        <v>6</v>
      </c>
      <c r="J129" s="243">
        <v>3</v>
      </c>
      <c r="K129" s="243">
        <v>9</v>
      </c>
      <c r="L129" s="151">
        <v>26</v>
      </c>
      <c r="M129" s="243">
        <v>18</v>
      </c>
      <c r="N129" s="243">
        <v>44</v>
      </c>
    </row>
    <row r="130" spans="1:14" x14ac:dyDescent="0.3">
      <c r="A130" s="441">
        <v>126</v>
      </c>
      <c r="B130" s="403" t="s">
        <v>257</v>
      </c>
      <c r="C130" s="151">
        <v>16</v>
      </c>
      <c r="D130" s="243">
        <v>21</v>
      </c>
      <c r="E130" s="243">
        <v>37</v>
      </c>
      <c r="F130" s="151"/>
      <c r="G130" s="243"/>
      <c r="H130" s="243"/>
      <c r="I130" s="151">
        <v>5</v>
      </c>
      <c r="J130" s="243">
        <v>9</v>
      </c>
      <c r="K130" s="243">
        <v>14</v>
      </c>
      <c r="L130" s="151"/>
      <c r="M130" s="243"/>
      <c r="N130" s="243"/>
    </row>
    <row r="131" spans="1:14" x14ac:dyDescent="0.3">
      <c r="A131" s="441">
        <v>127</v>
      </c>
      <c r="B131" s="403" t="s">
        <v>258</v>
      </c>
      <c r="C131" s="151">
        <v>321</v>
      </c>
      <c r="D131" s="243">
        <v>1039</v>
      </c>
      <c r="E131" s="243">
        <v>1360</v>
      </c>
      <c r="F131" s="151">
        <v>49</v>
      </c>
      <c r="G131" s="243">
        <v>270</v>
      </c>
      <c r="H131" s="243">
        <v>319</v>
      </c>
      <c r="I131" s="151">
        <v>11</v>
      </c>
      <c r="J131" s="243">
        <v>70</v>
      </c>
      <c r="K131" s="243">
        <v>81</v>
      </c>
      <c r="L131" s="151">
        <v>188</v>
      </c>
      <c r="M131" s="243">
        <v>586</v>
      </c>
      <c r="N131" s="243">
        <v>774</v>
      </c>
    </row>
    <row r="132" spans="1:14" x14ac:dyDescent="0.3">
      <c r="A132" s="441">
        <v>128</v>
      </c>
      <c r="B132" s="403" t="s">
        <v>259</v>
      </c>
      <c r="C132" s="151">
        <v>505</v>
      </c>
      <c r="D132" s="243">
        <v>357</v>
      </c>
      <c r="E132" s="243">
        <v>862</v>
      </c>
      <c r="F132" s="151">
        <v>87</v>
      </c>
      <c r="G132" s="243">
        <v>50</v>
      </c>
      <c r="H132" s="243">
        <v>137</v>
      </c>
      <c r="I132" s="151">
        <v>36</v>
      </c>
      <c r="J132" s="243">
        <v>30</v>
      </c>
      <c r="K132" s="243">
        <v>66</v>
      </c>
      <c r="L132" s="151">
        <v>196</v>
      </c>
      <c r="M132" s="243">
        <v>160</v>
      </c>
      <c r="N132" s="243">
        <v>356</v>
      </c>
    </row>
    <row r="133" spans="1:14" x14ac:dyDescent="0.3">
      <c r="A133" s="441">
        <v>129</v>
      </c>
      <c r="B133" s="403" t="s">
        <v>260</v>
      </c>
      <c r="C133" s="151">
        <v>3</v>
      </c>
      <c r="D133" s="243">
        <v>7</v>
      </c>
      <c r="E133" s="243">
        <v>10</v>
      </c>
      <c r="F133" s="151">
        <v>1</v>
      </c>
      <c r="G133" s="243">
        <v>1</v>
      </c>
      <c r="H133" s="243">
        <v>2</v>
      </c>
      <c r="I133" s="151"/>
      <c r="J133" s="243"/>
      <c r="K133" s="243"/>
      <c r="L133" s="151">
        <v>2</v>
      </c>
      <c r="M133" s="243">
        <v>6</v>
      </c>
      <c r="N133" s="243">
        <v>8</v>
      </c>
    </row>
    <row r="134" spans="1:14" x14ac:dyDescent="0.3">
      <c r="A134" s="441">
        <v>130</v>
      </c>
      <c r="B134" s="403" t="s">
        <v>261</v>
      </c>
      <c r="C134" s="151">
        <v>349740</v>
      </c>
      <c r="D134" s="243">
        <v>153749</v>
      </c>
      <c r="E134" s="243">
        <v>503489</v>
      </c>
      <c r="F134" s="151">
        <v>51492</v>
      </c>
      <c r="G134" s="243">
        <v>24714</v>
      </c>
      <c r="H134" s="243">
        <v>76206</v>
      </c>
      <c r="I134" s="151">
        <v>22479</v>
      </c>
      <c r="J134" s="243">
        <v>14822</v>
      </c>
      <c r="K134" s="243">
        <v>37301</v>
      </c>
      <c r="L134" s="151">
        <v>134691</v>
      </c>
      <c r="M134" s="243">
        <v>55593</v>
      </c>
      <c r="N134" s="243">
        <v>190284</v>
      </c>
    </row>
    <row r="135" spans="1:14" x14ac:dyDescent="0.3">
      <c r="A135" s="441">
        <v>131</v>
      </c>
      <c r="B135" s="403" t="s">
        <v>262</v>
      </c>
      <c r="C135" s="151">
        <v>730</v>
      </c>
      <c r="D135" s="243">
        <v>176</v>
      </c>
      <c r="E135" s="243">
        <v>906</v>
      </c>
      <c r="F135" s="151">
        <v>24</v>
      </c>
      <c r="G135" s="243">
        <v>6</v>
      </c>
      <c r="H135" s="243">
        <v>30</v>
      </c>
      <c r="I135" s="151">
        <v>4</v>
      </c>
      <c r="J135" s="243"/>
      <c r="K135" s="243">
        <v>4</v>
      </c>
      <c r="L135" s="151">
        <v>49</v>
      </c>
      <c r="M135" s="243">
        <v>9</v>
      </c>
      <c r="N135" s="243">
        <v>58</v>
      </c>
    </row>
    <row r="136" spans="1:14" x14ac:dyDescent="0.3">
      <c r="A136" s="441">
        <v>132</v>
      </c>
      <c r="B136" s="403" t="s">
        <v>263</v>
      </c>
      <c r="C136" s="151">
        <v>118</v>
      </c>
      <c r="D136" s="243">
        <v>13</v>
      </c>
      <c r="E136" s="243">
        <v>131</v>
      </c>
      <c r="F136" s="151">
        <v>2</v>
      </c>
      <c r="G136" s="243">
        <v>1</v>
      </c>
      <c r="H136" s="243">
        <v>3</v>
      </c>
      <c r="I136" s="151"/>
      <c r="J136" s="243"/>
      <c r="K136" s="243"/>
      <c r="L136" s="151">
        <v>7</v>
      </c>
      <c r="M136" s="243">
        <v>1</v>
      </c>
      <c r="N136" s="243">
        <v>8</v>
      </c>
    </row>
    <row r="137" spans="1:14" x14ac:dyDescent="0.3">
      <c r="A137" s="441">
        <v>133</v>
      </c>
      <c r="B137" s="403" t="s">
        <v>264</v>
      </c>
      <c r="C137" s="151">
        <v>33</v>
      </c>
      <c r="D137" s="243">
        <v>163</v>
      </c>
      <c r="E137" s="243">
        <v>196</v>
      </c>
      <c r="F137" s="151">
        <v>2</v>
      </c>
      <c r="G137" s="243">
        <v>17</v>
      </c>
      <c r="H137" s="243">
        <v>19</v>
      </c>
      <c r="I137" s="151"/>
      <c r="J137" s="243">
        <v>5</v>
      </c>
      <c r="K137" s="243">
        <v>5</v>
      </c>
      <c r="L137" s="151">
        <v>2</v>
      </c>
      <c r="M137" s="243">
        <v>41</v>
      </c>
      <c r="N137" s="243">
        <v>43</v>
      </c>
    </row>
    <row r="138" spans="1:14" ht="16.5" customHeight="1" x14ac:dyDescent="0.3">
      <c r="A138" s="441">
        <v>134</v>
      </c>
      <c r="B138" s="408" t="s">
        <v>265</v>
      </c>
      <c r="C138" s="151">
        <v>1</v>
      </c>
      <c r="D138" s="243">
        <v>10</v>
      </c>
      <c r="E138" s="243">
        <v>11</v>
      </c>
      <c r="F138" s="151"/>
      <c r="G138" s="243">
        <v>2</v>
      </c>
      <c r="H138" s="243">
        <v>2</v>
      </c>
      <c r="I138" s="151"/>
      <c r="J138" s="243"/>
      <c r="K138" s="243"/>
      <c r="L138" s="151"/>
      <c r="M138" s="243">
        <v>1</v>
      </c>
      <c r="N138" s="243">
        <v>1</v>
      </c>
    </row>
    <row r="139" spans="1:14" x14ac:dyDescent="0.3">
      <c r="A139" s="441">
        <v>135</v>
      </c>
      <c r="B139" s="403" t="s">
        <v>266</v>
      </c>
      <c r="C139" s="151">
        <v>20712</v>
      </c>
      <c r="D139" s="243">
        <v>82302</v>
      </c>
      <c r="E139" s="243">
        <v>103014</v>
      </c>
      <c r="F139" s="151">
        <v>4072</v>
      </c>
      <c r="G139" s="243">
        <v>20192</v>
      </c>
      <c r="H139" s="243">
        <v>24264</v>
      </c>
      <c r="I139" s="151">
        <v>2043</v>
      </c>
      <c r="J139" s="243">
        <v>11105</v>
      </c>
      <c r="K139" s="243">
        <v>13148</v>
      </c>
      <c r="L139" s="151">
        <v>5404</v>
      </c>
      <c r="M139" s="243">
        <v>22912</v>
      </c>
      <c r="N139" s="243">
        <v>28316</v>
      </c>
    </row>
    <row r="140" spans="1:14" x14ac:dyDescent="0.3">
      <c r="A140" s="441">
        <v>136</v>
      </c>
      <c r="B140" s="403" t="s">
        <v>267</v>
      </c>
      <c r="C140" s="151">
        <v>1211</v>
      </c>
      <c r="D140" s="243">
        <v>416</v>
      </c>
      <c r="E140" s="243">
        <v>1627</v>
      </c>
      <c r="F140" s="151">
        <v>143</v>
      </c>
      <c r="G140" s="243">
        <v>41</v>
      </c>
      <c r="H140" s="243">
        <v>184</v>
      </c>
      <c r="I140" s="151">
        <v>15</v>
      </c>
      <c r="J140" s="243">
        <v>1</v>
      </c>
      <c r="K140" s="243">
        <v>16</v>
      </c>
      <c r="L140" s="151">
        <v>663</v>
      </c>
      <c r="M140" s="243">
        <v>221</v>
      </c>
      <c r="N140" s="243">
        <v>884</v>
      </c>
    </row>
    <row r="141" spans="1:14" x14ac:dyDescent="0.3">
      <c r="A141" s="441">
        <v>137</v>
      </c>
      <c r="B141" s="403" t="s">
        <v>268</v>
      </c>
      <c r="C141" s="151">
        <v>7</v>
      </c>
      <c r="D141" s="243"/>
      <c r="E141" s="243">
        <v>7</v>
      </c>
      <c r="F141" s="151"/>
      <c r="G141" s="243"/>
      <c r="H141" s="243"/>
      <c r="I141" s="151"/>
      <c r="J141" s="243"/>
      <c r="K141" s="243"/>
      <c r="L141" s="151"/>
      <c r="M141" s="243"/>
      <c r="N141" s="243"/>
    </row>
    <row r="142" spans="1:14" ht="26" x14ac:dyDescent="0.3">
      <c r="A142" s="441">
        <v>138</v>
      </c>
      <c r="B142" s="403" t="s">
        <v>269</v>
      </c>
      <c r="C142" s="151">
        <v>35</v>
      </c>
      <c r="D142" s="243">
        <v>17</v>
      </c>
      <c r="E142" s="243">
        <v>52</v>
      </c>
      <c r="F142" s="151"/>
      <c r="G142" s="243"/>
      <c r="H142" s="243"/>
      <c r="I142" s="151"/>
      <c r="J142" s="243"/>
      <c r="K142" s="243"/>
      <c r="L142" s="151">
        <v>7</v>
      </c>
      <c r="M142" s="243">
        <v>2</v>
      </c>
      <c r="N142" s="243">
        <v>9</v>
      </c>
    </row>
    <row r="143" spans="1:14" x14ac:dyDescent="0.3">
      <c r="A143" s="441">
        <v>139</v>
      </c>
      <c r="B143" s="403" t="s">
        <v>270</v>
      </c>
      <c r="C143" s="151">
        <v>437</v>
      </c>
      <c r="D143" s="243">
        <v>689</v>
      </c>
      <c r="E143" s="243">
        <v>1126</v>
      </c>
      <c r="F143" s="151">
        <v>65</v>
      </c>
      <c r="G143" s="243">
        <v>58</v>
      </c>
      <c r="H143" s="243">
        <v>123</v>
      </c>
      <c r="I143" s="151">
        <v>27</v>
      </c>
      <c r="J143" s="243">
        <v>22</v>
      </c>
      <c r="K143" s="243">
        <v>49</v>
      </c>
      <c r="L143" s="151">
        <v>117</v>
      </c>
      <c r="M143" s="243">
        <v>129</v>
      </c>
      <c r="N143" s="243">
        <v>246</v>
      </c>
    </row>
    <row r="144" spans="1:14" x14ac:dyDescent="0.3">
      <c r="A144" s="441">
        <v>140</v>
      </c>
      <c r="B144" s="403" t="s">
        <v>271</v>
      </c>
      <c r="C144" s="151">
        <v>2069</v>
      </c>
      <c r="D144" s="243">
        <v>1490</v>
      </c>
      <c r="E144" s="243">
        <v>3559</v>
      </c>
      <c r="F144" s="151">
        <v>131</v>
      </c>
      <c r="G144" s="243">
        <v>114</v>
      </c>
      <c r="H144" s="243">
        <v>245</v>
      </c>
      <c r="I144" s="151">
        <v>53</v>
      </c>
      <c r="J144" s="243">
        <v>28</v>
      </c>
      <c r="K144" s="243">
        <v>81</v>
      </c>
      <c r="L144" s="151">
        <v>384</v>
      </c>
      <c r="M144" s="243">
        <v>260</v>
      </c>
      <c r="N144" s="243">
        <v>644</v>
      </c>
    </row>
    <row r="145" spans="1:14" x14ac:dyDescent="0.3">
      <c r="A145" s="441">
        <v>141</v>
      </c>
      <c r="B145" s="403" t="s">
        <v>272</v>
      </c>
      <c r="C145" s="151">
        <v>768</v>
      </c>
      <c r="D145" s="243">
        <v>414</v>
      </c>
      <c r="E145" s="243">
        <v>1182</v>
      </c>
      <c r="F145" s="151">
        <v>47</v>
      </c>
      <c r="G145" s="243">
        <v>35</v>
      </c>
      <c r="H145" s="243">
        <v>82</v>
      </c>
      <c r="I145" s="151">
        <v>10</v>
      </c>
      <c r="J145" s="243">
        <v>2</v>
      </c>
      <c r="K145" s="243">
        <v>12</v>
      </c>
      <c r="L145" s="151">
        <v>221</v>
      </c>
      <c r="M145" s="243">
        <v>132</v>
      </c>
      <c r="N145" s="243">
        <v>353</v>
      </c>
    </row>
    <row r="146" spans="1:14" x14ac:dyDescent="0.3">
      <c r="A146" s="441">
        <v>142</v>
      </c>
      <c r="B146" s="403" t="s">
        <v>273</v>
      </c>
      <c r="C146" s="151">
        <v>49</v>
      </c>
      <c r="D146" s="243">
        <v>65</v>
      </c>
      <c r="E146" s="243">
        <v>114</v>
      </c>
      <c r="F146" s="151">
        <v>1</v>
      </c>
      <c r="G146" s="243">
        <v>5</v>
      </c>
      <c r="H146" s="243">
        <v>6</v>
      </c>
      <c r="I146" s="151"/>
      <c r="J146" s="243">
        <v>1</v>
      </c>
      <c r="K146" s="243">
        <v>1</v>
      </c>
      <c r="L146" s="151">
        <v>4</v>
      </c>
      <c r="M146" s="243">
        <v>8</v>
      </c>
      <c r="N146" s="243">
        <v>12</v>
      </c>
    </row>
    <row r="147" spans="1:14" x14ac:dyDescent="0.3">
      <c r="A147" s="441">
        <v>143</v>
      </c>
      <c r="B147" s="403" t="s">
        <v>274</v>
      </c>
      <c r="C147" s="151">
        <v>5</v>
      </c>
      <c r="D147" s="243">
        <v>20</v>
      </c>
      <c r="E147" s="243">
        <v>25</v>
      </c>
      <c r="F147" s="151"/>
      <c r="G147" s="243"/>
      <c r="H147" s="243"/>
      <c r="I147" s="151"/>
      <c r="J147" s="243"/>
      <c r="K147" s="243"/>
      <c r="L147" s="151">
        <v>2</v>
      </c>
      <c r="M147" s="243">
        <v>1</v>
      </c>
      <c r="N147" s="243">
        <v>3</v>
      </c>
    </row>
    <row r="148" spans="1:14" x14ac:dyDescent="0.3">
      <c r="A148" s="441">
        <v>144</v>
      </c>
      <c r="B148" s="403" t="s">
        <v>275</v>
      </c>
      <c r="C148" s="151">
        <v>3021</v>
      </c>
      <c r="D148" s="243">
        <v>2512</v>
      </c>
      <c r="E148" s="243">
        <v>5533</v>
      </c>
      <c r="F148" s="151">
        <v>248</v>
      </c>
      <c r="G148" s="243">
        <v>219</v>
      </c>
      <c r="H148" s="243">
        <v>467</v>
      </c>
      <c r="I148" s="151">
        <v>92</v>
      </c>
      <c r="J148" s="243">
        <v>91</v>
      </c>
      <c r="K148" s="243">
        <v>183</v>
      </c>
      <c r="L148" s="151">
        <v>566</v>
      </c>
      <c r="M148" s="243">
        <v>596</v>
      </c>
      <c r="N148" s="243">
        <v>1162</v>
      </c>
    </row>
    <row r="149" spans="1:14" x14ac:dyDescent="0.3">
      <c r="A149" s="441">
        <v>145</v>
      </c>
      <c r="B149" s="403" t="s">
        <v>276</v>
      </c>
      <c r="C149" s="151">
        <v>98</v>
      </c>
      <c r="D149" s="243">
        <v>72</v>
      </c>
      <c r="E149" s="243">
        <v>170</v>
      </c>
      <c r="F149" s="151">
        <v>2</v>
      </c>
      <c r="G149" s="243">
        <v>3</v>
      </c>
      <c r="H149" s="243">
        <v>5</v>
      </c>
      <c r="I149" s="151"/>
      <c r="J149" s="243"/>
      <c r="K149" s="243"/>
      <c r="L149" s="151">
        <v>9</v>
      </c>
      <c r="M149" s="243">
        <v>3</v>
      </c>
      <c r="N149" s="243">
        <v>12</v>
      </c>
    </row>
    <row r="150" spans="1:14" x14ac:dyDescent="0.3">
      <c r="A150" s="441">
        <v>146</v>
      </c>
      <c r="B150" s="403" t="s">
        <v>277</v>
      </c>
      <c r="C150" s="151">
        <v>35</v>
      </c>
      <c r="D150" s="243">
        <v>81</v>
      </c>
      <c r="E150" s="243">
        <v>116</v>
      </c>
      <c r="F150" s="151">
        <v>2</v>
      </c>
      <c r="G150" s="243"/>
      <c r="H150" s="243">
        <v>2</v>
      </c>
      <c r="I150" s="151">
        <v>14</v>
      </c>
      <c r="J150" s="243">
        <v>33</v>
      </c>
      <c r="K150" s="243">
        <v>47</v>
      </c>
      <c r="L150" s="151">
        <v>3</v>
      </c>
      <c r="M150" s="243">
        <v>5</v>
      </c>
      <c r="N150" s="243">
        <v>8</v>
      </c>
    </row>
    <row r="151" spans="1:14" x14ac:dyDescent="0.3">
      <c r="A151" s="441">
        <v>147</v>
      </c>
      <c r="B151" s="403" t="s">
        <v>278</v>
      </c>
      <c r="C151" s="151">
        <v>78060</v>
      </c>
      <c r="D151" s="243">
        <v>36722</v>
      </c>
      <c r="E151" s="243">
        <v>114782</v>
      </c>
      <c r="F151" s="151">
        <v>10260</v>
      </c>
      <c r="G151" s="243">
        <v>4565</v>
      </c>
      <c r="H151" s="243">
        <v>14825</v>
      </c>
      <c r="I151" s="151">
        <v>2169</v>
      </c>
      <c r="J151" s="243">
        <v>1238</v>
      </c>
      <c r="K151" s="243">
        <v>3407</v>
      </c>
      <c r="L151" s="151">
        <v>24177</v>
      </c>
      <c r="M151" s="243">
        <v>9995</v>
      </c>
      <c r="N151" s="243">
        <v>34172</v>
      </c>
    </row>
    <row r="152" spans="1:14" x14ac:dyDescent="0.3">
      <c r="A152" s="441">
        <v>148</v>
      </c>
      <c r="B152" s="403" t="s">
        <v>279</v>
      </c>
      <c r="C152" s="151">
        <v>17</v>
      </c>
      <c r="D152" s="243">
        <v>20</v>
      </c>
      <c r="E152" s="243">
        <v>37</v>
      </c>
      <c r="F152" s="151">
        <v>4</v>
      </c>
      <c r="G152" s="243">
        <v>6</v>
      </c>
      <c r="H152" s="243">
        <v>10</v>
      </c>
      <c r="I152" s="151">
        <v>3</v>
      </c>
      <c r="J152" s="243"/>
      <c r="K152" s="243">
        <v>3</v>
      </c>
      <c r="L152" s="151">
        <v>3</v>
      </c>
      <c r="M152" s="243">
        <v>4</v>
      </c>
      <c r="N152" s="243">
        <v>7</v>
      </c>
    </row>
    <row r="153" spans="1:14" x14ac:dyDescent="0.3">
      <c r="A153" s="441">
        <v>149</v>
      </c>
      <c r="B153" s="403" t="s">
        <v>280</v>
      </c>
      <c r="C153" s="151">
        <v>9630</v>
      </c>
      <c r="D153" s="243">
        <v>8545</v>
      </c>
      <c r="E153" s="243">
        <v>18175</v>
      </c>
      <c r="F153" s="151">
        <v>1054</v>
      </c>
      <c r="G153" s="243">
        <v>807</v>
      </c>
      <c r="H153" s="243">
        <v>1861</v>
      </c>
      <c r="I153" s="151">
        <v>303</v>
      </c>
      <c r="J153" s="243">
        <v>276</v>
      </c>
      <c r="K153" s="243">
        <v>579</v>
      </c>
      <c r="L153" s="151">
        <v>1947</v>
      </c>
      <c r="M153" s="243">
        <v>1601</v>
      </c>
      <c r="N153" s="243">
        <v>3548</v>
      </c>
    </row>
    <row r="154" spans="1:14" x14ac:dyDescent="0.3">
      <c r="A154" s="441">
        <v>150</v>
      </c>
      <c r="B154" s="403" t="s">
        <v>281</v>
      </c>
      <c r="C154" s="151">
        <v>101</v>
      </c>
      <c r="D154" s="243">
        <v>92</v>
      </c>
      <c r="E154" s="243">
        <v>193</v>
      </c>
      <c r="F154" s="151">
        <v>17</v>
      </c>
      <c r="G154" s="243">
        <v>14</v>
      </c>
      <c r="H154" s="243">
        <v>31</v>
      </c>
      <c r="I154" s="151">
        <v>12</v>
      </c>
      <c r="J154" s="243">
        <v>8</v>
      </c>
      <c r="K154" s="243">
        <v>20</v>
      </c>
      <c r="L154" s="151">
        <v>41</v>
      </c>
      <c r="M154" s="243">
        <v>17</v>
      </c>
      <c r="N154" s="243">
        <v>58</v>
      </c>
    </row>
    <row r="155" spans="1:14" x14ac:dyDescent="0.3">
      <c r="A155" s="441">
        <v>151</v>
      </c>
      <c r="B155" s="403" t="s">
        <v>282</v>
      </c>
      <c r="C155" s="151">
        <v>61</v>
      </c>
      <c r="D155" s="243">
        <v>135</v>
      </c>
      <c r="E155" s="243">
        <v>196</v>
      </c>
      <c r="F155" s="151">
        <v>8</v>
      </c>
      <c r="G155" s="243">
        <v>23</v>
      </c>
      <c r="H155" s="243">
        <v>31</v>
      </c>
      <c r="I155" s="151">
        <v>3</v>
      </c>
      <c r="J155" s="243">
        <v>9</v>
      </c>
      <c r="K155" s="243">
        <v>12</v>
      </c>
      <c r="L155" s="151">
        <v>20</v>
      </c>
      <c r="M155" s="243">
        <v>44</v>
      </c>
      <c r="N155" s="243">
        <v>64</v>
      </c>
    </row>
    <row r="156" spans="1:14" x14ac:dyDescent="0.3">
      <c r="A156" s="441">
        <v>152</v>
      </c>
      <c r="B156" s="403" t="s">
        <v>283</v>
      </c>
      <c r="C156" s="151">
        <v>272598</v>
      </c>
      <c r="D156" s="243">
        <v>477215</v>
      </c>
      <c r="E156" s="243">
        <v>749813</v>
      </c>
      <c r="F156" s="151">
        <v>46437</v>
      </c>
      <c r="G156" s="243">
        <v>72166</v>
      </c>
      <c r="H156" s="243">
        <v>118603</v>
      </c>
      <c r="I156" s="151">
        <v>24431</v>
      </c>
      <c r="J156" s="243">
        <v>38359</v>
      </c>
      <c r="K156" s="243">
        <v>62790</v>
      </c>
      <c r="L156" s="151">
        <v>101028</v>
      </c>
      <c r="M156" s="243">
        <v>175040</v>
      </c>
      <c r="N156" s="243">
        <v>276068</v>
      </c>
    </row>
    <row r="157" spans="1:14" x14ac:dyDescent="0.3">
      <c r="A157" s="441">
        <v>153</v>
      </c>
      <c r="B157" s="403" t="s">
        <v>284</v>
      </c>
      <c r="C157" s="151">
        <v>550</v>
      </c>
      <c r="D157" s="243">
        <v>900</v>
      </c>
      <c r="E157" s="243">
        <v>1450</v>
      </c>
      <c r="F157" s="151">
        <v>30</v>
      </c>
      <c r="G157" s="243">
        <v>41</v>
      </c>
      <c r="H157" s="243">
        <v>71</v>
      </c>
      <c r="I157" s="151">
        <v>9</v>
      </c>
      <c r="J157" s="243">
        <v>10</v>
      </c>
      <c r="K157" s="243">
        <v>19</v>
      </c>
      <c r="L157" s="151">
        <v>158</v>
      </c>
      <c r="M157" s="243">
        <v>248</v>
      </c>
      <c r="N157" s="243">
        <v>406</v>
      </c>
    </row>
    <row r="158" spans="1:14" x14ac:dyDescent="0.3">
      <c r="A158" s="441">
        <v>154</v>
      </c>
      <c r="B158" s="403" t="s">
        <v>285</v>
      </c>
      <c r="C158" s="151">
        <v>153606</v>
      </c>
      <c r="D158" s="243">
        <v>124418</v>
      </c>
      <c r="E158" s="243">
        <v>278024</v>
      </c>
      <c r="F158" s="151">
        <v>15417</v>
      </c>
      <c r="G158" s="243">
        <v>12372</v>
      </c>
      <c r="H158" s="243">
        <v>27789</v>
      </c>
      <c r="I158" s="151">
        <v>3530</v>
      </c>
      <c r="J158" s="243">
        <v>2551</v>
      </c>
      <c r="K158" s="243">
        <v>6081</v>
      </c>
      <c r="L158" s="151">
        <v>55288</v>
      </c>
      <c r="M158" s="243">
        <v>45791</v>
      </c>
      <c r="N158" s="243">
        <v>101079</v>
      </c>
    </row>
    <row r="159" spans="1:14" ht="26" x14ac:dyDescent="0.3">
      <c r="A159" s="441">
        <v>155</v>
      </c>
      <c r="B159" s="403" t="s">
        <v>286</v>
      </c>
      <c r="C159" s="151">
        <v>75</v>
      </c>
      <c r="D159" s="243">
        <v>73</v>
      </c>
      <c r="E159" s="243">
        <v>148</v>
      </c>
      <c r="F159" s="151">
        <v>7</v>
      </c>
      <c r="G159" s="243">
        <v>8</v>
      </c>
      <c r="H159" s="243">
        <v>15</v>
      </c>
      <c r="I159" s="151">
        <v>2</v>
      </c>
      <c r="J159" s="243">
        <v>2</v>
      </c>
      <c r="K159" s="243">
        <v>4</v>
      </c>
      <c r="L159" s="151">
        <v>21</v>
      </c>
      <c r="M159" s="243">
        <v>24</v>
      </c>
      <c r="N159" s="243">
        <v>45</v>
      </c>
    </row>
    <row r="160" spans="1:14" x14ac:dyDescent="0.3">
      <c r="A160" s="441">
        <v>156</v>
      </c>
      <c r="B160" s="403" t="s">
        <v>287</v>
      </c>
      <c r="C160" s="151">
        <v>503</v>
      </c>
      <c r="D160" s="243">
        <v>424</v>
      </c>
      <c r="E160" s="243">
        <v>927</v>
      </c>
      <c r="F160" s="151">
        <v>32</v>
      </c>
      <c r="G160" s="243">
        <v>22</v>
      </c>
      <c r="H160" s="243">
        <v>54</v>
      </c>
      <c r="I160" s="151">
        <v>24</v>
      </c>
      <c r="J160" s="243">
        <v>34</v>
      </c>
      <c r="K160" s="243">
        <v>58</v>
      </c>
      <c r="L160" s="151">
        <v>147</v>
      </c>
      <c r="M160" s="243">
        <v>123</v>
      </c>
      <c r="N160" s="243">
        <v>270</v>
      </c>
    </row>
    <row r="161" spans="1:14" x14ac:dyDescent="0.3">
      <c r="A161" s="441">
        <v>157</v>
      </c>
      <c r="B161" s="403" t="s">
        <v>288</v>
      </c>
      <c r="C161" s="151">
        <v>32806</v>
      </c>
      <c r="D161" s="243">
        <v>33030</v>
      </c>
      <c r="E161" s="243">
        <v>65836</v>
      </c>
      <c r="F161" s="151">
        <v>3365</v>
      </c>
      <c r="G161" s="243">
        <v>3179</v>
      </c>
      <c r="H161" s="243">
        <v>6544</v>
      </c>
      <c r="I161" s="151">
        <v>1766</v>
      </c>
      <c r="J161" s="243">
        <v>1987</v>
      </c>
      <c r="K161" s="243">
        <v>3753</v>
      </c>
      <c r="L161" s="151">
        <v>9824</v>
      </c>
      <c r="M161" s="243">
        <v>9697</v>
      </c>
      <c r="N161" s="243">
        <v>19521</v>
      </c>
    </row>
    <row r="162" spans="1:14" x14ac:dyDescent="0.3">
      <c r="A162" s="441">
        <v>158</v>
      </c>
      <c r="B162" s="403" t="s">
        <v>289</v>
      </c>
      <c r="C162" s="151">
        <v>42466</v>
      </c>
      <c r="D162" s="243">
        <v>30042</v>
      </c>
      <c r="E162" s="243">
        <v>72508</v>
      </c>
      <c r="F162" s="151">
        <v>2931</v>
      </c>
      <c r="G162" s="243">
        <v>2188</v>
      </c>
      <c r="H162" s="243">
        <v>5119</v>
      </c>
      <c r="I162" s="151">
        <v>725</v>
      </c>
      <c r="J162" s="243">
        <v>554</v>
      </c>
      <c r="K162" s="243">
        <v>1279</v>
      </c>
      <c r="L162" s="151">
        <v>16206</v>
      </c>
      <c r="M162" s="243">
        <v>12005</v>
      </c>
      <c r="N162" s="243">
        <v>28211</v>
      </c>
    </row>
    <row r="163" spans="1:14" x14ac:dyDescent="0.3">
      <c r="A163" s="441">
        <v>159</v>
      </c>
      <c r="B163" s="403" t="s">
        <v>290</v>
      </c>
      <c r="C163" s="151">
        <v>358</v>
      </c>
      <c r="D163" s="243">
        <v>136</v>
      </c>
      <c r="E163" s="243">
        <v>494</v>
      </c>
      <c r="F163" s="151">
        <v>13</v>
      </c>
      <c r="G163" s="243">
        <v>7</v>
      </c>
      <c r="H163" s="243">
        <v>20</v>
      </c>
      <c r="I163" s="151">
        <v>2</v>
      </c>
      <c r="J163" s="243">
        <v>2</v>
      </c>
      <c r="K163" s="243">
        <v>4</v>
      </c>
      <c r="L163" s="151">
        <v>51</v>
      </c>
      <c r="M163" s="243">
        <v>31</v>
      </c>
      <c r="N163" s="243">
        <v>82</v>
      </c>
    </row>
    <row r="164" spans="1:14" x14ac:dyDescent="0.3">
      <c r="A164" s="441">
        <v>160</v>
      </c>
      <c r="B164" s="403" t="s">
        <v>291</v>
      </c>
      <c r="C164" s="151">
        <v>13</v>
      </c>
      <c r="D164" s="243">
        <v>63</v>
      </c>
      <c r="E164" s="243">
        <v>76</v>
      </c>
      <c r="F164" s="151">
        <v>2</v>
      </c>
      <c r="G164" s="243">
        <v>8</v>
      </c>
      <c r="H164" s="243">
        <v>10</v>
      </c>
      <c r="I164" s="151"/>
      <c r="J164" s="243"/>
      <c r="K164" s="243"/>
      <c r="L164" s="151">
        <v>5</v>
      </c>
      <c r="M164" s="243">
        <v>16</v>
      </c>
      <c r="N164" s="243">
        <v>21</v>
      </c>
    </row>
    <row r="165" spans="1:14" x14ac:dyDescent="0.3">
      <c r="A165" s="441">
        <v>161</v>
      </c>
      <c r="B165" s="403" t="s">
        <v>292</v>
      </c>
      <c r="C165" s="151">
        <v>61960</v>
      </c>
      <c r="D165" s="243">
        <v>118734</v>
      </c>
      <c r="E165" s="243">
        <v>180694</v>
      </c>
      <c r="F165" s="151">
        <v>7268</v>
      </c>
      <c r="G165" s="243">
        <v>12496</v>
      </c>
      <c r="H165" s="243">
        <v>19764</v>
      </c>
      <c r="I165" s="151">
        <v>3163</v>
      </c>
      <c r="J165" s="243">
        <v>4407</v>
      </c>
      <c r="K165" s="243">
        <v>7570</v>
      </c>
      <c r="L165" s="151">
        <v>22428</v>
      </c>
      <c r="M165" s="243">
        <v>45263</v>
      </c>
      <c r="N165" s="243">
        <v>67691</v>
      </c>
    </row>
    <row r="166" spans="1:14" x14ac:dyDescent="0.3">
      <c r="A166" s="441">
        <v>162</v>
      </c>
      <c r="B166" s="403" t="s">
        <v>293</v>
      </c>
      <c r="C166" s="151">
        <v>11402</v>
      </c>
      <c r="D166" s="243">
        <v>12478</v>
      </c>
      <c r="E166" s="243">
        <v>23880</v>
      </c>
      <c r="F166" s="151">
        <v>801</v>
      </c>
      <c r="G166" s="243">
        <v>925</v>
      </c>
      <c r="H166" s="243">
        <v>1726</v>
      </c>
      <c r="I166" s="151">
        <v>357</v>
      </c>
      <c r="J166" s="243">
        <v>399</v>
      </c>
      <c r="K166" s="243">
        <v>756</v>
      </c>
      <c r="L166" s="151">
        <v>2211</v>
      </c>
      <c r="M166" s="243">
        <v>2633</v>
      </c>
      <c r="N166" s="243">
        <v>4844</v>
      </c>
    </row>
    <row r="167" spans="1:14" x14ac:dyDescent="0.3">
      <c r="A167" s="441">
        <v>163</v>
      </c>
      <c r="B167" s="403" t="s">
        <v>294</v>
      </c>
      <c r="C167" s="151">
        <v>1637</v>
      </c>
      <c r="D167" s="243">
        <v>3656</v>
      </c>
      <c r="E167" s="243">
        <v>5293</v>
      </c>
      <c r="F167" s="151">
        <v>101</v>
      </c>
      <c r="G167" s="243">
        <v>276</v>
      </c>
      <c r="H167" s="243">
        <v>377</v>
      </c>
      <c r="I167" s="151">
        <v>35</v>
      </c>
      <c r="J167" s="243">
        <v>69</v>
      </c>
      <c r="K167" s="243">
        <v>104</v>
      </c>
      <c r="L167" s="151">
        <v>453</v>
      </c>
      <c r="M167" s="243">
        <v>995</v>
      </c>
      <c r="N167" s="243">
        <v>1448</v>
      </c>
    </row>
    <row r="168" spans="1:14" x14ac:dyDescent="0.3">
      <c r="A168" s="441">
        <v>164</v>
      </c>
      <c r="B168" s="403" t="s">
        <v>295</v>
      </c>
      <c r="C168" s="151">
        <v>12</v>
      </c>
      <c r="D168" s="243">
        <v>94</v>
      </c>
      <c r="E168" s="243">
        <v>106</v>
      </c>
      <c r="F168" s="151">
        <v>5</v>
      </c>
      <c r="G168" s="243">
        <v>10</v>
      </c>
      <c r="H168" s="243">
        <v>15</v>
      </c>
      <c r="I168" s="151"/>
      <c r="J168" s="243">
        <v>1</v>
      </c>
      <c r="K168" s="243">
        <v>1</v>
      </c>
      <c r="L168" s="151">
        <v>2</v>
      </c>
      <c r="M168" s="243">
        <v>27</v>
      </c>
      <c r="N168" s="243">
        <v>29</v>
      </c>
    </row>
    <row r="169" spans="1:14" x14ac:dyDescent="0.3">
      <c r="A169" s="441">
        <v>165</v>
      </c>
      <c r="B169" s="403" t="s">
        <v>296</v>
      </c>
      <c r="C169" s="151">
        <v>749</v>
      </c>
      <c r="D169" s="243">
        <v>1154</v>
      </c>
      <c r="E169" s="243">
        <v>1903</v>
      </c>
      <c r="F169" s="151">
        <v>55</v>
      </c>
      <c r="G169" s="243">
        <v>87</v>
      </c>
      <c r="H169" s="243">
        <v>142</v>
      </c>
      <c r="I169" s="151">
        <v>16</v>
      </c>
      <c r="J169" s="243">
        <v>24</v>
      </c>
      <c r="K169" s="243">
        <v>40</v>
      </c>
      <c r="L169" s="151">
        <v>107</v>
      </c>
      <c r="M169" s="243">
        <v>145</v>
      </c>
      <c r="N169" s="243">
        <v>252</v>
      </c>
    </row>
    <row r="170" spans="1:14" x14ac:dyDescent="0.3">
      <c r="A170" s="441">
        <v>166</v>
      </c>
      <c r="B170" s="403" t="s">
        <v>297</v>
      </c>
      <c r="C170" s="151">
        <v>8</v>
      </c>
      <c r="D170" s="243">
        <v>9</v>
      </c>
      <c r="E170" s="243">
        <v>17</v>
      </c>
      <c r="F170" s="151"/>
      <c r="G170" s="243"/>
      <c r="H170" s="243"/>
      <c r="I170" s="151"/>
      <c r="J170" s="243"/>
      <c r="K170" s="243"/>
      <c r="L170" s="151"/>
      <c r="M170" s="243"/>
      <c r="N170" s="243"/>
    </row>
    <row r="171" spans="1:14" x14ac:dyDescent="0.3">
      <c r="A171" s="441">
        <v>167</v>
      </c>
      <c r="B171" s="403" t="s">
        <v>298</v>
      </c>
      <c r="C171" s="151">
        <v>5496</v>
      </c>
      <c r="D171" s="243">
        <v>3582</v>
      </c>
      <c r="E171" s="243">
        <v>9078</v>
      </c>
      <c r="F171" s="151">
        <v>771</v>
      </c>
      <c r="G171" s="243">
        <v>690</v>
      </c>
      <c r="H171" s="243">
        <v>1461</v>
      </c>
      <c r="I171" s="151">
        <v>96</v>
      </c>
      <c r="J171" s="243">
        <v>57</v>
      </c>
      <c r="K171" s="243">
        <v>153</v>
      </c>
      <c r="L171" s="151">
        <v>2131</v>
      </c>
      <c r="M171" s="243">
        <v>1653</v>
      </c>
      <c r="N171" s="243">
        <v>3784</v>
      </c>
    </row>
    <row r="172" spans="1:14" x14ac:dyDescent="0.3">
      <c r="A172" s="441">
        <v>168</v>
      </c>
      <c r="B172" s="403" t="s">
        <v>299</v>
      </c>
      <c r="C172" s="151">
        <v>8304</v>
      </c>
      <c r="D172" s="243">
        <v>18464</v>
      </c>
      <c r="E172" s="243">
        <v>26768</v>
      </c>
      <c r="F172" s="151">
        <v>2074</v>
      </c>
      <c r="G172" s="243">
        <v>4057</v>
      </c>
      <c r="H172" s="243">
        <v>6131</v>
      </c>
      <c r="I172" s="151">
        <v>731</v>
      </c>
      <c r="J172" s="243">
        <v>1452</v>
      </c>
      <c r="K172" s="243">
        <v>2183</v>
      </c>
      <c r="L172" s="151">
        <v>2476</v>
      </c>
      <c r="M172" s="243">
        <v>5335</v>
      </c>
      <c r="N172" s="243">
        <v>7811</v>
      </c>
    </row>
    <row r="173" spans="1:14" x14ac:dyDescent="0.3">
      <c r="A173" s="441">
        <v>169</v>
      </c>
      <c r="B173" s="403" t="s">
        <v>300</v>
      </c>
      <c r="C173" s="151">
        <v>1027</v>
      </c>
      <c r="D173" s="243">
        <v>1141</v>
      </c>
      <c r="E173" s="243">
        <v>2168</v>
      </c>
      <c r="F173" s="151">
        <v>183</v>
      </c>
      <c r="G173" s="243">
        <v>131</v>
      </c>
      <c r="H173" s="243">
        <v>314</v>
      </c>
      <c r="I173" s="151">
        <v>63</v>
      </c>
      <c r="J173" s="243">
        <v>26</v>
      </c>
      <c r="K173" s="243">
        <v>89</v>
      </c>
      <c r="L173" s="151">
        <v>298</v>
      </c>
      <c r="M173" s="243">
        <v>337</v>
      </c>
      <c r="N173" s="243">
        <v>635</v>
      </c>
    </row>
    <row r="174" spans="1:14" x14ac:dyDescent="0.3">
      <c r="A174" s="441">
        <v>170</v>
      </c>
      <c r="B174" s="403" t="s">
        <v>301</v>
      </c>
      <c r="C174" s="151">
        <v>200</v>
      </c>
      <c r="D174" s="243">
        <v>137</v>
      </c>
      <c r="E174" s="243">
        <v>337</v>
      </c>
      <c r="F174" s="151">
        <v>20</v>
      </c>
      <c r="G174" s="243">
        <v>15</v>
      </c>
      <c r="H174" s="243">
        <v>35</v>
      </c>
      <c r="I174" s="151">
        <v>10</v>
      </c>
      <c r="J174" s="243">
        <v>15</v>
      </c>
      <c r="K174" s="243">
        <v>25</v>
      </c>
      <c r="L174" s="151">
        <v>15</v>
      </c>
      <c r="M174" s="243">
        <v>5</v>
      </c>
      <c r="N174" s="243">
        <v>20</v>
      </c>
    </row>
    <row r="175" spans="1:14" x14ac:dyDescent="0.3">
      <c r="A175" s="441">
        <v>171</v>
      </c>
      <c r="B175" s="403" t="s">
        <v>302</v>
      </c>
      <c r="C175" s="151">
        <v>54</v>
      </c>
      <c r="D175" s="243">
        <v>280</v>
      </c>
      <c r="E175" s="243">
        <v>334</v>
      </c>
      <c r="F175" s="151">
        <v>3</v>
      </c>
      <c r="G175" s="243">
        <v>14</v>
      </c>
      <c r="H175" s="243">
        <v>17</v>
      </c>
      <c r="I175" s="151"/>
      <c r="J175" s="243">
        <v>7</v>
      </c>
      <c r="K175" s="243">
        <v>7</v>
      </c>
      <c r="L175" s="151">
        <v>17</v>
      </c>
      <c r="M175" s="243">
        <v>71</v>
      </c>
      <c r="N175" s="243">
        <v>88</v>
      </c>
    </row>
    <row r="176" spans="1:14" x14ac:dyDescent="0.3">
      <c r="A176" s="441">
        <v>172</v>
      </c>
      <c r="B176" s="403" t="s">
        <v>303</v>
      </c>
      <c r="C176" s="151">
        <v>339</v>
      </c>
      <c r="D176" s="243">
        <v>296</v>
      </c>
      <c r="E176" s="243">
        <v>635</v>
      </c>
      <c r="F176" s="151">
        <v>43</v>
      </c>
      <c r="G176" s="243">
        <v>29</v>
      </c>
      <c r="H176" s="243">
        <v>72</v>
      </c>
      <c r="I176" s="151">
        <v>23</v>
      </c>
      <c r="J176" s="243">
        <v>22</v>
      </c>
      <c r="K176" s="243">
        <v>45</v>
      </c>
      <c r="L176" s="151">
        <v>146</v>
      </c>
      <c r="M176" s="243">
        <v>134</v>
      </c>
      <c r="N176" s="243">
        <v>280</v>
      </c>
    </row>
    <row r="177" spans="1:14" x14ac:dyDescent="0.3">
      <c r="A177" s="441">
        <v>173</v>
      </c>
      <c r="B177" s="403" t="s">
        <v>304</v>
      </c>
      <c r="C177" s="151">
        <v>14</v>
      </c>
      <c r="D177" s="243">
        <v>84</v>
      </c>
      <c r="E177" s="243">
        <v>98</v>
      </c>
      <c r="F177" s="151">
        <v>2</v>
      </c>
      <c r="G177" s="243">
        <v>23</v>
      </c>
      <c r="H177" s="243">
        <v>25</v>
      </c>
      <c r="I177" s="151"/>
      <c r="J177" s="243"/>
      <c r="K177" s="243"/>
      <c r="L177" s="151">
        <v>5</v>
      </c>
      <c r="M177" s="243">
        <v>19</v>
      </c>
      <c r="N177" s="243">
        <v>24</v>
      </c>
    </row>
    <row r="178" spans="1:14" x14ac:dyDescent="0.3">
      <c r="A178" s="441">
        <v>174</v>
      </c>
      <c r="B178" s="403" t="s">
        <v>305</v>
      </c>
      <c r="C178" s="151">
        <v>853</v>
      </c>
      <c r="D178" s="243">
        <v>1092</v>
      </c>
      <c r="E178" s="243">
        <v>1945</v>
      </c>
      <c r="F178" s="151">
        <v>90</v>
      </c>
      <c r="G178" s="243">
        <v>102</v>
      </c>
      <c r="H178" s="243">
        <v>192</v>
      </c>
      <c r="I178" s="151">
        <v>48</v>
      </c>
      <c r="J178" s="243">
        <v>43</v>
      </c>
      <c r="K178" s="243">
        <v>91</v>
      </c>
      <c r="L178" s="151">
        <v>197</v>
      </c>
      <c r="M178" s="243">
        <v>213</v>
      </c>
      <c r="N178" s="243">
        <v>410</v>
      </c>
    </row>
    <row r="179" spans="1:14" x14ac:dyDescent="0.3">
      <c r="A179" s="441">
        <v>175</v>
      </c>
      <c r="B179" s="403" t="s">
        <v>306</v>
      </c>
      <c r="C179" s="151">
        <v>36</v>
      </c>
      <c r="D179" s="243">
        <v>71</v>
      </c>
      <c r="E179" s="243">
        <v>107</v>
      </c>
      <c r="F179" s="151"/>
      <c r="G179" s="243">
        <v>11</v>
      </c>
      <c r="H179" s="243">
        <v>11</v>
      </c>
      <c r="I179" s="151">
        <v>1</v>
      </c>
      <c r="J179" s="243">
        <v>2</v>
      </c>
      <c r="K179" s="243">
        <v>3</v>
      </c>
      <c r="L179" s="151">
        <v>8</v>
      </c>
      <c r="M179" s="243">
        <v>22</v>
      </c>
      <c r="N179" s="243">
        <v>30</v>
      </c>
    </row>
    <row r="180" spans="1:14" x14ac:dyDescent="0.3">
      <c r="A180" s="441">
        <v>176</v>
      </c>
      <c r="B180" s="403" t="s">
        <v>307</v>
      </c>
      <c r="C180" s="151">
        <v>247</v>
      </c>
      <c r="D180" s="243">
        <v>325</v>
      </c>
      <c r="E180" s="243">
        <v>572</v>
      </c>
      <c r="F180" s="151">
        <v>22</v>
      </c>
      <c r="G180" s="243">
        <v>17</v>
      </c>
      <c r="H180" s="243">
        <v>39</v>
      </c>
      <c r="I180" s="151">
        <v>44</v>
      </c>
      <c r="J180" s="243">
        <v>47</v>
      </c>
      <c r="K180" s="243">
        <v>91</v>
      </c>
      <c r="L180" s="151">
        <v>72</v>
      </c>
      <c r="M180" s="243">
        <v>74</v>
      </c>
      <c r="N180" s="243">
        <v>146</v>
      </c>
    </row>
    <row r="181" spans="1:14" x14ac:dyDescent="0.3">
      <c r="A181" s="441">
        <v>177</v>
      </c>
      <c r="B181" s="403" t="s">
        <v>308</v>
      </c>
      <c r="C181" s="151">
        <v>232</v>
      </c>
      <c r="D181" s="243">
        <v>172</v>
      </c>
      <c r="E181" s="243">
        <v>404</v>
      </c>
      <c r="F181" s="151">
        <v>24</v>
      </c>
      <c r="G181" s="243">
        <v>19</v>
      </c>
      <c r="H181" s="243">
        <v>43</v>
      </c>
      <c r="I181" s="151">
        <v>3</v>
      </c>
      <c r="J181" s="243">
        <v>3</v>
      </c>
      <c r="K181" s="243">
        <v>6</v>
      </c>
      <c r="L181" s="151">
        <v>106</v>
      </c>
      <c r="M181" s="243">
        <v>99</v>
      </c>
      <c r="N181" s="243">
        <v>205</v>
      </c>
    </row>
    <row r="182" spans="1:14" x14ac:dyDescent="0.3">
      <c r="A182" s="441">
        <v>178</v>
      </c>
      <c r="B182" s="403" t="s">
        <v>309</v>
      </c>
      <c r="C182" s="151">
        <v>844</v>
      </c>
      <c r="D182" s="243">
        <v>825</v>
      </c>
      <c r="E182" s="243">
        <v>1669</v>
      </c>
      <c r="F182" s="151">
        <v>91</v>
      </c>
      <c r="G182" s="243">
        <v>71</v>
      </c>
      <c r="H182" s="243">
        <v>162</v>
      </c>
      <c r="I182" s="151">
        <v>24</v>
      </c>
      <c r="J182" s="243">
        <v>17</v>
      </c>
      <c r="K182" s="243">
        <v>41</v>
      </c>
      <c r="L182" s="151">
        <v>240</v>
      </c>
      <c r="M182" s="243">
        <v>179</v>
      </c>
      <c r="N182" s="243">
        <v>419</v>
      </c>
    </row>
    <row r="183" spans="1:14" x14ac:dyDescent="0.3">
      <c r="A183" s="441">
        <v>179</v>
      </c>
      <c r="B183" s="403" t="s">
        <v>310</v>
      </c>
      <c r="C183" s="151">
        <v>423</v>
      </c>
      <c r="D183" s="243">
        <v>286</v>
      </c>
      <c r="E183" s="243">
        <v>709</v>
      </c>
      <c r="F183" s="151">
        <v>58</v>
      </c>
      <c r="G183" s="243">
        <v>29</v>
      </c>
      <c r="H183" s="243">
        <v>87</v>
      </c>
      <c r="I183" s="151">
        <v>29</v>
      </c>
      <c r="J183" s="243">
        <v>12</v>
      </c>
      <c r="K183" s="243">
        <v>41</v>
      </c>
      <c r="L183" s="151">
        <v>88</v>
      </c>
      <c r="M183" s="243">
        <v>63</v>
      </c>
      <c r="N183" s="243">
        <v>151</v>
      </c>
    </row>
    <row r="184" spans="1:14" x14ac:dyDescent="0.3">
      <c r="A184" s="441">
        <v>180</v>
      </c>
      <c r="B184" s="403" t="s">
        <v>311</v>
      </c>
      <c r="C184" s="151">
        <v>511</v>
      </c>
      <c r="D184" s="243">
        <v>399</v>
      </c>
      <c r="E184" s="243">
        <v>910</v>
      </c>
      <c r="F184" s="151">
        <v>20</v>
      </c>
      <c r="G184" s="243">
        <v>19</v>
      </c>
      <c r="H184" s="243">
        <v>39</v>
      </c>
      <c r="I184" s="151">
        <v>19</v>
      </c>
      <c r="J184" s="243">
        <v>14</v>
      </c>
      <c r="K184" s="243">
        <v>33</v>
      </c>
      <c r="L184" s="151">
        <v>53</v>
      </c>
      <c r="M184" s="243">
        <v>55</v>
      </c>
      <c r="N184" s="243">
        <v>108</v>
      </c>
    </row>
    <row r="185" spans="1:14" x14ac:dyDescent="0.3">
      <c r="A185" s="441">
        <v>181</v>
      </c>
      <c r="B185" s="403" t="s">
        <v>312</v>
      </c>
      <c r="C185" s="151">
        <v>1652</v>
      </c>
      <c r="D185" s="243">
        <v>2002</v>
      </c>
      <c r="E185" s="243">
        <v>3654</v>
      </c>
      <c r="F185" s="151">
        <v>315</v>
      </c>
      <c r="G185" s="243">
        <v>282</v>
      </c>
      <c r="H185" s="243">
        <v>597</v>
      </c>
      <c r="I185" s="151">
        <v>135</v>
      </c>
      <c r="J185" s="243">
        <v>153</v>
      </c>
      <c r="K185" s="243">
        <v>288</v>
      </c>
      <c r="L185" s="151">
        <v>562</v>
      </c>
      <c r="M185" s="243">
        <v>627</v>
      </c>
      <c r="N185" s="243">
        <v>1189</v>
      </c>
    </row>
    <row r="186" spans="1:14" x14ac:dyDescent="0.3">
      <c r="A186" s="441">
        <v>182</v>
      </c>
      <c r="B186" s="403" t="s">
        <v>313</v>
      </c>
      <c r="C186" s="151">
        <v>2093</v>
      </c>
      <c r="D186" s="243">
        <v>2145</v>
      </c>
      <c r="E186" s="243">
        <v>4238</v>
      </c>
      <c r="F186" s="151">
        <v>490</v>
      </c>
      <c r="G186" s="243">
        <v>370</v>
      </c>
      <c r="H186" s="243">
        <v>860</v>
      </c>
      <c r="I186" s="151">
        <v>142</v>
      </c>
      <c r="J186" s="243">
        <v>141</v>
      </c>
      <c r="K186" s="243">
        <v>283</v>
      </c>
      <c r="L186" s="151">
        <v>731</v>
      </c>
      <c r="M186" s="243">
        <v>750</v>
      </c>
      <c r="N186" s="243">
        <v>1481</v>
      </c>
    </row>
    <row r="187" spans="1:14" x14ac:dyDescent="0.3">
      <c r="A187" s="441">
        <v>183</v>
      </c>
      <c r="B187" s="403" t="s">
        <v>314</v>
      </c>
      <c r="C187" s="151">
        <v>10</v>
      </c>
      <c r="D187" s="243">
        <v>58</v>
      </c>
      <c r="E187" s="243">
        <v>68</v>
      </c>
      <c r="F187" s="151">
        <v>2</v>
      </c>
      <c r="G187" s="243">
        <v>7</v>
      </c>
      <c r="H187" s="243">
        <v>9</v>
      </c>
      <c r="I187" s="151"/>
      <c r="J187" s="243">
        <v>1</v>
      </c>
      <c r="K187" s="243">
        <v>1</v>
      </c>
      <c r="L187" s="151">
        <v>7</v>
      </c>
      <c r="M187" s="243">
        <v>46</v>
      </c>
      <c r="N187" s="243">
        <v>53</v>
      </c>
    </row>
    <row r="188" spans="1:14" x14ac:dyDescent="0.3">
      <c r="A188" s="441">
        <v>184</v>
      </c>
      <c r="B188" s="403" t="s">
        <v>315</v>
      </c>
      <c r="C188" s="151">
        <v>175</v>
      </c>
      <c r="D188" s="243">
        <v>207</v>
      </c>
      <c r="E188" s="243">
        <v>382</v>
      </c>
      <c r="F188" s="151">
        <v>18</v>
      </c>
      <c r="G188" s="243">
        <v>20</v>
      </c>
      <c r="H188" s="243">
        <v>38</v>
      </c>
      <c r="I188" s="151">
        <v>12</v>
      </c>
      <c r="J188" s="243">
        <v>5</v>
      </c>
      <c r="K188" s="243">
        <v>17</v>
      </c>
      <c r="L188" s="151">
        <v>33</v>
      </c>
      <c r="M188" s="243">
        <v>39</v>
      </c>
      <c r="N188" s="243">
        <v>72</v>
      </c>
    </row>
    <row r="189" spans="1:14" x14ac:dyDescent="0.3">
      <c r="A189" s="441">
        <v>185</v>
      </c>
      <c r="B189" s="403" t="s">
        <v>316</v>
      </c>
      <c r="C189" s="151">
        <v>1126</v>
      </c>
      <c r="D189" s="243">
        <v>814</v>
      </c>
      <c r="E189" s="243">
        <v>1940</v>
      </c>
      <c r="F189" s="151">
        <v>102</v>
      </c>
      <c r="G189" s="243">
        <v>81</v>
      </c>
      <c r="H189" s="243">
        <v>183</v>
      </c>
      <c r="I189" s="151">
        <v>15</v>
      </c>
      <c r="J189" s="243">
        <v>10</v>
      </c>
      <c r="K189" s="243">
        <v>25</v>
      </c>
      <c r="L189" s="151">
        <v>141</v>
      </c>
      <c r="M189" s="243">
        <v>86</v>
      </c>
      <c r="N189" s="243">
        <v>227</v>
      </c>
    </row>
    <row r="190" spans="1:14" x14ac:dyDescent="0.3">
      <c r="A190" s="441">
        <v>186</v>
      </c>
      <c r="B190" s="403" t="s">
        <v>317</v>
      </c>
      <c r="C190" s="151">
        <v>1250</v>
      </c>
      <c r="D190" s="243">
        <v>966</v>
      </c>
      <c r="E190" s="243">
        <v>2216</v>
      </c>
      <c r="F190" s="151">
        <v>123</v>
      </c>
      <c r="G190" s="243">
        <v>131</v>
      </c>
      <c r="H190" s="243">
        <v>254</v>
      </c>
      <c r="I190" s="151">
        <v>47</v>
      </c>
      <c r="J190" s="243">
        <v>22</v>
      </c>
      <c r="K190" s="243">
        <v>69</v>
      </c>
      <c r="L190" s="151">
        <v>221</v>
      </c>
      <c r="M190" s="243">
        <v>157</v>
      </c>
      <c r="N190" s="243">
        <v>378</v>
      </c>
    </row>
    <row r="191" spans="1:14" x14ac:dyDescent="0.3">
      <c r="A191" s="441">
        <v>187</v>
      </c>
      <c r="B191" s="403" t="s">
        <v>318</v>
      </c>
      <c r="C191" s="151">
        <v>201</v>
      </c>
      <c r="D191" s="243">
        <v>109</v>
      </c>
      <c r="E191" s="243">
        <v>310</v>
      </c>
      <c r="F191" s="151">
        <v>29</v>
      </c>
      <c r="G191" s="243">
        <v>9</v>
      </c>
      <c r="H191" s="243">
        <v>38</v>
      </c>
      <c r="I191" s="151">
        <v>11</v>
      </c>
      <c r="J191" s="243">
        <v>6</v>
      </c>
      <c r="K191" s="243">
        <v>17</v>
      </c>
      <c r="L191" s="151">
        <v>112</v>
      </c>
      <c r="M191" s="243">
        <v>65</v>
      </c>
      <c r="N191" s="243">
        <v>177</v>
      </c>
    </row>
    <row r="192" spans="1:14" ht="15" customHeight="1" x14ac:dyDescent="0.3">
      <c r="A192" s="441">
        <v>188</v>
      </c>
      <c r="B192" s="408" t="s">
        <v>319</v>
      </c>
      <c r="C192" s="151">
        <v>318</v>
      </c>
      <c r="D192" s="243">
        <v>431</v>
      </c>
      <c r="E192" s="243">
        <v>749</v>
      </c>
      <c r="F192" s="151">
        <v>73</v>
      </c>
      <c r="G192" s="243">
        <v>73</v>
      </c>
      <c r="H192" s="243">
        <v>146</v>
      </c>
      <c r="I192" s="151">
        <v>7</v>
      </c>
      <c r="J192" s="243">
        <v>18</v>
      </c>
      <c r="K192" s="243">
        <v>25</v>
      </c>
      <c r="L192" s="151">
        <v>94</v>
      </c>
      <c r="M192" s="243">
        <v>108</v>
      </c>
      <c r="N192" s="243">
        <v>202</v>
      </c>
    </row>
    <row r="193" spans="1:14" x14ac:dyDescent="0.3">
      <c r="A193" s="441">
        <v>189</v>
      </c>
      <c r="B193" s="403" t="s">
        <v>320</v>
      </c>
      <c r="C193" s="151">
        <v>57</v>
      </c>
      <c r="D193" s="243">
        <v>21</v>
      </c>
      <c r="E193" s="243">
        <v>78</v>
      </c>
      <c r="F193" s="151">
        <v>1</v>
      </c>
      <c r="G193" s="243"/>
      <c r="H193" s="243">
        <v>1</v>
      </c>
      <c r="I193" s="151"/>
      <c r="J193" s="243"/>
      <c r="K193" s="243"/>
      <c r="L193" s="151">
        <v>10</v>
      </c>
      <c r="M193" s="243">
        <v>1</v>
      </c>
      <c r="N193" s="243">
        <v>11</v>
      </c>
    </row>
    <row r="194" spans="1:14" x14ac:dyDescent="0.3">
      <c r="A194" s="441">
        <v>190</v>
      </c>
      <c r="B194" s="403" t="s">
        <v>321</v>
      </c>
      <c r="C194" s="151">
        <v>83</v>
      </c>
      <c r="D194" s="243">
        <v>185</v>
      </c>
      <c r="E194" s="243">
        <v>268</v>
      </c>
      <c r="F194" s="151">
        <v>7</v>
      </c>
      <c r="G194" s="243">
        <v>15</v>
      </c>
      <c r="H194" s="243">
        <v>22</v>
      </c>
      <c r="I194" s="151">
        <v>1</v>
      </c>
      <c r="J194" s="243">
        <v>7</v>
      </c>
      <c r="K194" s="243">
        <v>8</v>
      </c>
      <c r="L194" s="151">
        <v>30</v>
      </c>
      <c r="M194" s="243">
        <v>35</v>
      </c>
      <c r="N194" s="243">
        <v>65</v>
      </c>
    </row>
    <row r="195" spans="1:14" x14ac:dyDescent="0.3">
      <c r="A195" s="441">
        <v>191</v>
      </c>
      <c r="B195" s="403" t="s">
        <v>322</v>
      </c>
      <c r="C195" s="151">
        <v>115</v>
      </c>
      <c r="D195" s="243">
        <v>211</v>
      </c>
      <c r="E195" s="243">
        <v>326</v>
      </c>
      <c r="F195" s="151">
        <v>5</v>
      </c>
      <c r="G195" s="243">
        <v>7</v>
      </c>
      <c r="H195" s="243">
        <v>12</v>
      </c>
      <c r="I195" s="151">
        <v>7</v>
      </c>
      <c r="J195" s="243">
        <v>8</v>
      </c>
      <c r="K195" s="243">
        <v>15</v>
      </c>
      <c r="L195" s="151">
        <v>20</v>
      </c>
      <c r="M195" s="243">
        <v>53</v>
      </c>
      <c r="N195" s="243">
        <v>73</v>
      </c>
    </row>
    <row r="196" spans="1:14" ht="15" customHeight="1" x14ac:dyDescent="0.3">
      <c r="A196" s="441">
        <v>192</v>
      </c>
      <c r="B196" s="408" t="s">
        <v>323</v>
      </c>
      <c r="C196" s="151">
        <v>423</v>
      </c>
      <c r="D196" s="243">
        <v>419</v>
      </c>
      <c r="E196" s="243">
        <v>842</v>
      </c>
      <c r="F196" s="151">
        <v>47</v>
      </c>
      <c r="G196" s="243">
        <v>32</v>
      </c>
      <c r="H196" s="243">
        <v>79</v>
      </c>
      <c r="I196" s="151">
        <v>19</v>
      </c>
      <c r="J196" s="243">
        <v>15</v>
      </c>
      <c r="K196" s="243">
        <v>34</v>
      </c>
      <c r="L196" s="151">
        <v>107</v>
      </c>
      <c r="M196" s="243">
        <v>81</v>
      </c>
      <c r="N196" s="243">
        <v>188</v>
      </c>
    </row>
    <row r="197" spans="1:14" x14ac:dyDescent="0.3">
      <c r="A197" s="441">
        <v>193</v>
      </c>
      <c r="B197" s="403" t="s">
        <v>324</v>
      </c>
      <c r="C197" s="151">
        <v>454</v>
      </c>
      <c r="D197" s="243">
        <v>256</v>
      </c>
      <c r="E197" s="243">
        <v>710</v>
      </c>
      <c r="F197" s="151">
        <v>59</v>
      </c>
      <c r="G197" s="243">
        <v>28</v>
      </c>
      <c r="H197" s="243">
        <v>87</v>
      </c>
      <c r="I197" s="151">
        <v>43</v>
      </c>
      <c r="J197" s="243">
        <v>25</v>
      </c>
      <c r="K197" s="243">
        <v>68</v>
      </c>
      <c r="L197" s="151">
        <v>138</v>
      </c>
      <c r="M197" s="243">
        <v>93</v>
      </c>
      <c r="N197" s="243">
        <v>231</v>
      </c>
    </row>
    <row r="198" spans="1:14" x14ac:dyDescent="0.3">
      <c r="A198" s="441">
        <v>194</v>
      </c>
      <c r="B198" s="403" t="s">
        <v>325</v>
      </c>
      <c r="C198" s="151">
        <v>58</v>
      </c>
      <c r="D198" s="243">
        <v>30</v>
      </c>
      <c r="E198" s="243">
        <v>88</v>
      </c>
      <c r="F198" s="151">
        <v>4</v>
      </c>
      <c r="G198" s="243">
        <v>6</v>
      </c>
      <c r="H198" s="243">
        <v>10</v>
      </c>
      <c r="I198" s="151">
        <v>5</v>
      </c>
      <c r="J198" s="243">
        <v>2</v>
      </c>
      <c r="K198" s="243">
        <v>7</v>
      </c>
      <c r="L198" s="151">
        <v>15</v>
      </c>
      <c r="M198" s="243">
        <v>8</v>
      </c>
      <c r="N198" s="243">
        <v>23</v>
      </c>
    </row>
    <row r="199" spans="1:14" x14ac:dyDescent="0.3">
      <c r="A199" s="441">
        <v>195</v>
      </c>
      <c r="B199" s="403" t="s">
        <v>326</v>
      </c>
      <c r="C199" s="151">
        <v>3344</v>
      </c>
      <c r="D199" s="243">
        <v>1722</v>
      </c>
      <c r="E199" s="243">
        <v>5066</v>
      </c>
      <c r="F199" s="151">
        <v>470</v>
      </c>
      <c r="G199" s="243">
        <v>267</v>
      </c>
      <c r="H199" s="243">
        <v>737</v>
      </c>
      <c r="I199" s="151">
        <v>182</v>
      </c>
      <c r="J199" s="243">
        <v>106</v>
      </c>
      <c r="K199" s="243">
        <v>288</v>
      </c>
      <c r="L199" s="151">
        <v>1080</v>
      </c>
      <c r="M199" s="243">
        <v>513</v>
      </c>
      <c r="N199" s="243">
        <v>1593</v>
      </c>
    </row>
    <row r="200" spans="1:14" x14ac:dyDescent="0.3">
      <c r="A200" s="441">
        <v>196</v>
      </c>
      <c r="B200" s="403" t="s">
        <v>327</v>
      </c>
      <c r="C200" s="151">
        <v>425</v>
      </c>
      <c r="D200" s="243">
        <v>848</v>
      </c>
      <c r="E200" s="243">
        <v>1273</v>
      </c>
      <c r="F200" s="151">
        <v>44</v>
      </c>
      <c r="G200" s="243">
        <v>65</v>
      </c>
      <c r="H200" s="243">
        <v>109</v>
      </c>
      <c r="I200" s="151">
        <v>21</v>
      </c>
      <c r="J200" s="243">
        <v>39</v>
      </c>
      <c r="K200" s="243">
        <v>60</v>
      </c>
      <c r="L200" s="151">
        <v>105</v>
      </c>
      <c r="M200" s="243">
        <v>235</v>
      </c>
      <c r="N200" s="243">
        <v>340</v>
      </c>
    </row>
    <row r="201" spans="1:14" x14ac:dyDescent="0.3">
      <c r="A201" s="441">
        <v>197</v>
      </c>
      <c r="B201" s="403" t="s">
        <v>328</v>
      </c>
      <c r="C201" s="151">
        <v>14</v>
      </c>
      <c r="D201" s="243">
        <v>5</v>
      </c>
      <c r="E201" s="243">
        <v>19</v>
      </c>
      <c r="F201" s="151">
        <v>1</v>
      </c>
      <c r="G201" s="243">
        <v>2</v>
      </c>
      <c r="H201" s="243">
        <v>3</v>
      </c>
      <c r="I201" s="151"/>
      <c r="J201" s="243">
        <v>1</v>
      </c>
      <c r="K201" s="243">
        <v>1</v>
      </c>
      <c r="L201" s="151">
        <v>2</v>
      </c>
      <c r="M201" s="243"/>
      <c r="N201" s="243">
        <v>2</v>
      </c>
    </row>
    <row r="202" spans="1:14" x14ac:dyDescent="0.3">
      <c r="A202" s="441">
        <v>198</v>
      </c>
      <c r="B202" s="403" t="s">
        <v>329</v>
      </c>
      <c r="C202" s="151">
        <v>25</v>
      </c>
      <c r="D202" s="243">
        <v>17</v>
      </c>
      <c r="E202" s="243">
        <v>42</v>
      </c>
      <c r="F202" s="151">
        <v>4</v>
      </c>
      <c r="G202" s="243"/>
      <c r="H202" s="243">
        <v>4</v>
      </c>
      <c r="I202" s="151">
        <v>2</v>
      </c>
      <c r="J202" s="243"/>
      <c r="K202" s="243">
        <v>2</v>
      </c>
      <c r="L202" s="151">
        <v>9</v>
      </c>
      <c r="M202" s="243">
        <v>4</v>
      </c>
      <c r="N202" s="243">
        <v>13</v>
      </c>
    </row>
    <row r="203" spans="1:14" x14ac:dyDescent="0.3">
      <c r="A203" s="441">
        <v>199</v>
      </c>
      <c r="B203" s="403" t="s">
        <v>330</v>
      </c>
      <c r="C203" s="151">
        <v>1250</v>
      </c>
      <c r="D203" s="243">
        <v>2759</v>
      </c>
      <c r="E203" s="243">
        <v>4009</v>
      </c>
      <c r="F203" s="151">
        <v>108</v>
      </c>
      <c r="G203" s="243">
        <v>220</v>
      </c>
      <c r="H203" s="243">
        <v>328</v>
      </c>
      <c r="I203" s="151">
        <v>31</v>
      </c>
      <c r="J203" s="243">
        <v>55</v>
      </c>
      <c r="K203" s="243">
        <v>86</v>
      </c>
      <c r="L203" s="151">
        <v>426</v>
      </c>
      <c r="M203" s="243">
        <v>726</v>
      </c>
      <c r="N203" s="243">
        <v>1152</v>
      </c>
    </row>
    <row r="204" spans="1:14" x14ac:dyDescent="0.3">
      <c r="A204" s="441">
        <v>200</v>
      </c>
      <c r="B204" s="403" t="s">
        <v>331</v>
      </c>
      <c r="C204" s="151">
        <v>9113</v>
      </c>
      <c r="D204" s="243">
        <v>10074</v>
      </c>
      <c r="E204" s="243">
        <v>19187</v>
      </c>
      <c r="F204" s="151">
        <v>896</v>
      </c>
      <c r="G204" s="243">
        <v>1100</v>
      </c>
      <c r="H204" s="243">
        <v>1996</v>
      </c>
      <c r="I204" s="151">
        <v>285</v>
      </c>
      <c r="J204" s="243">
        <v>302</v>
      </c>
      <c r="K204" s="243">
        <v>587</v>
      </c>
      <c r="L204" s="151">
        <v>3312</v>
      </c>
      <c r="M204" s="243">
        <v>3892</v>
      </c>
      <c r="N204" s="243">
        <v>7204</v>
      </c>
    </row>
    <row r="205" spans="1:14" x14ac:dyDescent="0.3">
      <c r="A205" s="441">
        <v>201</v>
      </c>
      <c r="B205" s="403" t="s">
        <v>332</v>
      </c>
      <c r="C205" s="151">
        <v>235</v>
      </c>
      <c r="D205" s="243">
        <v>597</v>
      </c>
      <c r="E205" s="243">
        <v>832</v>
      </c>
      <c r="F205" s="151">
        <v>53</v>
      </c>
      <c r="G205" s="243">
        <v>56</v>
      </c>
      <c r="H205" s="243">
        <v>109</v>
      </c>
      <c r="I205" s="151">
        <v>12</v>
      </c>
      <c r="J205" s="243">
        <v>19</v>
      </c>
      <c r="K205" s="243">
        <v>31</v>
      </c>
      <c r="L205" s="151">
        <v>75</v>
      </c>
      <c r="M205" s="243">
        <v>236</v>
      </c>
      <c r="N205" s="243">
        <v>311</v>
      </c>
    </row>
    <row r="206" spans="1:14" x14ac:dyDescent="0.3">
      <c r="A206" s="441">
        <v>202</v>
      </c>
      <c r="B206" s="403" t="s">
        <v>333</v>
      </c>
      <c r="C206" s="151">
        <v>417</v>
      </c>
      <c r="D206" s="243">
        <v>490</v>
      </c>
      <c r="E206" s="243">
        <v>907</v>
      </c>
      <c r="F206" s="151">
        <v>35</v>
      </c>
      <c r="G206" s="243">
        <v>34</v>
      </c>
      <c r="H206" s="243">
        <v>69</v>
      </c>
      <c r="I206" s="151">
        <v>12</v>
      </c>
      <c r="J206" s="243">
        <v>17</v>
      </c>
      <c r="K206" s="243">
        <v>29</v>
      </c>
      <c r="L206" s="151">
        <v>102</v>
      </c>
      <c r="M206" s="243">
        <v>105</v>
      </c>
      <c r="N206" s="243">
        <v>207</v>
      </c>
    </row>
    <row r="207" spans="1:14" x14ac:dyDescent="0.3">
      <c r="A207" s="441">
        <v>203</v>
      </c>
      <c r="B207" s="403" t="s">
        <v>335</v>
      </c>
      <c r="C207" s="151">
        <v>2323</v>
      </c>
      <c r="D207" s="243">
        <v>3499</v>
      </c>
      <c r="E207" s="243">
        <v>5822</v>
      </c>
      <c r="F207" s="151">
        <v>302</v>
      </c>
      <c r="G207" s="243">
        <v>401</v>
      </c>
      <c r="H207" s="243">
        <v>703</v>
      </c>
      <c r="I207" s="151">
        <v>187</v>
      </c>
      <c r="J207" s="243">
        <v>239</v>
      </c>
      <c r="K207" s="243">
        <v>426</v>
      </c>
      <c r="L207" s="151">
        <v>735</v>
      </c>
      <c r="M207" s="243">
        <v>1266</v>
      </c>
      <c r="N207" s="243">
        <v>2001</v>
      </c>
    </row>
    <row r="208" spans="1:14" x14ac:dyDescent="0.3">
      <c r="A208" s="441">
        <v>204</v>
      </c>
      <c r="B208" s="403" t="s">
        <v>336</v>
      </c>
      <c r="C208" s="151">
        <v>3405</v>
      </c>
      <c r="D208" s="243">
        <v>3230</v>
      </c>
      <c r="E208" s="243">
        <v>6635</v>
      </c>
      <c r="F208" s="151">
        <v>291</v>
      </c>
      <c r="G208" s="243">
        <v>274</v>
      </c>
      <c r="H208" s="243">
        <v>565</v>
      </c>
      <c r="I208" s="151">
        <v>142</v>
      </c>
      <c r="J208" s="243">
        <v>124</v>
      </c>
      <c r="K208" s="243">
        <v>266</v>
      </c>
      <c r="L208" s="151">
        <v>891</v>
      </c>
      <c r="M208" s="243">
        <v>898</v>
      </c>
      <c r="N208" s="243">
        <v>1789</v>
      </c>
    </row>
    <row r="209" spans="1:14" x14ac:dyDescent="0.3">
      <c r="A209" s="441">
        <v>205</v>
      </c>
      <c r="B209" s="403" t="s">
        <v>337</v>
      </c>
      <c r="C209" s="151">
        <v>10348</v>
      </c>
      <c r="D209" s="243">
        <v>14297</v>
      </c>
      <c r="E209" s="243">
        <v>24645</v>
      </c>
      <c r="F209" s="151">
        <v>2285</v>
      </c>
      <c r="G209" s="243">
        <v>2582</v>
      </c>
      <c r="H209" s="243">
        <v>4867</v>
      </c>
      <c r="I209" s="151">
        <v>1883</v>
      </c>
      <c r="J209" s="243">
        <v>2352</v>
      </c>
      <c r="K209" s="243">
        <v>4235</v>
      </c>
      <c r="L209" s="151">
        <v>3473</v>
      </c>
      <c r="M209" s="243">
        <v>4833</v>
      </c>
      <c r="N209" s="243">
        <v>8306</v>
      </c>
    </row>
    <row r="210" spans="1:14" x14ac:dyDescent="0.3">
      <c r="A210" s="441">
        <v>206</v>
      </c>
      <c r="B210" s="403" t="s">
        <v>338</v>
      </c>
      <c r="C210" s="151">
        <v>6</v>
      </c>
      <c r="D210" s="243">
        <v>23</v>
      </c>
      <c r="E210" s="243">
        <v>29</v>
      </c>
      <c r="F210" s="151">
        <v>2</v>
      </c>
      <c r="G210" s="243">
        <v>7</v>
      </c>
      <c r="H210" s="243">
        <v>9</v>
      </c>
      <c r="I210" s="151"/>
      <c r="J210" s="243">
        <v>1</v>
      </c>
      <c r="K210" s="243">
        <v>1</v>
      </c>
      <c r="L210" s="151">
        <v>1</v>
      </c>
      <c r="M210" s="243">
        <v>4</v>
      </c>
      <c r="N210" s="243">
        <v>5</v>
      </c>
    </row>
    <row r="211" spans="1:14" x14ac:dyDescent="0.3">
      <c r="A211" s="441">
        <v>207</v>
      </c>
      <c r="B211" s="403" t="s">
        <v>339</v>
      </c>
      <c r="C211" s="151">
        <v>16</v>
      </c>
      <c r="D211" s="243">
        <v>36</v>
      </c>
      <c r="E211" s="243">
        <v>52</v>
      </c>
      <c r="F211" s="151">
        <v>2</v>
      </c>
      <c r="G211" s="243">
        <v>2</v>
      </c>
      <c r="H211" s="243">
        <v>4</v>
      </c>
      <c r="I211" s="151"/>
      <c r="J211" s="243">
        <v>1</v>
      </c>
      <c r="K211" s="243">
        <v>1</v>
      </c>
      <c r="L211" s="151">
        <v>2</v>
      </c>
      <c r="M211" s="243">
        <v>10</v>
      </c>
      <c r="N211" s="243">
        <v>12</v>
      </c>
    </row>
    <row r="212" spans="1:14" x14ac:dyDescent="0.3">
      <c r="A212" s="441">
        <v>208</v>
      </c>
      <c r="B212" s="403" t="s">
        <v>340</v>
      </c>
      <c r="C212" s="151">
        <v>3</v>
      </c>
      <c r="D212" s="243">
        <v>14</v>
      </c>
      <c r="E212" s="243">
        <v>17</v>
      </c>
      <c r="F212" s="151"/>
      <c r="G212" s="243">
        <v>2</v>
      </c>
      <c r="H212" s="243">
        <v>2</v>
      </c>
      <c r="I212" s="151"/>
      <c r="J212" s="243"/>
      <c r="K212" s="243"/>
      <c r="L212" s="151"/>
      <c r="M212" s="243">
        <v>2</v>
      </c>
      <c r="N212" s="243">
        <v>2</v>
      </c>
    </row>
    <row r="213" spans="1:14" x14ac:dyDescent="0.3">
      <c r="A213" s="441">
        <v>209</v>
      </c>
      <c r="B213" s="403" t="s">
        <v>341</v>
      </c>
      <c r="C213" s="151">
        <v>68</v>
      </c>
      <c r="D213" s="243">
        <v>38</v>
      </c>
      <c r="E213" s="243">
        <v>106</v>
      </c>
      <c r="F213" s="151">
        <v>10</v>
      </c>
      <c r="G213" s="243">
        <v>3</v>
      </c>
      <c r="H213" s="243">
        <v>13</v>
      </c>
      <c r="I213" s="151">
        <v>4</v>
      </c>
      <c r="J213" s="243">
        <v>2</v>
      </c>
      <c r="K213" s="243">
        <v>6</v>
      </c>
      <c r="L213" s="151">
        <v>31</v>
      </c>
      <c r="M213" s="243">
        <v>14</v>
      </c>
      <c r="N213" s="243">
        <v>45</v>
      </c>
    </row>
    <row r="214" spans="1:14" x14ac:dyDescent="0.3">
      <c r="A214" s="441">
        <v>210</v>
      </c>
      <c r="B214" s="403" t="s">
        <v>342</v>
      </c>
      <c r="C214" s="151">
        <v>6</v>
      </c>
      <c r="D214" s="243">
        <v>20</v>
      </c>
      <c r="E214" s="243">
        <v>26</v>
      </c>
      <c r="F214" s="151">
        <v>1</v>
      </c>
      <c r="G214" s="243">
        <v>3</v>
      </c>
      <c r="H214" s="243">
        <v>4</v>
      </c>
      <c r="I214" s="151"/>
      <c r="J214" s="243">
        <v>1</v>
      </c>
      <c r="K214" s="243">
        <v>1</v>
      </c>
      <c r="L214" s="151"/>
      <c r="M214" s="243">
        <v>5</v>
      </c>
      <c r="N214" s="243">
        <v>5</v>
      </c>
    </row>
    <row r="215" spans="1:14" x14ac:dyDescent="0.3">
      <c r="A215" s="441">
        <v>211</v>
      </c>
      <c r="B215" s="403" t="s">
        <v>343</v>
      </c>
      <c r="C215" s="151">
        <v>90</v>
      </c>
      <c r="D215" s="243">
        <v>130</v>
      </c>
      <c r="E215" s="243">
        <v>220</v>
      </c>
      <c r="F215" s="151">
        <v>5</v>
      </c>
      <c r="G215" s="243">
        <v>4</v>
      </c>
      <c r="H215" s="243">
        <v>9</v>
      </c>
      <c r="I215" s="151">
        <v>2</v>
      </c>
      <c r="J215" s="243">
        <v>5</v>
      </c>
      <c r="K215" s="243">
        <v>7</v>
      </c>
      <c r="L215" s="151">
        <v>33</v>
      </c>
      <c r="M215" s="243">
        <v>32</v>
      </c>
      <c r="N215" s="243">
        <v>65</v>
      </c>
    </row>
    <row r="216" spans="1:14" x14ac:dyDescent="0.3">
      <c r="A216" s="441">
        <v>212</v>
      </c>
      <c r="B216" s="403" t="s">
        <v>344</v>
      </c>
      <c r="C216" s="151">
        <v>274</v>
      </c>
      <c r="D216" s="243">
        <v>132</v>
      </c>
      <c r="E216" s="243">
        <v>406</v>
      </c>
      <c r="F216" s="151">
        <v>7</v>
      </c>
      <c r="G216" s="243">
        <v>5</v>
      </c>
      <c r="H216" s="243">
        <v>12</v>
      </c>
      <c r="I216" s="151"/>
      <c r="J216" s="243"/>
      <c r="K216" s="243"/>
      <c r="L216" s="151">
        <v>151</v>
      </c>
      <c r="M216" s="243">
        <v>68</v>
      </c>
      <c r="N216" s="243">
        <v>219</v>
      </c>
    </row>
    <row r="217" spans="1:14" x14ac:dyDescent="0.3">
      <c r="A217" s="441">
        <v>213</v>
      </c>
      <c r="B217" s="403" t="s">
        <v>345</v>
      </c>
      <c r="C217" s="151">
        <v>3</v>
      </c>
      <c r="D217" s="243">
        <v>30</v>
      </c>
      <c r="E217" s="243">
        <v>33</v>
      </c>
      <c r="F217" s="151">
        <v>1</v>
      </c>
      <c r="G217" s="243">
        <v>1</v>
      </c>
      <c r="H217" s="243">
        <v>2</v>
      </c>
      <c r="I217" s="151"/>
      <c r="J217" s="243">
        <v>4</v>
      </c>
      <c r="K217" s="243">
        <v>4</v>
      </c>
      <c r="L217" s="151"/>
      <c r="M217" s="243">
        <v>7</v>
      </c>
      <c r="N217" s="243">
        <v>7</v>
      </c>
    </row>
    <row r="218" spans="1:14" x14ac:dyDescent="0.3">
      <c r="A218" s="441">
        <v>214</v>
      </c>
      <c r="B218" s="403" t="s">
        <v>346</v>
      </c>
      <c r="C218" s="151">
        <v>1410</v>
      </c>
      <c r="D218" s="243">
        <v>5268</v>
      </c>
      <c r="E218" s="243">
        <v>6678</v>
      </c>
      <c r="F218" s="151">
        <v>236</v>
      </c>
      <c r="G218" s="243">
        <v>796</v>
      </c>
      <c r="H218" s="243">
        <v>1032</v>
      </c>
      <c r="I218" s="151">
        <v>114</v>
      </c>
      <c r="J218" s="243">
        <v>476</v>
      </c>
      <c r="K218" s="243">
        <v>590</v>
      </c>
      <c r="L218" s="151">
        <v>397</v>
      </c>
      <c r="M218" s="243">
        <v>1523</v>
      </c>
      <c r="N218" s="243">
        <v>1920</v>
      </c>
    </row>
    <row r="219" spans="1:14" x14ac:dyDescent="0.3">
      <c r="A219" s="441">
        <v>215</v>
      </c>
      <c r="B219" s="403" t="s">
        <v>347</v>
      </c>
      <c r="C219" s="151">
        <v>7</v>
      </c>
      <c r="D219" s="243">
        <v>27</v>
      </c>
      <c r="E219" s="243">
        <v>34</v>
      </c>
      <c r="F219" s="151"/>
      <c r="G219" s="243">
        <v>2</v>
      </c>
      <c r="H219" s="243">
        <v>2</v>
      </c>
      <c r="I219" s="151">
        <v>5</v>
      </c>
      <c r="J219" s="243">
        <v>3</v>
      </c>
      <c r="K219" s="243">
        <v>8</v>
      </c>
      <c r="L219" s="151"/>
      <c r="M219" s="243">
        <v>5</v>
      </c>
      <c r="N219" s="243">
        <v>5</v>
      </c>
    </row>
    <row r="220" spans="1:14" x14ac:dyDescent="0.3">
      <c r="A220" s="441">
        <v>216</v>
      </c>
      <c r="B220" s="403" t="s">
        <v>348</v>
      </c>
      <c r="C220" s="151">
        <v>458</v>
      </c>
      <c r="D220" s="243">
        <v>373</v>
      </c>
      <c r="E220" s="243">
        <v>831</v>
      </c>
      <c r="F220" s="151">
        <v>54</v>
      </c>
      <c r="G220" s="243">
        <v>53</v>
      </c>
      <c r="H220" s="243">
        <v>107</v>
      </c>
      <c r="I220" s="151">
        <v>27</v>
      </c>
      <c r="J220" s="243">
        <v>23</v>
      </c>
      <c r="K220" s="243">
        <v>50</v>
      </c>
      <c r="L220" s="151">
        <v>150</v>
      </c>
      <c r="M220" s="243">
        <v>117</v>
      </c>
      <c r="N220" s="243">
        <v>267</v>
      </c>
    </row>
    <row r="221" spans="1:14" ht="26" x14ac:dyDescent="0.3">
      <c r="A221" s="441">
        <v>217</v>
      </c>
      <c r="B221" s="403" t="s">
        <v>349</v>
      </c>
      <c r="C221" s="151">
        <v>60</v>
      </c>
      <c r="D221" s="243">
        <v>18</v>
      </c>
      <c r="E221" s="243">
        <v>78</v>
      </c>
      <c r="F221" s="151">
        <v>5</v>
      </c>
      <c r="G221" s="243">
        <v>3</v>
      </c>
      <c r="H221" s="243">
        <v>8</v>
      </c>
      <c r="I221" s="151">
        <v>4</v>
      </c>
      <c r="J221" s="243">
        <v>1</v>
      </c>
      <c r="K221" s="243">
        <v>5</v>
      </c>
      <c r="L221" s="151">
        <v>21</v>
      </c>
      <c r="M221" s="243">
        <v>5</v>
      </c>
      <c r="N221" s="243">
        <v>26</v>
      </c>
    </row>
    <row r="222" spans="1:14" x14ac:dyDescent="0.3">
      <c r="A222" s="441">
        <v>218</v>
      </c>
      <c r="B222" s="403" t="s">
        <v>351</v>
      </c>
      <c r="C222" s="151">
        <v>116</v>
      </c>
      <c r="D222" s="243">
        <v>117</v>
      </c>
      <c r="E222" s="243">
        <v>233</v>
      </c>
      <c r="F222" s="151">
        <v>14</v>
      </c>
      <c r="G222" s="243">
        <v>10</v>
      </c>
      <c r="H222" s="243">
        <v>24</v>
      </c>
      <c r="I222" s="151">
        <v>5</v>
      </c>
      <c r="J222" s="243">
        <v>7</v>
      </c>
      <c r="K222" s="243">
        <v>12</v>
      </c>
      <c r="L222" s="151">
        <v>29</v>
      </c>
      <c r="M222" s="243">
        <v>25</v>
      </c>
      <c r="N222" s="243">
        <v>54</v>
      </c>
    </row>
    <row r="223" spans="1:14" x14ac:dyDescent="0.3">
      <c r="A223" s="441">
        <v>219</v>
      </c>
      <c r="B223" s="403" t="s">
        <v>352</v>
      </c>
      <c r="C223" s="151">
        <v>6</v>
      </c>
      <c r="D223" s="243">
        <v>45</v>
      </c>
      <c r="E223" s="243">
        <v>51</v>
      </c>
      <c r="F223" s="151">
        <v>2</v>
      </c>
      <c r="G223" s="243">
        <v>4</v>
      </c>
      <c r="H223" s="243">
        <v>6</v>
      </c>
      <c r="I223" s="151"/>
      <c r="J223" s="243">
        <v>3</v>
      </c>
      <c r="K223" s="243">
        <v>3</v>
      </c>
      <c r="L223" s="151">
        <v>1</v>
      </c>
      <c r="M223" s="243">
        <v>16</v>
      </c>
      <c r="N223" s="243">
        <v>17</v>
      </c>
    </row>
    <row r="224" spans="1:14" ht="26" x14ac:dyDescent="0.3">
      <c r="A224" s="441">
        <v>220</v>
      </c>
      <c r="B224" s="403" t="s">
        <v>353</v>
      </c>
      <c r="C224" s="151">
        <v>38</v>
      </c>
      <c r="D224" s="243">
        <v>76</v>
      </c>
      <c r="E224" s="243">
        <v>114</v>
      </c>
      <c r="F224" s="151">
        <v>2</v>
      </c>
      <c r="G224" s="243">
        <v>8</v>
      </c>
      <c r="H224" s="243">
        <v>10</v>
      </c>
      <c r="I224" s="151"/>
      <c r="J224" s="243"/>
      <c r="K224" s="243"/>
      <c r="L224" s="151">
        <v>19</v>
      </c>
      <c r="M224" s="243">
        <v>34</v>
      </c>
      <c r="N224" s="243">
        <v>53</v>
      </c>
    </row>
    <row r="225" spans="1:14" x14ac:dyDescent="0.3">
      <c r="A225" s="441">
        <v>221</v>
      </c>
      <c r="B225" s="624" t="s">
        <v>354</v>
      </c>
      <c r="C225" s="151">
        <v>137</v>
      </c>
      <c r="D225" s="243">
        <v>214</v>
      </c>
      <c r="E225" s="243">
        <v>351</v>
      </c>
      <c r="F225" s="151">
        <v>22</v>
      </c>
      <c r="G225" s="243">
        <v>19</v>
      </c>
      <c r="H225" s="243">
        <v>41</v>
      </c>
      <c r="I225" s="151"/>
      <c r="J225" s="243">
        <v>1</v>
      </c>
      <c r="K225" s="243">
        <v>1</v>
      </c>
      <c r="L225" s="151">
        <v>28</v>
      </c>
      <c r="M225" s="243">
        <v>75</v>
      </c>
      <c r="N225" s="243">
        <v>103</v>
      </c>
    </row>
    <row r="226" spans="1:14" ht="26" x14ac:dyDescent="0.3">
      <c r="A226" s="441">
        <v>222</v>
      </c>
      <c r="B226" s="625" t="s">
        <v>355</v>
      </c>
      <c r="C226" s="151">
        <v>7</v>
      </c>
      <c r="D226" s="243">
        <v>12</v>
      </c>
      <c r="E226" s="243">
        <v>19</v>
      </c>
      <c r="F226" s="151">
        <v>1</v>
      </c>
      <c r="G226" s="243">
        <v>1</v>
      </c>
      <c r="H226" s="243">
        <v>2</v>
      </c>
      <c r="I226" s="151">
        <v>1</v>
      </c>
      <c r="J226" s="243"/>
      <c r="K226" s="243">
        <v>1</v>
      </c>
      <c r="L226" s="151">
        <v>1</v>
      </c>
      <c r="M226" s="243">
        <v>1</v>
      </c>
      <c r="N226" s="243">
        <v>2</v>
      </c>
    </row>
    <row r="227" spans="1:14" x14ac:dyDescent="0.3">
      <c r="A227" s="441">
        <v>223</v>
      </c>
      <c r="B227" s="403" t="s">
        <v>356</v>
      </c>
      <c r="C227" s="151">
        <v>17</v>
      </c>
      <c r="D227" s="243">
        <v>36</v>
      </c>
      <c r="E227" s="243">
        <v>53</v>
      </c>
      <c r="F227" s="151">
        <v>1</v>
      </c>
      <c r="G227" s="243">
        <v>3</v>
      </c>
      <c r="H227" s="243">
        <v>4</v>
      </c>
      <c r="I227" s="151"/>
      <c r="J227" s="243">
        <v>1</v>
      </c>
      <c r="K227" s="243">
        <v>1</v>
      </c>
      <c r="L227" s="151">
        <v>1</v>
      </c>
      <c r="M227" s="243">
        <v>8</v>
      </c>
      <c r="N227" s="243">
        <v>9</v>
      </c>
    </row>
    <row r="228" spans="1:14" x14ac:dyDescent="0.3">
      <c r="A228" s="441">
        <v>224</v>
      </c>
      <c r="B228" s="403" t="s">
        <v>357</v>
      </c>
      <c r="C228" s="151">
        <v>23</v>
      </c>
      <c r="D228" s="243">
        <v>36</v>
      </c>
      <c r="E228" s="243">
        <v>59</v>
      </c>
      <c r="F228" s="151">
        <v>5</v>
      </c>
      <c r="G228" s="243">
        <v>5</v>
      </c>
      <c r="H228" s="243">
        <v>10</v>
      </c>
      <c r="I228" s="151">
        <v>2</v>
      </c>
      <c r="J228" s="243">
        <v>3</v>
      </c>
      <c r="K228" s="243">
        <v>5</v>
      </c>
      <c r="L228" s="151">
        <v>9</v>
      </c>
      <c r="M228" s="243">
        <v>11</v>
      </c>
      <c r="N228" s="243">
        <v>20</v>
      </c>
    </row>
    <row r="229" spans="1:14" x14ac:dyDescent="0.3">
      <c r="A229" s="441">
        <v>225</v>
      </c>
      <c r="B229" s="403" t="s">
        <v>358</v>
      </c>
      <c r="C229" s="151">
        <v>138140</v>
      </c>
      <c r="D229" s="243">
        <v>225791</v>
      </c>
      <c r="E229" s="243">
        <v>363931</v>
      </c>
      <c r="F229" s="151">
        <v>17962</v>
      </c>
      <c r="G229" s="243">
        <v>26157</v>
      </c>
      <c r="H229" s="243">
        <v>44119</v>
      </c>
      <c r="I229" s="151">
        <v>7171</v>
      </c>
      <c r="J229" s="243">
        <v>10431</v>
      </c>
      <c r="K229" s="243">
        <v>17602</v>
      </c>
      <c r="L229" s="151">
        <v>54786</v>
      </c>
      <c r="M229" s="243">
        <v>96114</v>
      </c>
      <c r="N229" s="243">
        <v>150900</v>
      </c>
    </row>
    <row r="230" spans="1:14" x14ac:dyDescent="0.3">
      <c r="A230" s="441">
        <v>226</v>
      </c>
      <c r="B230" s="401" t="s">
        <v>359</v>
      </c>
      <c r="C230" s="401">
        <v>747</v>
      </c>
      <c r="D230" s="401">
        <v>946</v>
      </c>
      <c r="E230" s="401">
        <v>1693</v>
      </c>
      <c r="F230" s="401">
        <v>74</v>
      </c>
      <c r="G230" s="401">
        <v>93</v>
      </c>
      <c r="H230" s="401">
        <v>167</v>
      </c>
      <c r="I230" s="401">
        <v>29</v>
      </c>
      <c r="J230" s="401">
        <v>20</v>
      </c>
      <c r="K230" s="401">
        <v>49</v>
      </c>
      <c r="L230" s="401">
        <v>302</v>
      </c>
      <c r="M230" s="401">
        <v>417</v>
      </c>
      <c r="N230" s="401">
        <v>719</v>
      </c>
    </row>
    <row r="231" spans="1:14" x14ac:dyDescent="0.3">
      <c r="A231" s="441">
        <v>227</v>
      </c>
      <c r="B231" s="401" t="s">
        <v>361</v>
      </c>
      <c r="C231" s="401">
        <v>31519</v>
      </c>
      <c r="D231" s="401">
        <v>14488</v>
      </c>
      <c r="E231" s="401">
        <v>46007</v>
      </c>
      <c r="F231" s="401">
        <v>3338</v>
      </c>
      <c r="G231" s="401">
        <v>1633</v>
      </c>
      <c r="H231" s="401">
        <v>4971</v>
      </c>
      <c r="I231" s="401">
        <v>1036</v>
      </c>
      <c r="J231" s="401">
        <v>540</v>
      </c>
      <c r="K231" s="401">
        <v>1576</v>
      </c>
      <c r="L231" s="401">
        <v>9101</v>
      </c>
      <c r="M231" s="401">
        <v>4569</v>
      </c>
      <c r="N231" s="401">
        <v>13670</v>
      </c>
    </row>
    <row r="232" spans="1:14" x14ac:dyDescent="0.3">
      <c r="A232" s="441">
        <v>228</v>
      </c>
      <c r="B232" s="401" t="s">
        <v>362</v>
      </c>
      <c r="C232" s="401">
        <v>15</v>
      </c>
      <c r="D232" s="401">
        <v>4</v>
      </c>
      <c r="E232" s="401">
        <v>19</v>
      </c>
      <c r="F232" s="401">
        <v>1</v>
      </c>
      <c r="G232" s="401">
        <v>1</v>
      </c>
      <c r="H232" s="401">
        <v>2</v>
      </c>
      <c r="I232" s="401">
        <v>2</v>
      </c>
      <c r="J232" s="401">
        <v>2</v>
      </c>
      <c r="K232" s="401">
        <v>4</v>
      </c>
      <c r="L232" s="401">
        <v>4</v>
      </c>
      <c r="M232" s="401"/>
      <c r="N232" s="401">
        <v>4</v>
      </c>
    </row>
    <row r="233" spans="1:14" x14ac:dyDescent="0.3">
      <c r="A233" s="441">
        <v>229</v>
      </c>
      <c r="B233" s="401" t="s">
        <v>363</v>
      </c>
      <c r="C233" s="401">
        <v>12</v>
      </c>
      <c r="D233" s="401">
        <v>11</v>
      </c>
      <c r="E233" s="401">
        <v>23</v>
      </c>
      <c r="F233" s="401">
        <v>2</v>
      </c>
      <c r="G233" s="401">
        <v>1</v>
      </c>
      <c r="H233" s="401">
        <v>3</v>
      </c>
      <c r="I233" s="401"/>
      <c r="J233" s="401"/>
      <c r="K233" s="401"/>
      <c r="L233" s="401"/>
      <c r="M233" s="401">
        <v>1</v>
      </c>
      <c r="N233" s="401">
        <v>1</v>
      </c>
    </row>
    <row r="234" spans="1:14" x14ac:dyDescent="0.3">
      <c r="A234" s="441">
        <v>230</v>
      </c>
      <c r="B234" s="401" t="s">
        <v>364</v>
      </c>
      <c r="C234" s="401">
        <v>123</v>
      </c>
      <c r="D234" s="401">
        <v>111</v>
      </c>
      <c r="E234" s="401">
        <v>234</v>
      </c>
      <c r="F234" s="401">
        <v>20</v>
      </c>
      <c r="G234" s="401">
        <v>12</v>
      </c>
      <c r="H234" s="401">
        <v>32</v>
      </c>
      <c r="I234" s="401">
        <v>14</v>
      </c>
      <c r="J234" s="401">
        <v>5</v>
      </c>
      <c r="K234" s="401">
        <v>19</v>
      </c>
      <c r="L234" s="401">
        <v>33</v>
      </c>
      <c r="M234" s="401">
        <v>31</v>
      </c>
      <c r="N234" s="401">
        <v>64</v>
      </c>
    </row>
    <row r="235" spans="1:14" x14ac:dyDescent="0.3">
      <c r="A235" s="441">
        <v>231</v>
      </c>
      <c r="B235" s="401" t="s">
        <v>365</v>
      </c>
      <c r="C235" s="401">
        <v>741</v>
      </c>
      <c r="D235" s="401">
        <v>644</v>
      </c>
      <c r="E235" s="401">
        <v>1385</v>
      </c>
      <c r="F235" s="401">
        <v>99</v>
      </c>
      <c r="G235" s="401">
        <v>73</v>
      </c>
      <c r="H235" s="401">
        <v>172</v>
      </c>
      <c r="I235" s="401">
        <v>47</v>
      </c>
      <c r="J235" s="401">
        <v>65</v>
      </c>
      <c r="K235" s="401">
        <v>112</v>
      </c>
      <c r="L235" s="401">
        <v>239</v>
      </c>
      <c r="M235" s="401">
        <v>217</v>
      </c>
      <c r="N235" s="401">
        <v>456</v>
      </c>
    </row>
    <row r="236" spans="1:14" x14ac:dyDescent="0.3">
      <c r="A236" s="441">
        <v>232</v>
      </c>
      <c r="B236" s="401" t="s">
        <v>366</v>
      </c>
      <c r="C236" s="401">
        <v>261</v>
      </c>
      <c r="D236" s="401">
        <v>445</v>
      </c>
      <c r="E236" s="401">
        <v>706</v>
      </c>
      <c r="F236" s="401">
        <v>23</v>
      </c>
      <c r="G236" s="401">
        <v>35</v>
      </c>
      <c r="H236" s="401">
        <v>58</v>
      </c>
      <c r="I236" s="401">
        <v>7</v>
      </c>
      <c r="J236" s="401">
        <v>5</v>
      </c>
      <c r="K236" s="401">
        <v>12</v>
      </c>
      <c r="L236" s="401">
        <v>93</v>
      </c>
      <c r="M236" s="401">
        <v>154</v>
      </c>
      <c r="N236" s="401">
        <v>247</v>
      </c>
    </row>
    <row r="237" spans="1:14" x14ac:dyDescent="0.3">
      <c r="A237" s="441">
        <v>233</v>
      </c>
      <c r="B237" s="401" t="s">
        <v>367</v>
      </c>
      <c r="C237" s="401">
        <v>185</v>
      </c>
      <c r="D237" s="401">
        <v>98</v>
      </c>
      <c r="E237" s="401">
        <v>283</v>
      </c>
      <c r="F237" s="401">
        <v>37</v>
      </c>
      <c r="G237" s="401">
        <v>10</v>
      </c>
      <c r="H237" s="401">
        <v>47</v>
      </c>
      <c r="I237" s="401">
        <v>9</v>
      </c>
      <c r="J237" s="401">
        <v>3</v>
      </c>
      <c r="K237" s="401">
        <v>12</v>
      </c>
      <c r="L237" s="401">
        <v>89</v>
      </c>
      <c r="M237" s="401">
        <v>26</v>
      </c>
      <c r="N237" s="401">
        <v>115</v>
      </c>
    </row>
    <row r="238" spans="1:14" x14ac:dyDescent="0.3">
      <c r="A238" s="441">
        <v>234</v>
      </c>
      <c r="B238" s="401" t="s">
        <v>368</v>
      </c>
      <c r="C238" s="401">
        <v>308</v>
      </c>
      <c r="D238" s="401">
        <v>358</v>
      </c>
      <c r="E238" s="401">
        <v>666</v>
      </c>
      <c r="F238" s="401">
        <v>39</v>
      </c>
      <c r="G238" s="401">
        <v>31</v>
      </c>
      <c r="H238" s="401">
        <v>70</v>
      </c>
      <c r="I238" s="401">
        <v>13</v>
      </c>
      <c r="J238" s="401">
        <v>7</v>
      </c>
      <c r="K238" s="401">
        <v>20</v>
      </c>
      <c r="L238" s="401">
        <v>114</v>
      </c>
      <c r="M238" s="401">
        <v>139</v>
      </c>
      <c r="N238" s="401">
        <v>253</v>
      </c>
    </row>
    <row r="239" spans="1:14" x14ac:dyDescent="0.3">
      <c r="A239" s="441">
        <v>235</v>
      </c>
      <c r="B239" s="401" t="s">
        <v>370</v>
      </c>
      <c r="C239" s="401">
        <v>821</v>
      </c>
      <c r="D239" s="401">
        <v>596</v>
      </c>
      <c r="E239" s="401">
        <v>1417</v>
      </c>
      <c r="F239" s="401">
        <v>109</v>
      </c>
      <c r="G239" s="401">
        <v>65</v>
      </c>
      <c r="H239" s="401">
        <v>174</v>
      </c>
      <c r="I239" s="401">
        <v>70</v>
      </c>
      <c r="J239" s="401">
        <v>75</v>
      </c>
      <c r="K239" s="401">
        <v>145</v>
      </c>
      <c r="L239" s="401">
        <v>111</v>
      </c>
      <c r="M239" s="401">
        <v>94</v>
      </c>
      <c r="N239" s="401">
        <v>205</v>
      </c>
    </row>
    <row r="240" spans="1:14" x14ac:dyDescent="0.3">
      <c r="A240" s="441">
        <v>236</v>
      </c>
      <c r="B240" s="401" t="s">
        <v>371</v>
      </c>
      <c r="C240" s="401">
        <v>150</v>
      </c>
      <c r="D240" s="401">
        <v>75</v>
      </c>
      <c r="E240" s="401">
        <v>225</v>
      </c>
      <c r="F240" s="401">
        <v>29</v>
      </c>
      <c r="G240" s="401">
        <v>6</v>
      </c>
      <c r="H240" s="401">
        <v>35</v>
      </c>
      <c r="I240" s="401">
        <v>5</v>
      </c>
      <c r="J240" s="401">
        <v>2</v>
      </c>
      <c r="K240" s="401">
        <v>7</v>
      </c>
      <c r="L240" s="401">
        <v>54</v>
      </c>
      <c r="M240" s="401">
        <v>27</v>
      </c>
      <c r="N240" s="401">
        <v>81</v>
      </c>
    </row>
    <row r="241" spans="1:14" x14ac:dyDescent="0.3">
      <c r="A241" s="441">
        <v>237</v>
      </c>
      <c r="B241" s="401" t="s">
        <v>372</v>
      </c>
      <c r="C241" s="401">
        <v>1</v>
      </c>
      <c r="D241" s="401">
        <v>1</v>
      </c>
      <c r="E241" s="401">
        <v>2</v>
      </c>
      <c r="F241" s="401"/>
      <c r="G241" s="401"/>
      <c r="H241" s="401"/>
      <c r="I241" s="401"/>
      <c r="J241" s="401"/>
      <c r="K241" s="401"/>
      <c r="L241" s="401"/>
      <c r="M241" s="401">
        <v>1</v>
      </c>
      <c r="N241" s="401">
        <v>1</v>
      </c>
    </row>
    <row r="242" spans="1:14" x14ac:dyDescent="0.3">
      <c r="A242" s="441">
        <v>238</v>
      </c>
      <c r="B242" s="401" t="s">
        <v>373</v>
      </c>
      <c r="C242" s="401">
        <v>35</v>
      </c>
      <c r="D242" s="401">
        <v>17</v>
      </c>
      <c r="E242" s="401">
        <v>52</v>
      </c>
      <c r="F242" s="401"/>
      <c r="G242" s="401"/>
      <c r="H242" s="401"/>
      <c r="I242" s="401"/>
      <c r="J242" s="401"/>
      <c r="K242" s="401"/>
      <c r="L242" s="401"/>
      <c r="M242" s="401"/>
      <c r="N242" s="401"/>
    </row>
    <row r="243" spans="1:14" x14ac:dyDescent="0.3">
      <c r="A243" s="441">
        <v>239</v>
      </c>
      <c r="B243" s="401" t="s">
        <v>374</v>
      </c>
      <c r="C243" s="401">
        <v>4947</v>
      </c>
      <c r="D243" s="401">
        <v>3447</v>
      </c>
      <c r="E243" s="401">
        <v>8394</v>
      </c>
      <c r="F243" s="401">
        <v>275</v>
      </c>
      <c r="G243" s="401">
        <v>164</v>
      </c>
      <c r="H243" s="401">
        <v>439</v>
      </c>
      <c r="I243" s="401">
        <v>135</v>
      </c>
      <c r="J243" s="401">
        <v>131</v>
      </c>
      <c r="K243" s="401">
        <v>266</v>
      </c>
      <c r="L243" s="401">
        <v>839</v>
      </c>
      <c r="M243" s="401">
        <v>543</v>
      </c>
      <c r="N243" s="401">
        <v>1382</v>
      </c>
    </row>
    <row r="244" spans="1:14" x14ac:dyDescent="0.3">
      <c r="A244" s="441">
        <v>240</v>
      </c>
      <c r="B244" s="401" t="s">
        <v>375</v>
      </c>
      <c r="C244" s="401">
        <v>1053</v>
      </c>
      <c r="D244" s="401">
        <v>662</v>
      </c>
      <c r="E244" s="401">
        <v>1715</v>
      </c>
      <c r="F244" s="401">
        <v>119</v>
      </c>
      <c r="G244" s="401">
        <v>75</v>
      </c>
      <c r="H244" s="401">
        <v>194</v>
      </c>
      <c r="I244" s="401">
        <v>77</v>
      </c>
      <c r="J244" s="401">
        <v>54</v>
      </c>
      <c r="K244" s="401">
        <v>131</v>
      </c>
      <c r="L244" s="401">
        <v>224</v>
      </c>
      <c r="M244" s="401">
        <v>150</v>
      </c>
      <c r="N244" s="401">
        <v>374</v>
      </c>
    </row>
    <row r="245" spans="1:14" x14ac:dyDescent="0.3">
      <c r="A245" s="441">
        <v>241</v>
      </c>
      <c r="B245" s="401" t="s">
        <v>376</v>
      </c>
      <c r="C245" s="401">
        <v>6</v>
      </c>
      <c r="D245" s="401">
        <v>24</v>
      </c>
      <c r="E245" s="401">
        <v>30</v>
      </c>
      <c r="F245" s="401">
        <v>1</v>
      </c>
      <c r="G245" s="401"/>
      <c r="H245" s="401">
        <v>1</v>
      </c>
      <c r="I245" s="401"/>
      <c r="J245" s="401">
        <v>3</v>
      </c>
      <c r="K245" s="401">
        <v>3</v>
      </c>
      <c r="L245" s="401"/>
      <c r="M245" s="401">
        <v>3</v>
      </c>
      <c r="N245" s="401">
        <v>3</v>
      </c>
    </row>
    <row r="246" spans="1:14" x14ac:dyDescent="0.3">
      <c r="A246" s="441">
        <v>242</v>
      </c>
      <c r="B246" s="401" t="s">
        <v>377</v>
      </c>
      <c r="C246" s="401">
        <v>18917</v>
      </c>
      <c r="D246" s="401">
        <v>17369</v>
      </c>
      <c r="E246" s="401">
        <v>36286</v>
      </c>
      <c r="F246" s="401">
        <v>1858</v>
      </c>
      <c r="G246" s="401">
        <v>1357</v>
      </c>
      <c r="H246" s="401">
        <v>3215</v>
      </c>
      <c r="I246" s="401">
        <v>709</v>
      </c>
      <c r="J246" s="401">
        <v>584</v>
      </c>
      <c r="K246" s="401">
        <v>1293</v>
      </c>
      <c r="L246" s="401">
        <v>4432</v>
      </c>
      <c r="M246" s="401">
        <v>4060</v>
      </c>
      <c r="N246" s="401">
        <v>8492</v>
      </c>
    </row>
    <row r="247" spans="1:14" x14ac:dyDescent="0.3">
      <c r="A247" s="441">
        <v>243</v>
      </c>
      <c r="B247" s="401" t="s">
        <v>378</v>
      </c>
      <c r="C247" s="401">
        <v>2314</v>
      </c>
      <c r="D247" s="401">
        <v>3788</v>
      </c>
      <c r="E247" s="401">
        <v>6102</v>
      </c>
      <c r="F247" s="401">
        <v>200</v>
      </c>
      <c r="G247" s="401">
        <v>371</v>
      </c>
      <c r="H247" s="401">
        <v>571</v>
      </c>
      <c r="I247" s="401">
        <v>81</v>
      </c>
      <c r="J247" s="401">
        <v>98</v>
      </c>
      <c r="K247" s="401">
        <v>179</v>
      </c>
      <c r="L247" s="401">
        <v>982</v>
      </c>
      <c r="M247" s="401">
        <v>1708</v>
      </c>
      <c r="N247" s="401">
        <v>2690</v>
      </c>
    </row>
    <row r="248" spans="1:14" x14ac:dyDescent="0.3">
      <c r="A248" s="441">
        <v>244</v>
      </c>
      <c r="B248" s="401" t="s">
        <v>379</v>
      </c>
      <c r="C248" s="401"/>
      <c r="D248" s="401">
        <v>1</v>
      </c>
      <c r="E248" s="401">
        <v>1</v>
      </c>
      <c r="F248" s="401"/>
      <c r="G248" s="401"/>
      <c r="H248" s="401"/>
      <c r="I248" s="401"/>
      <c r="J248" s="401"/>
      <c r="K248" s="401"/>
      <c r="L248" s="401"/>
      <c r="M248" s="401"/>
      <c r="N248" s="401"/>
    </row>
    <row r="249" spans="1:14" x14ac:dyDescent="0.3">
      <c r="A249" s="441">
        <v>245</v>
      </c>
      <c r="B249" s="401" t="s">
        <v>380</v>
      </c>
      <c r="C249" s="401">
        <v>495</v>
      </c>
      <c r="D249" s="401">
        <v>1683</v>
      </c>
      <c r="E249" s="401">
        <v>2178</v>
      </c>
      <c r="F249" s="401">
        <v>108</v>
      </c>
      <c r="G249" s="401">
        <v>309</v>
      </c>
      <c r="H249" s="401">
        <v>417</v>
      </c>
      <c r="I249" s="401">
        <v>73</v>
      </c>
      <c r="J249" s="401">
        <v>247</v>
      </c>
      <c r="K249" s="401">
        <v>320</v>
      </c>
      <c r="L249" s="401">
        <v>126</v>
      </c>
      <c r="M249" s="401">
        <v>449</v>
      </c>
      <c r="N249" s="401">
        <v>575</v>
      </c>
    </row>
    <row r="250" spans="1:14" x14ac:dyDescent="0.3">
      <c r="A250" s="441">
        <v>246</v>
      </c>
      <c r="B250" s="401" t="s">
        <v>381</v>
      </c>
      <c r="C250" s="401">
        <v>64358</v>
      </c>
      <c r="D250" s="401">
        <v>68627</v>
      </c>
      <c r="E250" s="401">
        <v>132985</v>
      </c>
      <c r="F250" s="401">
        <v>8003</v>
      </c>
      <c r="G250" s="401">
        <v>8288</v>
      </c>
      <c r="H250" s="401">
        <v>16291</v>
      </c>
      <c r="I250" s="401">
        <v>4343</v>
      </c>
      <c r="J250" s="401">
        <v>5150</v>
      </c>
      <c r="K250" s="401">
        <v>9493</v>
      </c>
      <c r="L250" s="401">
        <v>18448</v>
      </c>
      <c r="M250" s="401">
        <v>20700</v>
      </c>
      <c r="N250" s="401">
        <v>39148</v>
      </c>
    </row>
    <row r="251" spans="1:14" x14ac:dyDescent="0.3">
      <c r="A251" s="441">
        <v>247</v>
      </c>
      <c r="B251" s="401" t="s">
        <v>383</v>
      </c>
      <c r="C251" s="401">
        <v>9749</v>
      </c>
      <c r="D251" s="401">
        <v>5210</v>
      </c>
      <c r="E251" s="401">
        <v>14959</v>
      </c>
      <c r="F251" s="401">
        <v>749</v>
      </c>
      <c r="G251" s="401">
        <v>863</v>
      </c>
      <c r="H251" s="401">
        <v>1612</v>
      </c>
      <c r="I251" s="401">
        <v>388</v>
      </c>
      <c r="J251" s="401">
        <v>423</v>
      </c>
      <c r="K251" s="401">
        <v>811</v>
      </c>
      <c r="L251" s="401">
        <v>2018</v>
      </c>
      <c r="M251" s="401">
        <v>1887</v>
      </c>
      <c r="N251" s="401">
        <v>3905</v>
      </c>
    </row>
    <row r="252" spans="1:14" x14ac:dyDescent="0.3">
      <c r="A252" s="441">
        <v>248</v>
      </c>
      <c r="B252" s="401" t="s">
        <v>384</v>
      </c>
      <c r="C252" s="401">
        <v>67</v>
      </c>
      <c r="D252" s="401">
        <v>23</v>
      </c>
      <c r="E252" s="401">
        <v>90</v>
      </c>
      <c r="F252" s="401">
        <v>3</v>
      </c>
      <c r="G252" s="401">
        <v>1</v>
      </c>
      <c r="H252" s="401">
        <v>4</v>
      </c>
      <c r="I252" s="401"/>
      <c r="J252" s="401">
        <v>1</v>
      </c>
      <c r="K252" s="401">
        <v>1</v>
      </c>
      <c r="L252" s="401">
        <v>20</v>
      </c>
      <c r="M252" s="401">
        <v>7</v>
      </c>
      <c r="N252" s="401">
        <v>27</v>
      </c>
    </row>
    <row r="253" spans="1:14" x14ac:dyDescent="0.3">
      <c r="A253" s="441">
        <v>249</v>
      </c>
      <c r="B253" s="401" t="s">
        <v>385</v>
      </c>
      <c r="C253" s="401">
        <v>1514</v>
      </c>
      <c r="D253" s="401">
        <v>1899</v>
      </c>
      <c r="E253" s="401">
        <v>3413</v>
      </c>
      <c r="F253" s="401">
        <v>201</v>
      </c>
      <c r="G253" s="401">
        <v>328</v>
      </c>
      <c r="H253" s="401">
        <v>529</v>
      </c>
      <c r="I253" s="401">
        <v>181</v>
      </c>
      <c r="J253" s="401">
        <v>302</v>
      </c>
      <c r="K253" s="401">
        <v>483</v>
      </c>
      <c r="L253" s="401">
        <v>462</v>
      </c>
      <c r="M253" s="401">
        <v>785</v>
      </c>
      <c r="N253" s="401">
        <v>1247</v>
      </c>
    </row>
    <row r="254" spans="1:14" x14ac:dyDescent="0.3">
      <c r="A254" s="441">
        <v>250</v>
      </c>
      <c r="B254" s="401" t="s">
        <v>386</v>
      </c>
      <c r="C254" s="401">
        <v>216</v>
      </c>
      <c r="D254" s="401">
        <v>489</v>
      </c>
      <c r="E254" s="401">
        <v>705</v>
      </c>
      <c r="F254" s="401">
        <v>19</v>
      </c>
      <c r="G254" s="401">
        <v>41</v>
      </c>
      <c r="H254" s="401">
        <v>60</v>
      </c>
      <c r="I254" s="401">
        <v>5</v>
      </c>
      <c r="J254" s="401">
        <v>12</v>
      </c>
      <c r="K254" s="401">
        <v>17</v>
      </c>
      <c r="L254" s="401">
        <v>88</v>
      </c>
      <c r="M254" s="401">
        <v>165</v>
      </c>
      <c r="N254" s="401">
        <v>253</v>
      </c>
    </row>
    <row r="255" spans="1:14" x14ac:dyDescent="0.3">
      <c r="A255" s="441">
        <v>251</v>
      </c>
      <c r="B255" s="401" t="s">
        <v>387</v>
      </c>
      <c r="C255" s="401">
        <v>14</v>
      </c>
      <c r="D255" s="401">
        <v>4</v>
      </c>
      <c r="E255" s="401">
        <v>18</v>
      </c>
      <c r="F255" s="401">
        <v>1</v>
      </c>
      <c r="G255" s="401"/>
      <c r="H255" s="401">
        <v>1</v>
      </c>
      <c r="I255" s="401"/>
      <c r="J255" s="401"/>
      <c r="K255" s="401"/>
      <c r="L255" s="401">
        <v>2</v>
      </c>
      <c r="M255" s="401"/>
      <c r="N255" s="401">
        <v>2</v>
      </c>
    </row>
    <row r="256" spans="1:14" x14ac:dyDescent="0.3">
      <c r="A256" s="441">
        <v>252</v>
      </c>
      <c r="B256" s="401" t="s">
        <v>389</v>
      </c>
      <c r="C256" s="401">
        <v>118</v>
      </c>
      <c r="D256" s="401">
        <v>43</v>
      </c>
      <c r="E256" s="401">
        <v>161</v>
      </c>
      <c r="F256" s="401">
        <v>13</v>
      </c>
      <c r="G256" s="401">
        <v>3</v>
      </c>
      <c r="H256" s="401">
        <v>16</v>
      </c>
      <c r="I256" s="401"/>
      <c r="J256" s="401"/>
      <c r="K256" s="401"/>
      <c r="L256" s="401">
        <v>6</v>
      </c>
      <c r="M256" s="401">
        <v>11</v>
      </c>
      <c r="N256" s="401">
        <v>17</v>
      </c>
    </row>
    <row r="257" spans="1:14" x14ac:dyDescent="0.3">
      <c r="A257" s="441">
        <v>253</v>
      </c>
      <c r="B257" s="401" t="s">
        <v>390</v>
      </c>
      <c r="C257" s="401">
        <v>15</v>
      </c>
      <c r="D257" s="401">
        <v>5</v>
      </c>
      <c r="E257" s="401">
        <v>20</v>
      </c>
      <c r="F257" s="401">
        <v>10</v>
      </c>
      <c r="G257" s="401">
        <v>1</v>
      </c>
      <c r="H257" s="401">
        <v>11</v>
      </c>
      <c r="I257" s="401"/>
      <c r="J257" s="401"/>
      <c r="K257" s="401"/>
      <c r="L257" s="401"/>
      <c r="M257" s="401"/>
      <c r="N257" s="401"/>
    </row>
    <row r="258" spans="1:14" ht="14.5" customHeight="1" x14ac:dyDescent="0.3">
      <c r="A258" s="891" t="s">
        <v>12</v>
      </c>
      <c r="B258" s="892"/>
      <c r="C258" s="400">
        <v>5247310</v>
      </c>
      <c r="D258" s="400">
        <v>5705836</v>
      </c>
      <c r="E258" s="400">
        <v>10953146</v>
      </c>
      <c r="F258" s="400">
        <v>737822</v>
      </c>
      <c r="G258" s="400">
        <v>824964</v>
      </c>
      <c r="H258" s="400">
        <v>1562786</v>
      </c>
      <c r="I258" s="400">
        <v>296724</v>
      </c>
      <c r="J258" s="400">
        <v>359999</v>
      </c>
      <c r="K258" s="400">
        <v>656723</v>
      </c>
      <c r="L258" s="400">
        <v>2021223</v>
      </c>
      <c r="M258" s="400">
        <v>2235488</v>
      </c>
      <c r="N258" s="400">
        <v>4256711</v>
      </c>
    </row>
  </sheetData>
  <mergeCells count="10">
    <mergeCell ref="A258:B258"/>
    <mergeCell ref="A1:B1"/>
    <mergeCell ref="C1:H1"/>
    <mergeCell ref="I1:N1"/>
    <mergeCell ref="L2:N2"/>
    <mergeCell ref="A2:A3"/>
    <mergeCell ref="B2:B3"/>
    <mergeCell ref="C2:E2"/>
    <mergeCell ref="F2:H2"/>
    <mergeCell ref="I2:K2"/>
  </mergeCells>
  <conditionalFormatting sqref="B4 D4 F4 H4 J4 L4 N4">
    <cfRule type="duplicateValues" dxfId="0" priority="1"/>
  </conditionalFormatting>
  <pageMargins left="0.27559055118110237" right="0.15748031496062992" top="0.39370078740157483" bottom="0.39370078740157483" header="0.31496062992125984" footer="0.19685039370078741"/>
  <pageSetup paperSize="9" scale="75" orientation="portrait" r:id="rId1"/>
  <headerFooter>
    <oddFooter>&amp;L&amp;"Arial,Italic"&amp;9AISHE 2023-24&amp;RT-35</oddFooter>
  </headerFooter>
  <colBreaks count="1" manualBreakCount="1">
    <brk id="8" max="262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CA76-4198-4350-888C-D79659B46725}">
  <dimension ref="A1:F124"/>
  <sheetViews>
    <sheetView view="pageBreakPreview" zoomScaleNormal="100" zoomScaleSheetLayoutView="100" workbookViewId="0">
      <pane xSplit="1" ySplit="2" topLeftCell="B3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8.81640625" defaultRowHeight="14" x14ac:dyDescent="0.3"/>
  <cols>
    <col min="1" max="1" width="5.54296875" style="411" customWidth="1"/>
    <col min="2" max="2" width="38.1796875" style="412" bestFit="1" customWidth="1"/>
    <col min="3" max="3" width="31.1796875" style="411" bestFit="1" customWidth="1"/>
    <col min="4" max="6" width="11.54296875" style="411" customWidth="1"/>
    <col min="7" max="16384" width="8.81640625" style="411"/>
  </cols>
  <sheetData>
    <row r="1" spans="1:6" ht="39.75" customHeight="1" x14ac:dyDescent="0.3">
      <c r="A1" s="569"/>
      <c r="B1" s="771" t="s">
        <v>953</v>
      </c>
      <c r="C1" s="771"/>
      <c r="D1" s="771"/>
      <c r="E1" s="771"/>
      <c r="F1" s="771"/>
    </row>
    <row r="2" spans="1:6" ht="15" x14ac:dyDescent="0.3">
      <c r="A2" s="563" t="s">
        <v>946</v>
      </c>
      <c r="B2" s="899" t="s">
        <v>399</v>
      </c>
      <c r="C2" s="899"/>
      <c r="D2" s="563" t="s">
        <v>103</v>
      </c>
      <c r="E2" s="563" t="s">
        <v>104</v>
      </c>
      <c r="F2" s="563" t="s">
        <v>89</v>
      </c>
    </row>
    <row r="3" spans="1:6" x14ac:dyDescent="0.3">
      <c r="A3" s="313">
        <v>1</v>
      </c>
      <c r="B3" s="313">
        <v>2</v>
      </c>
      <c r="C3" s="313">
        <v>3</v>
      </c>
      <c r="D3" s="313">
        <v>4</v>
      </c>
      <c r="E3" s="313">
        <v>5</v>
      </c>
      <c r="F3" s="313">
        <v>6</v>
      </c>
    </row>
    <row r="4" spans="1:6" ht="18.75" customHeight="1" x14ac:dyDescent="0.35">
      <c r="A4" s="445">
        <v>1</v>
      </c>
      <c r="B4" s="416" t="s">
        <v>62</v>
      </c>
      <c r="C4" s="304"/>
      <c r="D4" s="25">
        <v>46796</v>
      </c>
      <c r="E4" s="27">
        <v>21981</v>
      </c>
      <c r="F4" s="27">
        <v>68777</v>
      </c>
    </row>
    <row r="5" spans="1:6" ht="18.75" customHeight="1" x14ac:dyDescent="0.35">
      <c r="A5" s="445">
        <v>2</v>
      </c>
      <c r="B5" s="416" t="s">
        <v>400</v>
      </c>
      <c r="C5" s="134"/>
      <c r="D5" s="25">
        <v>407</v>
      </c>
      <c r="E5" s="27">
        <v>331</v>
      </c>
      <c r="F5" s="27">
        <v>738</v>
      </c>
    </row>
    <row r="6" spans="1:6" ht="18.75" customHeight="1" x14ac:dyDescent="0.35">
      <c r="A6" s="445">
        <v>3</v>
      </c>
      <c r="B6" s="416" t="s">
        <v>402</v>
      </c>
      <c r="C6" s="134"/>
      <c r="D6" s="25"/>
      <c r="E6" s="27">
        <v>14</v>
      </c>
      <c r="F6" s="27">
        <v>14</v>
      </c>
    </row>
    <row r="7" spans="1:6" ht="18.75" customHeight="1" x14ac:dyDescent="0.35">
      <c r="A7" s="445">
        <v>4</v>
      </c>
      <c r="B7" s="416" t="s">
        <v>403</v>
      </c>
      <c r="C7" s="134"/>
      <c r="D7" s="25">
        <v>9</v>
      </c>
      <c r="E7" s="27">
        <v>5</v>
      </c>
      <c r="F7" s="27">
        <v>14</v>
      </c>
    </row>
    <row r="8" spans="1:6" ht="18.75" customHeight="1" x14ac:dyDescent="0.35">
      <c r="A8" s="445">
        <v>5</v>
      </c>
      <c r="B8" s="416" t="s">
        <v>404</v>
      </c>
      <c r="C8" s="304"/>
      <c r="D8" s="25">
        <v>3730</v>
      </c>
      <c r="E8" s="27">
        <v>3861</v>
      </c>
      <c r="F8" s="27">
        <v>7591</v>
      </c>
    </row>
    <row r="9" spans="1:6" ht="18.75" customHeight="1" x14ac:dyDescent="0.35">
      <c r="A9" s="445">
        <v>6</v>
      </c>
      <c r="B9" s="416" t="s">
        <v>405</v>
      </c>
      <c r="C9" s="134"/>
      <c r="D9" s="25">
        <v>1092506</v>
      </c>
      <c r="E9" s="27">
        <v>1345729</v>
      </c>
      <c r="F9" s="27">
        <v>2438235</v>
      </c>
    </row>
    <row r="10" spans="1:6" ht="18.75" customHeight="1" x14ac:dyDescent="0.35">
      <c r="A10" s="445">
        <v>7</v>
      </c>
      <c r="B10" s="416" t="s">
        <v>406</v>
      </c>
      <c r="C10" s="134"/>
      <c r="D10" s="25">
        <v>125</v>
      </c>
      <c r="E10" s="27">
        <v>87</v>
      </c>
      <c r="F10" s="27">
        <v>212</v>
      </c>
    </row>
    <row r="11" spans="1:6" ht="18.75" customHeight="1" x14ac:dyDescent="0.35">
      <c r="A11" s="445">
        <v>8</v>
      </c>
      <c r="B11" s="416" t="s">
        <v>407</v>
      </c>
      <c r="C11" s="134"/>
      <c r="D11" s="25">
        <v>487743</v>
      </c>
      <c r="E11" s="27">
        <v>517868</v>
      </c>
      <c r="F11" s="27">
        <v>1005611</v>
      </c>
    </row>
    <row r="12" spans="1:6" ht="18.75" customHeight="1" x14ac:dyDescent="0.35">
      <c r="A12" s="445">
        <v>9</v>
      </c>
      <c r="B12" s="416" t="s">
        <v>408</v>
      </c>
      <c r="C12" s="134"/>
      <c r="D12" s="25">
        <v>152</v>
      </c>
      <c r="E12" s="27">
        <v>36</v>
      </c>
      <c r="F12" s="27">
        <v>188</v>
      </c>
    </row>
    <row r="13" spans="1:6" ht="18.75" customHeight="1" x14ac:dyDescent="0.35">
      <c r="A13" s="445">
        <v>10</v>
      </c>
      <c r="B13" s="416" t="s">
        <v>409</v>
      </c>
      <c r="C13" s="134"/>
      <c r="D13" s="25">
        <v>340</v>
      </c>
      <c r="E13" s="27">
        <v>415</v>
      </c>
      <c r="F13" s="27">
        <v>755</v>
      </c>
    </row>
    <row r="14" spans="1:6" ht="18.75" customHeight="1" x14ac:dyDescent="0.35">
      <c r="A14" s="445">
        <v>11</v>
      </c>
      <c r="B14" s="416" t="s">
        <v>410</v>
      </c>
      <c r="C14" s="134"/>
      <c r="D14" s="25">
        <v>44</v>
      </c>
      <c r="E14" s="27">
        <v>1</v>
      </c>
      <c r="F14" s="27">
        <v>45</v>
      </c>
    </row>
    <row r="15" spans="1:6" ht="18.75" customHeight="1" x14ac:dyDescent="0.35">
      <c r="A15" s="445">
        <v>12</v>
      </c>
      <c r="B15" s="416" t="s">
        <v>411</v>
      </c>
      <c r="C15" s="134"/>
      <c r="D15" s="25">
        <v>917</v>
      </c>
      <c r="E15" s="27">
        <v>905</v>
      </c>
      <c r="F15" s="27">
        <v>1822</v>
      </c>
    </row>
    <row r="16" spans="1:6" ht="18.75" customHeight="1" x14ac:dyDescent="0.35">
      <c r="A16" s="445">
        <v>13</v>
      </c>
      <c r="B16" s="416" t="s">
        <v>412</v>
      </c>
      <c r="C16" s="414"/>
      <c r="D16" s="25">
        <v>89</v>
      </c>
      <c r="E16" s="27">
        <v>71</v>
      </c>
      <c r="F16" s="27">
        <v>160</v>
      </c>
    </row>
    <row r="17" spans="1:6" ht="18.75" customHeight="1" x14ac:dyDescent="0.35">
      <c r="A17" s="445">
        <v>14</v>
      </c>
      <c r="B17" s="415" t="s">
        <v>63</v>
      </c>
      <c r="C17" s="414"/>
      <c r="D17" s="25">
        <v>2827</v>
      </c>
      <c r="E17" s="27">
        <v>7244</v>
      </c>
      <c r="F17" s="27">
        <v>10071</v>
      </c>
    </row>
    <row r="18" spans="1:6" ht="18.75" customHeight="1" x14ac:dyDescent="0.35">
      <c r="A18" s="445">
        <v>15</v>
      </c>
      <c r="B18" s="415" t="s">
        <v>64</v>
      </c>
      <c r="C18" s="414"/>
      <c r="D18" s="25">
        <v>273887</v>
      </c>
      <c r="E18" s="27">
        <v>493284</v>
      </c>
      <c r="F18" s="27">
        <v>767171</v>
      </c>
    </row>
    <row r="19" spans="1:6" ht="18.75" customHeight="1" x14ac:dyDescent="0.35">
      <c r="A19" s="445">
        <v>16</v>
      </c>
      <c r="B19" s="901" t="s">
        <v>413</v>
      </c>
      <c r="C19" s="414" t="s">
        <v>414</v>
      </c>
      <c r="D19" s="25">
        <v>2938</v>
      </c>
      <c r="E19" s="27">
        <v>1017</v>
      </c>
      <c r="F19" s="27">
        <v>3955</v>
      </c>
    </row>
    <row r="20" spans="1:6" ht="18.75" customHeight="1" x14ac:dyDescent="0.35">
      <c r="A20" s="445">
        <v>17</v>
      </c>
      <c r="B20" s="901"/>
      <c r="C20" s="414" t="s">
        <v>415</v>
      </c>
      <c r="D20" s="25">
        <v>3104</v>
      </c>
      <c r="E20" s="27">
        <v>1907</v>
      </c>
      <c r="F20" s="27">
        <v>5011</v>
      </c>
    </row>
    <row r="21" spans="1:6" ht="18.75" customHeight="1" x14ac:dyDescent="0.35">
      <c r="A21" s="445">
        <v>18</v>
      </c>
      <c r="B21" s="901"/>
      <c r="C21" s="414" t="s">
        <v>416</v>
      </c>
      <c r="D21" s="25">
        <v>1</v>
      </c>
      <c r="E21" s="27"/>
      <c r="F21" s="27">
        <v>1</v>
      </c>
    </row>
    <row r="22" spans="1:6" ht="18.75" customHeight="1" x14ac:dyDescent="0.35">
      <c r="A22" s="445">
        <v>19</v>
      </c>
      <c r="B22" s="901"/>
      <c r="C22" s="414" t="s">
        <v>417</v>
      </c>
      <c r="D22" s="25">
        <v>6387</v>
      </c>
      <c r="E22" s="27">
        <v>7274</v>
      </c>
      <c r="F22" s="27">
        <v>13661</v>
      </c>
    </row>
    <row r="23" spans="1:6" ht="18.75" customHeight="1" x14ac:dyDescent="0.35">
      <c r="A23" s="445">
        <v>20</v>
      </c>
      <c r="B23" s="901"/>
      <c r="C23" s="414" t="s">
        <v>418</v>
      </c>
      <c r="D23" s="25">
        <v>715</v>
      </c>
      <c r="E23" s="27">
        <v>340</v>
      </c>
      <c r="F23" s="27">
        <v>1055</v>
      </c>
    </row>
    <row r="24" spans="1:6" ht="18.75" customHeight="1" x14ac:dyDescent="0.35">
      <c r="A24" s="445">
        <v>21</v>
      </c>
      <c r="B24" s="901"/>
      <c r="C24" s="414" t="s">
        <v>419</v>
      </c>
      <c r="D24" s="25">
        <v>567</v>
      </c>
      <c r="E24" s="27">
        <v>491</v>
      </c>
      <c r="F24" s="27">
        <v>1058</v>
      </c>
    </row>
    <row r="25" spans="1:6" ht="18.75" customHeight="1" x14ac:dyDescent="0.35">
      <c r="A25" s="445">
        <v>22</v>
      </c>
      <c r="B25" s="901"/>
      <c r="C25" s="414" t="s">
        <v>420</v>
      </c>
      <c r="D25" s="25">
        <v>1503</v>
      </c>
      <c r="E25" s="27">
        <v>625</v>
      </c>
      <c r="F25" s="27">
        <v>2128</v>
      </c>
    </row>
    <row r="26" spans="1:6" ht="18.75" customHeight="1" x14ac:dyDescent="0.35">
      <c r="A26" s="445">
        <v>23</v>
      </c>
      <c r="B26" s="901"/>
      <c r="C26" s="414" t="s">
        <v>421</v>
      </c>
      <c r="D26" s="25">
        <v>117</v>
      </c>
      <c r="E26" s="27">
        <v>27</v>
      </c>
      <c r="F26" s="27">
        <v>144</v>
      </c>
    </row>
    <row r="27" spans="1:6" ht="18.75" customHeight="1" x14ac:dyDescent="0.35">
      <c r="A27" s="445">
        <v>24</v>
      </c>
      <c r="B27" s="901"/>
      <c r="C27" s="414" t="s">
        <v>422</v>
      </c>
      <c r="D27" s="25">
        <v>734</v>
      </c>
      <c r="E27" s="27">
        <v>45</v>
      </c>
      <c r="F27" s="27">
        <v>779</v>
      </c>
    </row>
    <row r="28" spans="1:6" ht="18.75" customHeight="1" x14ac:dyDescent="0.35">
      <c r="A28" s="445">
        <v>25</v>
      </c>
      <c r="B28" s="901"/>
      <c r="C28" s="414" t="s">
        <v>423</v>
      </c>
      <c r="D28" s="25">
        <v>60</v>
      </c>
      <c r="E28" s="27"/>
      <c r="F28" s="27">
        <v>60</v>
      </c>
    </row>
    <row r="29" spans="1:6" ht="18.75" customHeight="1" x14ac:dyDescent="0.35">
      <c r="A29" s="445">
        <v>26</v>
      </c>
      <c r="B29" s="901"/>
      <c r="C29" s="414" t="s">
        <v>424</v>
      </c>
      <c r="D29" s="25">
        <v>9706</v>
      </c>
      <c r="E29" s="27">
        <v>3304</v>
      </c>
      <c r="F29" s="27">
        <v>13010</v>
      </c>
    </row>
    <row r="30" spans="1:6" ht="18.75" customHeight="1" x14ac:dyDescent="0.35">
      <c r="A30" s="445">
        <v>27</v>
      </c>
      <c r="B30" s="901"/>
      <c r="C30" s="414" t="s">
        <v>425</v>
      </c>
      <c r="D30" s="25">
        <v>39</v>
      </c>
      <c r="E30" s="27">
        <v>15</v>
      </c>
      <c r="F30" s="27">
        <v>54</v>
      </c>
    </row>
    <row r="31" spans="1:6" ht="18.75" customHeight="1" x14ac:dyDescent="0.35">
      <c r="A31" s="445">
        <v>28</v>
      </c>
      <c r="B31" s="901"/>
      <c r="C31" s="414" t="s">
        <v>426</v>
      </c>
      <c r="D31" s="25">
        <v>67027</v>
      </c>
      <c r="E31" s="27">
        <v>21812</v>
      </c>
      <c r="F31" s="27">
        <v>88839</v>
      </c>
    </row>
    <row r="32" spans="1:6" ht="18.75" customHeight="1" x14ac:dyDescent="0.35">
      <c r="A32" s="445">
        <v>29</v>
      </c>
      <c r="B32" s="901"/>
      <c r="C32" s="414" t="s">
        <v>427</v>
      </c>
      <c r="D32" s="25">
        <v>171024</v>
      </c>
      <c r="E32" s="27">
        <v>91384</v>
      </c>
      <c r="F32" s="27">
        <v>262408</v>
      </c>
    </row>
    <row r="33" spans="1:6" ht="18.75" customHeight="1" x14ac:dyDescent="0.35">
      <c r="A33" s="445">
        <v>30</v>
      </c>
      <c r="B33" s="901"/>
      <c r="C33" s="414" t="s">
        <v>428</v>
      </c>
      <c r="D33" s="25">
        <v>251</v>
      </c>
      <c r="E33" s="27">
        <v>49</v>
      </c>
      <c r="F33" s="27">
        <v>300</v>
      </c>
    </row>
    <row r="34" spans="1:6" ht="18.75" customHeight="1" x14ac:dyDescent="0.35">
      <c r="A34" s="445">
        <v>31</v>
      </c>
      <c r="B34" s="901"/>
      <c r="C34" s="414" t="s">
        <v>429</v>
      </c>
      <c r="D34" s="25">
        <v>530</v>
      </c>
      <c r="E34" s="27">
        <v>304</v>
      </c>
      <c r="F34" s="27">
        <v>834</v>
      </c>
    </row>
    <row r="35" spans="1:6" ht="18.75" customHeight="1" x14ac:dyDescent="0.35">
      <c r="A35" s="445">
        <v>32</v>
      </c>
      <c r="B35" s="901"/>
      <c r="C35" s="414" t="s">
        <v>430</v>
      </c>
      <c r="D35" s="25">
        <v>727</v>
      </c>
      <c r="E35" s="27">
        <v>224</v>
      </c>
      <c r="F35" s="27">
        <v>951</v>
      </c>
    </row>
    <row r="36" spans="1:6" ht="18.75" customHeight="1" x14ac:dyDescent="0.35">
      <c r="A36" s="445">
        <v>33</v>
      </c>
      <c r="B36" s="901"/>
      <c r="C36" s="414" t="s">
        <v>431</v>
      </c>
      <c r="D36" s="25">
        <v>68</v>
      </c>
      <c r="E36" s="27">
        <v>18</v>
      </c>
      <c r="F36" s="27">
        <v>86</v>
      </c>
    </row>
    <row r="37" spans="1:6" ht="18.75" customHeight="1" x14ac:dyDescent="0.35">
      <c r="A37" s="445">
        <v>34</v>
      </c>
      <c r="B37" s="901"/>
      <c r="C37" s="414" t="s">
        <v>432</v>
      </c>
      <c r="D37" s="25">
        <v>3389</v>
      </c>
      <c r="E37" s="27">
        <v>1274</v>
      </c>
      <c r="F37" s="27">
        <v>4663</v>
      </c>
    </row>
    <row r="38" spans="1:6" ht="18.75" customHeight="1" x14ac:dyDescent="0.35">
      <c r="A38" s="445">
        <v>35</v>
      </c>
      <c r="B38" s="901"/>
      <c r="C38" s="414" t="s">
        <v>433</v>
      </c>
      <c r="D38" s="25">
        <v>52647</v>
      </c>
      <c r="E38" s="27">
        <v>19415</v>
      </c>
      <c r="F38" s="27">
        <v>72062</v>
      </c>
    </row>
    <row r="39" spans="1:6" ht="18.75" customHeight="1" x14ac:dyDescent="0.35">
      <c r="A39" s="445">
        <v>36</v>
      </c>
      <c r="B39" s="901"/>
      <c r="C39" s="414" t="s">
        <v>547</v>
      </c>
      <c r="D39" s="25">
        <v>10788</v>
      </c>
      <c r="E39" s="27">
        <v>6397</v>
      </c>
      <c r="F39" s="27">
        <v>17185</v>
      </c>
    </row>
    <row r="40" spans="1:6" ht="18.75" customHeight="1" x14ac:dyDescent="0.35">
      <c r="A40" s="445">
        <v>37</v>
      </c>
      <c r="B40" s="901"/>
      <c r="C40" s="414" t="s">
        <v>435</v>
      </c>
      <c r="D40" s="25">
        <v>67513</v>
      </c>
      <c r="E40" s="27">
        <v>43729</v>
      </c>
      <c r="F40" s="27">
        <v>111242</v>
      </c>
    </row>
    <row r="41" spans="1:6" ht="18.75" customHeight="1" x14ac:dyDescent="0.35">
      <c r="A41" s="445">
        <v>38</v>
      </c>
      <c r="B41" s="901"/>
      <c r="C41" s="414" t="s">
        <v>413</v>
      </c>
      <c r="D41" s="25">
        <v>120</v>
      </c>
      <c r="E41" s="27">
        <v>9</v>
      </c>
      <c r="F41" s="27">
        <v>129</v>
      </c>
    </row>
    <row r="42" spans="1:6" ht="18.75" customHeight="1" x14ac:dyDescent="0.35">
      <c r="A42" s="445">
        <v>39</v>
      </c>
      <c r="B42" s="901"/>
      <c r="C42" s="414" t="s">
        <v>438</v>
      </c>
      <c r="D42" s="25">
        <v>2434</v>
      </c>
      <c r="E42" s="27">
        <v>1993</v>
      </c>
      <c r="F42" s="27">
        <v>4427</v>
      </c>
    </row>
    <row r="43" spans="1:6" ht="18.75" customHeight="1" x14ac:dyDescent="0.35">
      <c r="A43" s="445">
        <v>40</v>
      </c>
      <c r="B43" s="901"/>
      <c r="C43" s="414" t="s">
        <v>439</v>
      </c>
      <c r="D43" s="25">
        <v>27617</v>
      </c>
      <c r="E43" s="27">
        <v>15994</v>
      </c>
      <c r="F43" s="27">
        <v>43611</v>
      </c>
    </row>
    <row r="44" spans="1:6" ht="18.75" customHeight="1" x14ac:dyDescent="0.35">
      <c r="A44" s="445">
        <v>41</v>
      </c>
      <c r="B44" s="901"/>
      <c r="C44" s="414" t="s">
        <v>440</v>
      </c>
      <c r="D44" s="25">
        <v>1750</v>
      </c>
      <c r="E44" s="27">
        <v>87</v>
      </c>
      <c r="F44" s="27">
        <v>1837</v>
      </c>
    </row>
    <row r="45" spans="1:6" ht="18.75" customHeight="1" x14ac:dyDescent="0.35">
      <c r="A45" s="445">
        <v>42</v>
      </c>
      <c r="B45" s="901"/>
      <c r="C45" s="414" t="s">
        <v>441</v>
      </c>
      <c r="D45" s="25">
        <v>184</v>
      </c>
      <c r="E45" s="27">
        <v>16</v>
      </c>
      <c r="F45" s="27">
        <v>200</v>
      </c>
    </row>
    <row r="46" spans="1:6" ht="18.75" customHeight="1" x14ac:dyDescent="0.35">
      <c r="A46" s="445">
        <v>43</v>
      </c>
      <c r="B46" s="901"/>
      <c r="C46" s="414" t="s">
        <v>442</v>
      </c>
      <c r="D46" s="25">
        <v>103778</v>
      </c>
      <c r="E46" s="27">
        <v>9612</v>
      </c>
      <c r="F46" s="27">
        <v>113390</v>
      </c>
    </row>
    <row r="47" spans="1:6" ht="18.75" customHeight="1" x14ac:dyDescent="0.35">
      <c r="A47" s="445">
        <v>44</v>
      </c>
      <c r="B47" s="901"/>
      <c r="C47" s="414" t="s">
        <v>443</v>
      </c>
      <c r="D47" s="25">
        <v>1085</v>
      </c>
      <c r="E47" s="27">
        <v>179</v>
      </c>
      <c r="F47" s="27">
        <v>1264</v>
      </c>
    </row>
    <row r="48" spans="1:6" ht="18.75" customHeight="1" x14ac:dyDescent="0.35">
      <c r="A48" s="445">
        <v>45</v>
      </c>
      <c r="B48" s="901"/>
      <c r="C48" s="414" t="s">
        <v>444</v>
      </c>
      <c r="D48" s="25">
        <v>5</v>
      </c>
      <c r="E48" s="27">
        <v>2</v>
      </c>
      <c r="F48" s="27">
        <v>7</v>
      </c>
    </row>
    <row r="49" spans="1:6" ht="18.75" customHeight="1" x14ac:dyDescent="0.35">
      <c r="A49" s="445">
        <v>46</v>
      </c>
      <c r="B49" s="901"/>
      <c r="C49" s="414" t="s">
        <v>445</v>
      </c>
      <c r="D49" s="25">
        <v>1917</v>
      </c>
      <c r="E49" s="27">
        <v>569</v>
      </c>
      <c r="F49" s="27">
        <v>2486</v>
      </c>
    </row>
    <row r="50" spans="1:6" ht="18.75" customHeight="1" x14ac:dyDescent="0.35">
      <c r="A50" s="445">
        <v>47</v>
      </c>
      <c r="B50" s="901"/>
      <c r="C50" s="414" t="s">
        <v>446</v>
      </c>
      <c r="D50" s="25">
        <v>2296</v>
      </c>
      <c r="E50" s="27">
        <v>216</v>
      </c>
      <c r="F50" s="27">
        <v>2512</v>
      </c>
    </row>
    <row r="51" spans="1:6" ht="18.75" customHeight="1" x14ac:dyDescent="0.35">
      <c r="A51" s="445">
        <v>48</v>
      </c>
      <c r="B51" s="901"/>
      <c r="C51" s="414" t="s">
        <v>447</v>
      </c>
      <c r="D51" s="25">
        <v>10</v>
      </c>
      <c r="E51" s="27">
        <v>9</v>
      </c>
      <c r="F51" s="27">
        <v>19</v>
      </c>
    </row>
    <row r="52" spans="1:6" ht="18.75" customHeight="1" x14ac:dyDescent="0.35">
      <c r="A52" s="445">
        <v>49</v>
      </c>
      <c r="B52" s="901"/>
      <c r="C52" s="414" t="s">
        <v>448</v>
      </c>
      <c r="D52" s="25">
        <v>42678</v>
      </c>
      <c r="E52" s="27">
        <v>21185</v>
      </c>
      <c r="F52" s="27">
        <v>63863</v>
      </c>
    </row>
    <row r="53" spans="1:6" ht="18.75" customHeight="1" x14ac:dyDescent="0.35">
      <c r="A53" s="445">
        <v>50</v>
      </c>
      <c r="B53" s="901"/>
      <c r="C53" s="414" t="s">
        <v>945</v>
      </c>
      <c r="D53" s="25">
        <v>6</v>
      </c>
      <c r="E53" s="27">
        <v>2</v>
      </c>
      <c r="F53" s="27">
        <v>8</v>
      </c>
    </row>
    <row r="54" spans="1:6" ht="18.75" customHeight="1" x14ac:dyDescent="0.35">
      <c r="A54" s="445">
        <v>51</v>
      </c>
      <c r="B54" s="901"/>
      <c r="C54" s="414" t="s">
        <v>450</v>
      </c>
      <c r="D54" s="25">
        <v>184</v>
      </c>
      <c r="E54" s="27">
        <v>22</v>
      </c>
      <c r="F54" s="27">
        <v>206</v>
      </c>
    </row>
    <row r="55" spans="1:6" ht="18.75" customHeight="1" x14ac:dyDescent="0.35">
      <c r="A55" s="445">
        <v>52</v>
      </c>
      <c r="B55" s="901"/>
      <c r="C55" s="414" t="s">
        <v>451</v>
      </c>
      <c r="D55" s="25">
        <v>169</v>
      </c>
      <c r="E55" s="27">
        <v>136</v>
      </c>
      <c r="F55" s="27">
        <v>305</v>
      </c>
    </row>
    <row r="56" spans="1:6" ht="18.75" customHeight="1" x14ac:dyDescent="0.35">
      <c r="A56" s="445">
        <v>53</v>
      </c>
      <c r="B56" s="901"/>
      <c r="C56" s="414" t="s">
        <v>944</v>
      </c>
      <c r="D56" s="25">
        <v>28</v>
      </c>
      <c r="E56" s="27">
        <v>13</v>
      </c>
      <c r="F56" s="27">
        <v>41</v>
      </c>
    </row>
    <row r="57" spans="1:6" ht="18.75" customHeight="1" x14ac:dyDescent="0.35">
      <c r="A57" s="445">
        <v>54</v>
      </c>
      <c r="B57" s="901"/>
      <c r="C57" s="414" t="s">
        <v>453</v>
      </c>
      <c r="D57" s="25">
        <v>11</v>
      </c>
      <c r="E57" s="27">
        <v>6</v>
      </c>
      <c r="F57" s="27">
        <v>17</v>
      </c>
    </row>
    <row r="58" spans="1:6" ht="18.75" customHeight="1" x14ac:dyDescent="0.35">
      <c r="A58" s="445">
        <v>55</v>
      </c>
      <c r="B58" s="415" t="s">
        <v>454</v>
      </c>
      <c r="C58" s="414"/>
      <c r="D58" s="25">
        <v>584107</v>
      </c>
      <c r="E58" s="27">
        <v>249701</v>
      </c>
      <c r="F58" s="27">
        <v>833808</v>
      </c>
    </row>
    <row r="59" spans="1:6" ht="18.75" customHeight="1" x14ac:dyDescent="0.35">
      <c r="A59" s="445">
        <v>56</v>
      </c>
      <c r="B59" s="415" t="s">
        <v>455</v>
      </c>
      <c r="C59" s="414"/>
      <c r="D59" s="25">
        <v>172</v>
      </c>
      <c r="E59" s="27">
        <v>157</v>
      </c>
      <c r="F59" s="27">
        <v>329</v>
      </c>
    </row>
    <row r="60" spans="1:6" ht="18.75" customHeight="1" x14ac:dyDescent="0.35">
      <c r="A60" s="445">
        <v>57</v>
      </c>
      <c r="B60" s="415" t="s">
        <v>456</v>
      </c>
      <c r="C60" s="414"/>
      <c r="D60" s="25"/>
      <c r="E60" s="27">
        <v>110</v>
      </c>
      <c r="F60" s="27">
        <v>110</v>
      </c>
    </row>
    <row r="61" spans="1:6" ht="18.75" customHeight="1" x14ac:dyDescent="0.35">
      <c r="A61" s="445">
        <v>58</v>
      </c>
      <c r="B61" s="415" t="s">
        <v>457</v>
      </c>
      <c r="C61" s="414"/>
      <c r="D61" s="25">
        <v>1296</v>
      </c>
      <c r="E61" s="27">
        <v>4313</v>
      </c>
      <c r="F61" s="27">
        <v>5609</v>
      </c>
    </row>
    <row r="62" spans="1:6" ht="18.75" customHeight="1" x14ac:dyDescent="0.35">
      <c r="A62" s="445">
        <v>59</v>
      </c>
      <c r="B62" s="415" t="s">
        <v>65</v>
      </c>
      <c r="C62" s="414"/>
      <c r="D62" s="25">
        <v>4374</v>
      </c>
      <c r="E62" s="27">
        <v>5418</v>
      </c>
      <c r="F62" s="27">
        <v>9792</v>
      </c>
    </row>
    <row r="63" spans="1:6" ht="18.75" customHeight="1" x14ac:dyDescent="0.35">
      <c r="A63" s="445">
        <v>60</v>
      </c>
      <c r="B63" s="415" t="s">
        <v>458</v>
      </c>
      <c r="C63" s="414"/>
      <c r="D63" s="25">
        <v>818</v>
      </c>
      <c r="E63" s="27">
        <v>791</v>
      </c>
      <c r="F63" s="27">
        <v>1609</v>
      </c>
    </row>
    <row r="64" spans="1:6" ht="18.75" customHeight="1" x14ac:dyDescent="0.35">
      <c r="A64" s="445">
        <v>61</v>
      </c>
      <c r="B64" s="415" t="s">
        <v>459</v>
      </c>
      <c r="C64" s="414"/>
      <c r="D64" s="25">
        <v>48</v>
      </c>
      <c r="E64" s="27">
        <v>12</v>
      </c>
      <c r="F64" s="27">
        <v>60</v>
      </c>
    </row>
    <row r="65" spans="1:6" ht="18.75" customHeight="1" x14ac:dyDescent="0.35">
      <c r="A65" s="445">
        <v>62</v>
      </c>
      <c r="B65" s="415" t="s">
        <v>460</v>
      </c>
      <c r="C65" s="414"/>
      <c r="D65" s="25">
        <v>120</v>
      </c>
      <c r="E65" s="27">
        <v>115</v>
      </c>
      <c r="F65" s="27">
        <v>235</v>
      </c>
    </row>
    <row r="66" spans="1:6" ht="18.75" customHeight="1" x14ac:dyDescent="0.35">
      <c r="A66" s="445">
        <v>63</v>
      </c>
      <c r="B66" s="415" t="s">
        <v>462</v>
      </c>
      <c r="C66" s="414"/>
      <c r="D66" s="25">
        <v>17787</v>
      </c>
      <c r="E66" s="27">
        <v>24679</v>
      </c>
      <c r="F66" s="27">
        <v>42466</v>
      </c>
    </row>
    <row r="67" spans="1:6" ht="18.75" customHeight="1" x14ac:dyDescent="0.35">
      <c r="A67" s="445">
        <v>64</v>
      </c>
      <c r="B67" s="415" t="s">
        <v>464</v>
      </c>
      <c r="C67" s="414"/>
      <c r="D67" s="25">
        <v>27</v>
      </c>
      <c r="E67" s="27">
        <v>116</v>
      </c>
      <c r="F67" s="27">
        <v>143</v>
      </c>
    </row>
    <row r="68" spans="1:6" ht="18.75" customHeight="1" x14ac:dyDescent="0.35">
      <c r="A68" s="445">
        <v>65</v>
      </c>
      <c r="B68" s="415" t="s">
        <v>466</v>
      </c>
      <c r="C68" s="414"/>
      <c r="D68" s="25">
        <v>1270</v>
      </c>
      <c r="E68" s="27">
        <v>19636</v>
      </c>
      <c r="F68" s="27">
        <v>20906</v>
      </c>
    </row>
    <row r="69" spans="1:6" ht="18.75" customHeight="1" x14ac:dyDescent="0.35">
      <c r="A69" s="445">
        <v>66</v>
      </c>
      <c r="B69" s="415" t="s">
        <v>467</v>
      </c>
      <c r="C69" s="414"/>
      <c r="D69" s="25">
        <v>4376</v>
      </c>
      <c r="E69" s="27">
        <v>1522</v>
      </c>
      <c r="F69" s="27">
        <v>5898</v>
      </c>
    </row>
    <row r="70" spans="1:6" ht="18.75" customHeight="1" x14ac:dyDescent="0.35">
      <c r="A70" s="445">
        <v>67</v>
      </c>
      <c r="B70" s="415" t="s">
        <v>67</v>
      </c>
      <c r="C70" s="414"/>
      <c r="D70" s="25">
        <v>24155</v>
      </c>
      <c r="E70" s="27">
        <v>50054</v>
      </c>
      <c r="F70" s="27">
        <v>74209</v>
      </c>
    </row>
    <row r="71" spans="1:6" ht="18.75" customHeight="1" x14ac:dyDescent="0.35">
      <c r="A71" s="445">
        <v>68</v>
      </c>
      <c r="B71" s="415" t="s">
        <v>439</v>
      </c>
      <c r="C71" s="414"/>
      <c r="D71" s="25">
        <v>268</v>
      </c>
      <c r="E71" s="27">
        <v>345</v>
      </c>
      <c r="F71" s="27">
        <v>613</v>
      </c>
    </row>
    <row r="72" spans="1:6" ht="18.75" customHeight="1" x14ac:dyDescent="0.35">
      <c r="A72" s="445">
        <v>69</v>
      </c>
      <c r="B72" s="415" t="s">
        <v>468</v>
      </c>
      <c r="C72" s="414"/>
      <c r="D72" s="25">
        <v>131900</v>
      </c>
      <c r="E72" s="27">
        <v>94926</v>
      </c>
      <c r="F72" s="27">
        <v>226826</v>
      </c>
    </row>
    <row r="73" spans="1:6" ht="18.75" customHeight="1" x14ac:dyDescent="0.35">
      <c r="A73" s="445">
        <v>70</v>
      </c>
      <c r="B73" s="415" t="s">
        <v>469</v>
      </c>
      <c r="C73" s="414"/>
      <c r="D73" s="25">
        <v>3916</v>
      </c>
      <c r="E73" s="27">
        <v>4897</v>
      </c>
      <c r="F73" s="27">
        <v>8813</v>
      </c>
    </row>
    <row r="74" spans="1:6" ht="18.75" customHeight="1" x14ac:dyDescent="0.35">
      <c r="A74" s="445">
        <v>71</v>
      </c>
      <c r="B74" s="415" t="s">
        <v>68</v>
      </c>
      <c r="C74" s="414"/>
      <c r="D74" s="25">
        <v>85999</v>
      </c>
      <c r="E74" s="27">
        <v>41825</v>
      </c>
      <c r="F74" s="27">
        <v>127824</v>
      </c>
    </row>
    <row r="75" spans="1:6" ht="18.75" customHeight="1" x14ac:dyDescent="0.35">
      <c r="A75" s="445">
        <v>72</v>
      </c>
      <c r="B75" s="415" t="s">
        <v>470</v>
      </c>
      <c r="C75" s="414"/>
      <c r="D75" s="25">
        <v>17771</v>
      </c>
      <c r="E75" s="27">
        <v>16477</v>
      </c>
      <c r="F75" s="27">
        <v>34248</v>
      </c>
    </row>
    <row r="76" spans="1:6" ht="18.75" customHeight="1" x14ac:dyDescent="0.35">
      <c r="A76" s="445">
        <v>73</v>
      </c>
      <c r="B76" s="415" t="s">
        <v>471</v>
      </c>
      <c r="C76" s="414"/>
      <c r="D76" s="25">
        <v>114</v>
      </c>
      <c r="E76" s="27">
        <v>200</v>
      </c>
      <c r="F76" s="27">
        <v>314</v>
      </c>
    </row>
    <row r="77" spans="1:6" ht="18.75" customHeight="1" x14ac:dyDescent="0.35">
      <c r="A77" s="445">
        <v>74</v>
      </c>
      <c r="B77" s="415" t="s">
        <v>472</v>
      </c>
      <c r="C77" s="414"/>
      <c r="D77" s="25">
        <v>666</v>
      </c>
      <c r="E77" s="27">
        <v>1220</v>
      </c>
      <c r="F77" s="27">
        <v>1886</v>
      </c>
    </row>
    <row r="78" spans="1:6" ht="18.75" customHeight="1" x14ac:dyDescent="0.35">
      <c r="A78" s="445">
        <v>75</v>
      </c>
      <c r="B78" s="415" t="s">
        <v>474</v>
      </c>
      <c r="C78" s="414"/>
      <c r="D78" s="25">
        <v>129895</v>
      </c>
      <c r="E78" s="27">
        <v>88735</v>
      </c>
      <c r="F78" s="27">
        <v>218630</v>
      </c>
    </row>
    <row r="79" spans="1:6" ht="18.75" customHeight="1" x14ac:dyDescent="0.35">
      <c r="A79" s="445">
        <v>76</v>
      </c>
      <c r="B79" s="415" t="s">
        <v>475</v>
      </c>
      <c r="C79" s="414"/>
      <c r="D79" s="25">
        <v>39</v>
      </c>
      <c r="E79" s="27">
        <v>22</v>
      </c>
      <c r="F79" s="27">
        <v>61</v>
      </c>
    </row>
    <row r="80" spans="1:6" ht="18.75" customHeight="1" x14ac:dyDescent="0.35">
      <c r="A80" s="445">
        <v>77</v>
      </c>
      <c r="B80" s="415" t="s">
        <v>476</v>
      </c>
      <c r="C80" s="414"/>
      <c r="D80" s="25">
        <v>345</v>
      </c>
      <c r="E80" s="27">
        <v>23</v>
      </c>
      <c r="F80" s="27">
        <v>368</v>
      </c>
    </row>
    <row r="81" spans="1:6" ht="18.75" customHeight="1" x14ac:dyDescent="0.35">
      <c r="A81" s="445">
        <v>78</v>
      </c>
      <c r="B81" s="415" t="s">
        <v>477</v>
      </c>
      <c r="C81" s="414"/>
      <c r="D81" s="25">
        <v>6</v>
      </c>
      <c r="E81" s="27"/>
      <c r="F81" s="27">
        <v>6</v>
      </c>
    </row>
    <row r="82" spans="1:6" ht="18.75" customHeight="1" x14ac:dyDescent="0.35">
      <c r="A82" s="445">
        <v>79</v>
      </c>
      <c r="B82" s="901" t="s">
        <v>478</v>
      </c>
      <c r="C82" s="414" t="s">
        <v>480</v>
      </c>
      <c r="D82" s="25">
        <v>7345</v>
      </c>
      <c r="E82" s="27">
        <v>10796</v>
      </c>
      <c r="F82" s="27">
        <v>18141</v>
      </c>
    </row>
    <row r="83" spans="1:6" ht="18.75" customHeight="1" x14ac:dyDescent="0.35">
      <c r="A83" s="445">
        <v>80</v>
      </c>
      <c r="B83" s="901"/>
      <c r="C83" s="414" t="s">
        <v>482</v>
      </c>
      <c r="D83" s="25">
        <v>5169</v>
      </c>
      <c r="E83" s="27">
        <v>14929</v>
      </c>
      <c r="F83" s="27">
        <v>20098</v>
      </c>
    </row>
    <row r="84" spans="1:6" ht="18.75" customHeight="1" x14ac:dyDescent="0.35">
      <c r="A84" s="445">
        <v>81</v>
      </c>
      <c r="B84" s="901"/>
      <c r="C84" s="414" t="s">
        <v>485</v>
      </c>
      <c r="D84" s="25">
        <v>32400</v>
      </c>
      <c r="E84" s="27">
        <v>32626</v>
      </c>
      <c r="F84" s="27">
        <v>65026</v>
      </c>
    </row>
    <row r="85" spans="1:6" ht="18.75" customHeight="1" x14ac:dyDescent="0.35">
      <c r="A85" s="445">
        <v>82</v>
      </c>
      <c r="B85" s="901"/>
      <c r="C85" s="414" t="s">
        <v>486</v>
      </c>
      <c r="D85" s="25">
        <v>215</v>
      </c>
      <c r="E85" s="27">
        <v>550</v>
      </c>
      <c r="F85" s="27">
        <v>765</v>
      </c>
    </row>
    <row r="86" spans="1:6" ht="18.75" customHeight="1" x14ac:dyDescent="0.35">
      <c r="A86" s="445">
        <v>83</v>
      </c>
      <c r="B86" s="901"/>
      <c r="C86" s="414" t="s">
        <v>487</v>
      </c>
      <c r="D86" s="25">
        <v>103</v>
      </c>
      <c r="E86" s="27">
        <v>113</v>
      </c>
      <c r="F86" s="27">
        <v>216</v>
      </c>
    </row>
    <row r="87" spans="1:6" ht="18.75" customHeight="1" x14ac:dyDescent="0.35">
      <c r="A87" s="445">
        <v>84</v>
      </c>
      <c r="B87" s="901"/>
      <c r="C87" s="414" t="s">
        <v>488</v>
      </c>
      <c r="D87" s="25">
        <v>4798</v>
      </c>
      <c r="E87" s="27">
        <v>7773</v>
      </c>
      <c r="F87" s="27">
        <v>12571</v>
      </c>
    </row>
    <row r="88" spans="1:6" ht="18.75" customHeight="1" x14ac:dyDescent="0.35">
      <c r="A88" s="445">
        <v>85</v>
      </c>
      <c r="B88" s="901"/>
      <c r="C88" s="414" t="s">
        <v>489</v>
      </c>
      <c r="D88" s="25">
        <v>459</v>
      </c>
      <c r="E88" s="27">
        <v>620</v>
      </c>
      <c r="F88" s="27">
        <v>1079</v>
      </c>
    </row>
    <row r="89" spans="1:6" ht="18.75" customHeight="1" x14ac:dyDescent="0.35">
      <c r="A89" s="445">
        <v>86</v>
      </c>
      <c r="B89" s="901"/>
      <c r="C89" s="414" t="s">
        <v>490</v>
      </c>
      <c r="D89" s="25">
        <v>45</v>
      </c>
      <c r="E89" s="27">
        <v>96</v>
      </c>
      <c r="F89" s="27">
        <v>141</v>
      </c>
    </row>
    <row r="90" spans="1:6" ht="18.75" customHeight="1" x14ac:dyDescent="0.35">
      <c r="A90" s="445">
        <v>87</v>
      </c>
      <c r="B90" s="901"/>
      <c r="C90" s="414" t="s">
        <v>491</v>
      </c>
      <c r="D90" s="25">
        <v>319</v>
      </c>
      <c r="E90" s="27">
        <v>456</v>
      </c>
      <c r="F90" s="27">
        <v>775</v>
      </c>
    </row>
    <row r="91" spans="1:6" ht="18.75" customHeight="1" x14ac:dyDescent="0.35">
      <c r="A91" s="445">
        <v>88</v>
      </c>
      <c r="B91" s="901"/>
      <c r="C91" s="414" t="s">
        <v>478</v>
      </c>
      <c r="D91" s="25">
        <v>4890</v>
      </c>
      <c r="E91" s="27">
        <v>9827</v>
      </c>
      <c r="F91" s="27">
        <v>14717</v>
      </c>
    </row>
    <row r="92" spans="1:6" ht="18.75" customHeight="1" x14ac:dyDescent="0.35">
      <c r="A92" s="445">
        <v>89</v>
      </c>
      <c r="B92" s="901"/>
      <c r="C92" s="414" t="s">
        <v>113</v>
      </c>
      <c r="D92" s="25">
        <v>25426</v>
      </c>
      <c r="E92" s="27">
        <v>87292</v>
      </c>
      <c r="F92" s="27">
        <v>112718</v>
      </c>
    </row>
    <row r="93" spans="1:6" ht="18.75" customHeight="1" x14ac:dyDescent="0.35">
      <c r="A93" s="445">
        <v>90</v>
      </c>
      <c r="B93" s="901"/>
      <c r="C93" s="414" t="s">
        <v>492</v>
      </c>
      <c r="D93" s="25">
        <v>312</v>
      </c>
      <c r="E93" s="27">
        <v>595</v>
      </c>
      <c r="F93" s="27">
        <v>907</v>
      </c>
    </row>
    <row r="94" spans="1:6" ht="18.75" customHeight="1" x14ac:dyDescent="0.35">
      <c r="A94" s="445">
        <v>91</v>
      </c>
      <c r="B94" s="901"/>
      <c r="C94" s="414" t="s">
        <v>493</v>
      </c>
      <c r="D94" s="25">
        <v>730</v>
      </c>
      <c r="E94" s="27">
        <v>1195</v>
      </c>
      <c r="F94" s="27">
        <v>1925</v>
      </c>
    </row>
    <row r="95" spans="1:6" ht="18.75" customHeight="1" x14ac:dyDescent="0.35">
      <c r="A95" s="445">
        <v>92</v>
      </c>
      <c r="B95" s="901"/>
      <c r="C95" s="414" t="s">
        <v>494</v>
      </c>
      <c r="D95" s="25">
        <v>528</v>
      </c>
      <c r="E95" s="27">
        <v>861</v>
      </c>
      <c r="F95" s="27">
        <v>1389</v>
      </c>
    </row>
    <row r="96" spans="1:6" ht="18.75" customHeight="1" x14ac:dyDescent="0.35">
      <c r="A96" s="445">
        <v>93</v>
      </c>
      <c r="B96" s="901"/>
      <c r="C96" s="414" t="s">
        <v>495</v>
      </c>
      <c r="D96" s="25">
        <v>179</v>
      </c>
      <c r="E96" s="27">
        <v>555</v>
      </c>
      <c r="F96" s="27">
        <v>734</v>
      </c>
    </row>
    <row r="97" spans="1:6" ht="18.75" customHeight="1" x14ac:dyDescent="0.35">
      <c r="A97" s="445">
        <v>94</v>
      </c>
      <c r="B97" s="901"/>
      <c r="C97" s="414" t="s">
        <v>496</v>
      </c>
      <c r="D97" s="25">
        <v>103</v>
      </c>
      <c r="E97" s="27">
        <v>113</v>
      </c>
      <c r="F97" s="27">
        <v>216</v>
      </c>
    </row>
    <row r="98" spans="1:6" ht="18.75" customHeight="1" x14ac:dyDescent="0.35">
      <c r="A98" s="445">
        <v>95</v>
      </c>
      <c r="B98" s="901"/>
      <c r="C98" s="414" t="s">
        <v>497</v>
      </c>
      <c r="D98" s="25">
        <v>61644</v>
      </c>
      <c r="E98" s="27">
        <v>43059</v>
      </c>
      <c r="F98" s="27">
        <v>104703</v>
      </c>
    </row>
    <row r="99" spans="1:6" ht="18.75" customHeight="1" x14ac:dyDescent="0.35">
      <c r="A99" s="445">
        <v>96</v>
      </c>
      <c r="B99" s="901"/>
      <c r="C99" s="414" t="s">
        <v>498</v>
      </c>
      <c r="D99" s="25">
        <v>6236</v>
      </c>
      <c r="E99" s="27">
        <v>12055</v>
      </c>
      <c r="F99" s="27">
        <v>18291</v>
      </c>
    </row>
    <row r="100" spans="1:6" ht="18.75" customHeight="1" x14ac:dyDescent="0.35">
      <c r="A100" s="445">
        <v>97</v>
      </c>
      <c r="B100" s="901"/>
      <c r="C100" s="414" t="s">
        <v>499</v>
      </c>
      <c r="D100" s="25">
        <v>31</v>
      </c>
      <c r="E100" s="27">
        <v>49</v>
      </c>
      <c r="F100" s="27">
        <v>80</v>
      </c>
    </row>
    <row r="101" spans="1:6" ht="18.75" customHeight="1" x14ac:dyDescent="0.35">
      <c r="A101" s="445">
        <v>98</v>
      </c>
      <c r="B101" s="901"/>
      <c r="C101" s="414" t="s">
        <v>501</v>
      </c>
      <c r="D101" s="25">
        <v>1035</v>
      </c>
      <c r="E101" s="27">
        <v>1073</v>
      </c>
      <c r="F101" s="27">
        <v>2108</v>
      </c>
    </row>
    <row r="102" spans="1:6" ht="18.75" customHeight="1" x14ac:dyDescent="0.35">
      <c r="A102" s="445">
        <v>99</v>
      </c>
      <c r="B102" s="415" t="s">
        <v>502</v>
      </c>
      <c r="C102" s="414"/>
      <c r="D102" s="25">
        <v>151967</v>
      </c>
      <c r="E102" s="27">
        <v>224633</v>
      </c>
      <c r="F102" s="27">
        <v>376600</v>
      </c>
    </row>
    <row r="103" spans="1:6" ht="18.75" customHeight="1" x14ac:dyDescent="0.35">
      <c r="A103" s="445">
        <v>100</v>
      </c>
      <c r="B103" s="415" t="s">
        <v>503</v>
      </c>
      <c r="C103" s="414"/>
      <c r="D103" s="25">
        <v>10070</v>
      </c>
      <c r="E103" s="27">
        <v>5710</v>
      </c>
      <c r="F103" s="27">
        <v>15780</v>
      </c>
    </row>
    <row r="104" spans="1:6" ht="18.75" customHeight="1" x14ac:dyDescent="0.35">
      <c r="A104" s="445">
        <v>101</v>
      </c>
      <c r="B104" s="446" t="s">
        <v>504</v>
      </c>
      <c r="C104" s="119"/>
      <c r="D104" s="25">
        <v>8706</v>
      </c>
      <c r="E104" s="25">
        <v>9067</v>
      </c>
      <c r="F104" s="25">
        <v>17773</v>
      </c>
    </row>
    <row r="105" spans="1:6" ht="18.75" customHeight="1" x14ac:dyDescent="0.35">
      <c r="A105" s="445">
        <v>102</v>
      </c>
      <c r="B105" s="446" t="s">
        <v>505</v>
      </c>
      <c r="C105" s="119"/>
      <c r="D105" s="25">
        <v>23</v>
      </c>
      <c r="E105" s="25">
        <v>30</v>
      </c>
      <c r="F105" s="25">
        <v>53</v>
      </c>
    </row>
    <row r="106" spans="1:6" ht="18.75" customHeight="1" x14ac:dyDescent="0.35">
      <c r="A106" s="445">
        <v>103</v>
      </c>
      <c r="B106" s="446" t="s">
        <v>506</v>
      </c>
      <c r="C106" s="119"/>
      <c r="D106" s="25">
        <v>18558</v>
      </c>
      <c r="E106" s="25">
        <v>8444</v>
      </c>
      <c r="F106" s="25">
        <v>27002</v>
      </c>
    </row>
    <row r="107" spans="1:6" ht="18.75" customHeight="1" x14ac:dyDescent="0.35">
      <c r="A107" s="445">
        <v>104</v>
      </c>
      <c r="B107" s="446" t="s">
        <v>507</v>
      </c>
      <c r="C107" s="119"/>
      <c r="D107" s="25">
        <v>181</v>
      </c>
      <c r="E107" s="25">
        <v>44</v>
      </c>
      <c r="F107" s="25">
        <v>225</v>
      </c>
    </row>
    <row r="108" spans="1:6" ht="18.75" customHeight="1" x14ac:dyDescent="0.35">
      <c r="A108" s="445">
        <v>105</v>
      </c>
      <c r="B108" s="446" t="s">
        <v>508</v>
      </c>
      <c r="C108" s="64"/>
      <c r="D108" s="64">
        <v>14</v>
      </c>
      <c r="E108" s="64">
        <v>17</v>
      </c>
      <c r="F108" s="64">
        <v>31</v>
      </c>
    </row>
    <row r="109" spans="1:6" ht="18.75" customHeight="1" x14ac:dyDescent="0.35">
      <c r="A109" s="445">
        <v>106</v>
      </c>
      <c r="B109" s="446" t="s">
        <v>509</v>
      </c>
      <c r="C109" s="64"/>
      <c r="D109" s="64">
        <v>348</v>
      </c>
      <c r="E109" s="64">
        <v>433</v>
      </c>
      <c r="F109" s="64">
        <v>781</v>
      </c>
    </row>
    <row r="110" spans="1:6" ht="18.75" customHeight="1" x14ac:dyDescent="0.35">
      <c r="A110" s="445">
        <v>107</v>
      </c>
      <c r="B110" s="446" t="s">
        <v>510</v>
      </c>
      <c r="C110" s="64"/>
      <c r="D110" s="64">
        <v>44</v>
      </c>
      <c r="E110" s="64">
        <v>40</v>
      </c>
      <c r="F110" s="64">
        <v>84</v>
      </c>
    </row>
    <row r="111" spans="1:6" ht="18.75" customHeight="1" x14ac:dyDescent="0.35">
      <c r="A111" s="445">
        <v>108</v>
      </c>
      <c r="B111" s="446" t="s">
        <v>511</v>
      </c>
      <c r="C111" s="64"/>
      <c r="D111" s="64">
        <v>1289</v>
      </c>
      <c r="E111" s="64">
        <v>484</v>
      </c>
      <c r="F111" s="64">
        <v>1773</v>
      </c>
    </row>
    <row r="112" spans="1:6" ht="18.75" customHeight="1" x14ac:dyDescent="0.35">
      <c r="A112" s="445">
        <v>109</v>
      </c>
      <c r="B112" s="446" t="s">
        <v>72</v>
      </c>
      <c r="C112" s="64"/>
      <c r="D112" s="64">
        <v>525503</v>
      </c>
      <c r="E112" s="64">
        <v>613516</v>
      </c>
      <c r="F112" s="64">
        <v>1139019</v>
      </c>
    </row>
    <row r="113" spans="1:6" ht="18.75" customHeight="1" x14ac:dyDescent="0.35">
      <c r="A113" s="445">
        <v>110</v>
      </c>
      <c r="B113" s="446" t="s">
        <v>73</v>
      </c>
      <c r="C113" s="64"/>
      <c r="D113" s="64">
        <v>123757</v>
      </c>
      <c r="E113" s="64">
        <v>144975</v>
      </c>
      <c r="F113" s="64">
        <v>268732</v>
      </c>
    </row>
    <row r="114" spans="1:6" ht="18.75" customHeight="1" x14ac:dyDescent="0.35">
      <c r="A114" s="445">
        <v>111</v>
      </c>
      <c r="B114" s="446" t="s">
        <v>513</v>
      </c>
      <c r="C114" s="64"/>
      <c r="D114" s="64">
        <v>2788</v>
      </c>
      <c r="E114" s="64">
        <v>3375</v>
      </c>
      <c r="F114" s="64">
        <v>6163</v>
      </c>
    </row>
    <row r="115" spans="1:6" ht="18.75" customHeight="1" x14ac:dyDescent="0.35">
      <c r="A115" s="445">
        <v>112</v>
      </c>
      <c r="B115" s="446" t="s">
        <v>76</v>
      </c>
      <c r="C115" s="64"/>
      <c r="D115" s="64">
        <v>2920</v>
      </c>
      <c r="E115" s="64">
        <v>1888</v>
      </c>
      <c r="F115" s="64">
        <v>4808</v>
      </c>
    </row>
    <row r="116" spans="1:6" ht="18.75" customHeight="1" x14ac:dyDescent="0.35">
      <c r="A116" s="445">
        <v>113</v>
      </c>
      <c r="B116" s="446" t="s">
        <v>514</v>
      </c>
      <c r="C116" s="64"/>
      <c r="D116" s="64">
        <v>265</v>
      </c>
      <c r="E116" s="64">
        <v>149</v>
      </c>
      <c r="F116" s="64">
        <v>414</v>
      </c>
    </row>
    <row r="117" spans="1:6" ht="18.75" customHeight="1" x14ac:dyDescent="0.35">
      <c r="A117" s="445">
        <v>114</v>
      </c>
      <c r="B117" s="446" t="s">
        <v>515</v>
      </c>
      <c r="C117" s="64"/>
      <c r="D117" s="64"/>
      <c r="E117" s="64">
        <v>150</v>
      </c>
      <c r="F117" s="64">
        <v>150</v>
      </c>
    </row>
    <row r="118" spans="1:6" ht="18.75" customHeight="1" x14ac:dyDescent="0.3">
      <c r="A118" s="900" t="s">
        <v>12</v>
      </c>
      <c r="B118" s="900"/>
      <c r="C118" s="66"/>
      <c r="D118" s="66">
        <v>3765474</v>
      </c>
      <c r="E118" s="66">
        <v>4010081</v>
      </c>
      <c r="F118" s="66">
        <v>7775555</v>
      </c>
    </row>
    <row r="124" spans="1:6" x14ac:dyDescent="0.3">
      <c r="F124" s="413"/>
    </row>
  </sheetData>
  <mergeCells count="5">
    <mergeCell ref="B1:F1"/>
    <mergeCell ref="B2:C2"/>
    <mergeCell ref="A118:B118"/>
    <mergeCell ref="B19:B57"/>
    <mergeCell ref="B82:B101"/>
  </mergeCells>
  <pageMargins left="0.47244094488188981" right="0.15748031496062992" top="0.39370078740157483" bottom="0.39370078740157483" header="0.31496062992125984" footer="0.19685039370078741"/>
  <pageSetup paperSize="9" scale="85" orientation="portrait" r:id="rId1"/>
  <headerFooter>
    <oddFooter>&amp;L&amp;"Arial,Italic"&amp;9AISHE 2023-24&amp;RT-36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770D-9646-473C-8BC8-9704A0EC1D75}">
  <dimension ref="A1:L280"/>
  <sheetViews>
    <sheetView view="pageBreakPreview" topLeftCell="A18" zoomScale="104" zoomScaleNormal="100" zoomScaleSheetLayoutView="104" workbookViewId="0">
      <selection activeCell="H18" sqref="H18"/>
    </sheetView>
  </sheetViews>
  <sheetFormatPr defaultColWidth="9.453125" defaultRowHeight="14" x14ac:dyDescent="0.35"/>
  <cols>
    <col min="1" max="1" width="4.54296875" style="130" bestFit="1" customWidth="1"/>
    <col min="2" max="2" width="23" style="418" customWidth="1"/>
    <col min="3" max="3" width="24.81640625" style="108" customWidth="1"/>
    <col min="4" max="4" width="10" style="130" bestFit="1" customWidth="1"/>
    <col min="5" max="5" width="11.81640625" style="130" bestFit="1" customWidth="1"/>
    <col min="6" max="6" width="10.1796875" style="130" bestFit="1" customWidth="1"/>
    <col min="7" max="7" width="10" style="130" bestFit="1" customWidth="1"/>
    <col min="8" max="8" width="11.81640625" style="130" bestFit="1" customWidth="1"/>
    <col min="9" max="9" width="10.1796875" style="130" bestFit="1" customWidth="1"/>
    <col min="10" max="10" width="10.54296875" style="130" bestFit="1" customWidth="1"/>
    <col min="11" max="11" width="11.81640625" style="130" bestFit="1" customWidth="1"/>
    <col min="12" max="12" width="11.7265625" style="130" bestFit="1" customWidth="1"/>
    <col min="13" max="16384" width="9.453125" style="106"/>
  </cols>
  <sheetData>
    <row r="1" spans="1:12" ht="35.25" customHeight="1" x14ac:dyDescent="0.35">
      <c r="A1" s="570"/>
      <c r="B1" s="902" t="s">
        <v>954</v>
      </c>
      <c r="C1" s="902"/>
      <c r="D1" s="902"/>
      <c r="E1" s="902"/>
      <c r="F1" s="902"/>
      <c r="G1" s="902"/>
      <c r="H1" s="902"/>
      <c r="I1" s="902"/>
      <c r="J1" s="902"/>
      <c r="K1" s="902"/>
      <c r="L1" s="902"/>
    </row>
    <row r="2" spans="1:12" s="421" customFormat="1" ht="17.899999999999999" customHeight="1" x14ac:dyDescent="0.35">
      <c r="A2" s="903" t="s">
        <v>952</v>
      </c>
      <c r="B2" s="904" t="s">
        <v>399</v>
      </c>
      <c r="C2" s="904"/>
      <c r="D2" s="905" t="s">
        <v>95</v>
      </c>
      <c r="E2" s="905"/>
      <c r="F2" s="905"/>
      <c r="G2" s="905" t="s">
        <v>96</v>
      </c>
      <c r="H2" s="905"/>
      <c r="I2" s="905"/>
      <c r="J2" s="905" t="s">
        <v>97</v>
      </c>
      <c r="K2" s="905"/>
      <c r="L2" s="905"/>
    </row>
    <row r="3" spans="1:12" s="421" customFormat="1" ht="17.899999999999999" customHeight="1" x14ac:dyDescent="0.35">
      <c r="A3" s="903"/>
      <c r="B3" s="904"/>
      <c r="C3" s="904"/>
      <c r="D3" s="447" t="s">
        <v>103</v>
      </c>
      <c r="E3" s="447" t="s">
        <v>104</v>
      </c>
      <c r="F3" s="447" t="s">
        <v>89</v>
      </c>
      <c r="G3" s="447" t="s">
        <v>103</v>
      </c>
      <c r="H3" s="447" t="s">
        <v>104</v>
      </c>
      <c r="I3" s="447" t="s">
        <v>89</v>
      </c>
      <c r="J3" s="447" t="s">
        <v>103</v>
      </c>
      <c r="K3" s="447" t="s">
        <v>104</v>
      </c>
      <c r="L3" s="447" t="s">
        <v>89</v>
      </c>
    </row>
    <row r="4" spans="1:12" s="315" customFormat="1" ht="11.25" customHeight="1" x14ac:dyDescent="0.35">
      <c r="A4" s="448">
        <v>1</v>
      </c>
      <c r="B4" s="449">
        <v>2</v>
      </c>
      <c r="C4" s="448">
        <v>3</v>
      </c>
      <c r="D4" s="448">
        <v>4</v>
      </c>
      <c r="E4" s="448">
        <v>5</v>
      </c>
      <c r="F4" s="448">
        <v>6</v>
      </c>
      <c r="G4" s="448">
        <v>7</v>
      </c>
      <c r="H4" s="448">
        <v>8</v>
      </c>
      <c r="I4" s="448">
        <v>9</v>
      </c>
      <c r="J4" s="448">
        <v>10</v>
      </c>
      <c r="K4" s="448">
        <v>11</v>
      </c>
      <c r="L4" s="448">
        <v>12</v>
      </c>
    </row>
    <row r="5" spans="1:12" ht="15.5" x14ac:dyDescent="0.35">
      <c r="A5" s="417">
        <v>1</v>
      </c>
      <c r="B5" s="906" t="s">
        <v>62</v>
      </c>
      <c r="C5" s="420" t="s">
        <v>62</v>
      </c>
      <c r="D5" s="134">
        <f t="shared" ref="D5:D68" si="0">F5-E5</f>
        <v>1093</v>
      </c>
      <c r="E5" s="134">
        <v>989</v>
      </c>
      <c r="F5" s="134">
        <v>2082</v>
      </c>
      <c r="G5" s="134"/>
      <c r="H5" s="134"/>
      <c r="I5" s="134"/>
      <c r="J5" s="134">
        <f t="shared" ref="J5:J64" si="1">L5-K5</f>
        <v>8138</v>
      </c>
      <c r="K5" s="134">
        <v>4958</v>
      </c>
      <c r="L5" s="134">
        <v>13096</v>
      </c>
    </row>
    <row r="6" spans="1:12" ht="15.5" x14ac:dyDescent="0.35">
      <c r="A6" s="417">
        <v>2</v>
      </c>
      <c r="B6" s="907"/>
      <c r="C6" s="420" t="s">
        <v>517</v>
      </c>
      <c r="D6" s="134">
        <f t="shared" si="0"/>
        <v>30</v>
      </c>
      <c r="E6" s="134">
        <v>39</v>
      </c>
      <c r="F6" s="134">
        <v>69</v>
      </c>
      <c r="G6" s="134"/>
      <c r="H6" s="134"/>
      <c r="I6" s="134"/>
      <c r="J6" s="134">
        <f t="shared" si="1"/>
        <v>253</v>
      </c>
      <c r="K6" s="134">
        <v>259</v>
      </c>
      <c r="L6" s="134">
        <v>512</v>
      </c>
    </row>
    <row r="7" spans="1:12" ht="15.5" x14ac:dyDescent="0.35">
      <c r="A7" s="417">
        <v>3</v>
      </c>
      <c r="B7" s="907"/>
      <c r="C7" s="420" t="s">
        <v>518</v>
      </c>
      <c r="D7" s="134">
        <f t="shared" si="0"/>
        <v>160</v>
      </c>
      <c r="E7" s="134">
        <v>193</v>
      </c>
      <c r="F7" s="134">
        <v>353</v>
      </c>
      <c r="G7" s="134"/>
      <c r="H7" s="134"/>
      <c r="I7" s="134"/>
      <c r="J7" s="134">
        <f t="shared" si="1"/>
        <v>1483</v>
      </c>
      <c r="K7" s="134">
        <v>1070</v>
      </c>
      <c r="L7" s="134">
        <v>2553</v>
      </c>
    </row>
    <row r="8" spans="1:12" ht="15.5" x14ac:dyDescent="0.35">
      <c r="A8" s="417">
        <v>4</v>
      </c>
      <c r="B8" s="907"/>
      <c r="C8" s="420" t="s">
        <v>519</v>
      </c>
      <c r="D8" s="134">
        <f t="shared" si="0"/>
        <v>2</v>
      </c>
      <c r="E8" s="134">
        <v>3</v>
      </c>
      <c r="F8" s="134">
        <v>5</v>
      </c>
      <c r="G8" s="134"/>
      <c r="H8" s="134"/>
      <c r="I8" s="134"/>
      <c r="J8" s="134">
        <f t="shared" si="1"/>
        <v>20</v>
      </c>
      <c r="K8" s="134">
        <v>24</v>
      </c>
      <c r="L8" s="134">
        <v>44</v>
      </c>
    </row>
    <row r="9" spans="1:12" ht="15.5" x14ac:dyDescent="0.3">
      <c r="A9" s="417">
        <v>5</v>
      </c>
      <c r="B9" s="906" t="s">
        <v>520</v>
      </c>
      <c r="C9" s="907"/>
      <c r="D9" s="304">
        <f t="shared" si="0"/>
        <v>1285</v>
      </c>
      <c r="E9" s="304">
        <v>1224</v>
      </c>
      <c r="F9" s="304">
        <v>2509</v>
      </c>
      <c r="G9" s="304"/>
      <c r="H9" s="304"/>
      <c r="I9" s="304"/>
      <c r="J9" s="304">
        <f t="shared" si="1"/>
        <v>9894</v>
      </c>
      <c r="K9" s="304">
        <v>6311</v>
      </c>
      <c r="L9" s="304">
        <v>16205</v>
      </c>
    </row>
    <row r="10" spans="1:12" ht="15.5" x14ac:dyDescent="0.35">
      <c r="A10" s="417">
        <v>6</v>
      </c>
      <c r="B10" s="419" t="s">
        <v>402</v>
      </c>
      <c r="C10" s="420" t="s">
        <v>457</v>
      </c>
      <c r="D10" s="134"/>
      <c r="E10" s="134"/>
      <c r="F10" s="134"/>
      <c r="G10" s="134"/>
      <c r="H10" s="134"/>
      <c r="I10" s="134"/>
      <c r="J10" s="134">
        <f t="shared" si="1"/>
        <v>7</v>
      </c>
      <c r="K10" s="134">
        <v>16</v>
      </c>
      <c r="L10" s="134">
        <v>23</v>
      </c>
    </row>
    <row r="11" spans="1:12" ht="15.5" x14ac:dyDescent="0.3">
      <c r="A11" s="417">
        <v>7</v>
      </c>
      <c r="B11" s="906" t="s">
        <v>521</v>
      </c>
      <c r="C11" s="907"/>
      <c r="D11" s="304"/>
      <c r="E11" s="304"/>
      <c r="F11" s="304"/>
      <c r="G11" s="304"/>
      <c r="H11" s="304"/>
      <c r="I11" s="304"/>
      <c r="J11" s="304">
        <f t="shared" si="1"/>
        <v>7</v>
      </c>
      <c r="K11" s="304">
        <v>16</v>
      </c>
      <c r="L11" s="304">
        <v>23</v>
      </c>
    </row>
    <row r="12" spans="1:12" ht="15.5" x14ac:dyDescent="0.35">
      <c r="A12" s="417">
        <v>8</v>
      </c>
      <c r="B12" s="906" t="s">
        <v>404</v>
      </c>
      <c r="C12" s="420" t="s">
        <v>404</v>
      </c>
      <c r="D12" s="134">
        <f t="shared" si="0"/>
        <v>971</v>
      </c>
      <c r="E12" s="134">
        <v>1167</v>
      </c>
      <c r="F12" s="134">
        <v>2138</v>
      </c>
      <c r="G12" s="134">
        <f t="shared" ref="G12:G41" si="2">I12-H12</f>
        <v>9</v>
      </c>
      <c r="H12" s="134">
        <v>23</v>
      </c>
      <c r="I12" s="134">
        <v>32</v>
      </c>
      <c r="J12" s="134">
        <f t="shared" si="1"/>
        <v>14013</v>
      </c>
      <c r="K12" s="134">
        <v>23404</v>
      </c>
      <c r="L12" s="134">
        <v>37417</v>
      </c>
    </row>
    <row r="13" spans="1:12" ht="15.5" x14ac:dyDescent="0.35">
      <c r="A13" s="417">
        <v>9</v>
      </c>
      <c r="B13" s="907"/>
      <c r="C13" s="420" t="s">
        <v>522</v>
      </c>
      <c r="D13" s="134"/>
      <c r="E13" s="134"/>
      <c r="F13" s="134"/>
      <c r="G13" s="134"/>
      <c r="H13" s="134"/>
      <c r="I13" s="134"/>
      <c r="J13" s="134">
        <f t="shared" si="1"/>
        <v>8</v>
      </c>
      <c r="K13" s="134">
        <v>5</v>
      </c>
      <c r="L13" s="134">
        <v>13</v>
      </c>
    </row>
    <row r="14" spans="1:12" ht="15.5" x14ac:dyDescent="0.3">
      <c r="A14" s="417">
        <v>10</v>
      </c>
      <c r="B14" s="906" t="s">
        <v>523</v>
      </c>
      <c r="C14" s="907"/>
      <c r="D14" s="304">
        <f t="shared" si="0"/>
        <v>971</v>
      </c>
      <c r="E14" s="304">
        <v>1167</v>
      </c>
      <c r="F14" s="304">
        <v>2138</v>
      </c>
      <c r="G14" s="304">
        <f t="shared" si="2"/>
        <v>9</v>
      </c>
      <c r="H14" s="304">
        <v>23</v>
      </c>
      <c r="I14" s="304">
        <v>32</v>
      </c>
      <c r="J14" s="304">
        <f t="shared" si="1"/>
        <v>14021</v>
      </c>
      <c r="K14" s="304">
        <v>23409</v>
      </c>
      <c r="L14" s="304">
        <v>37430</v>
      </c>
    </row>
    <row r="15" spans="1:12" ht="15.5" x14ac:dyDescent="0.35">
      <c r="A15" s="417">
        <v>11</v>
      </c>
      <c r="B15" s="906" t="s">
        <v>405</v>
      </c>
      <c r="C15" s="420" t="s">
        <v>404</v>
      </c>
      <c r="D15" s="134"/>
      <c r="E15" s="134"/>
      <c r="F15" s="134"/>
      <c r="G15" s="134"/>
      <c r="H15" s="134"/>
      <c r="I15" s="134"/>
      <c r="J15" s="134">
        <f t="shared" si="1"/>
        <v>91</v>
      </c>
      <c r="K15" s="134">
        <v>66</v>
      </c>
      <c r="L15" s="134">
        <v>157</v>
      </c>
    </row>
    <row r="16" spans="1:12" ht="15.5" x14ac:dyDescent="0.35">
      <c r="A16" s="417">
        <v>12</v>
      </c>
      <c r="B16" s="907"/>
      <c r="C16" s="420" t="s">
        <v>405</v>
      </c>
      <c r="D16" s="134"/>
      <c r="E16" s="134"/>
      <c r="F16" s="134"/>
      <c r="G16" s="134"/>
      <c r="H16" s="134"/>
      <c r="I16" s="134"/>
      <c r="J16" s="134">
        <f t="shared" si="1"/>
        <v>13792</v>
      </c>
      <c r="K16" s="134">
        <v>25863</v>
      </c>
      <c r="L16" s="134">
        <v>39655</v>
      </c>
    </row>
    <row r="17" spans="1:12" ht="15.5" x14ac:dyDescent="0.35">
      <c r="A17" s="417">
        <v>13</v>
      </c>
      <c r="B17" s="907"/>
      <c r="C17" s="420" t="s">
        <v>524</v>
      </c>
      <c r="D17" s="134"/>
      <c r="E17" s="134"/>
      <c r="F17" s="134"/>
      <c r="G17" s="134"/>
      <c r="H17" s="134"/>
      <c r="I17" s="134"/>
      <c r="J17" s="134">
        <f t="shared" si="1"/>
        <v>530</v>
      </c>
      <c r="K17" s="134">
        <v>752</v>
      </c>
      <c r="L17" s="134">
        <v>1282</v>
      </c>
    </row>
    <row r="18" spans="1:12" ht="15.5" x14ac:dyDescent="0.3">
      <c r="A18" s="417">
        <v>14</v>
      </c>
      <c r="B18" s="906" t="s">
        <v>525</v>
      </c>
      <c r="C18" s="907"/>
      <c r="D18" s="304"/>
      <c r="E18" s="304"/>
      <c r="F18" s="304"/>
      <c r="G18" s="304"/>
      <c r="H18" s="304"/>
      <c r="I18" s="304"/>
      <c r="J18" s="304">
        <f t="shared" si="1"/>
        <v>14413</v>
      </c>
      <c r="K18" s="304">
        <v>26681</v>
      </c>
      <c r="L18" s="304">
        <v>41094</v>
      </c>
    </row>
    <row r="19" spans="1:12" ht="15.5" x14ac:dyDescent="0.35">
      <c r="A19" s="417">
        <v>15</v>
      </c>
      <c r="B19" s="906" t="s">
        <v>407</v>
      </c>
      <c r="C19" s="420" t="s">
        <v>527</v>
      </c>
      <c r="D19" s="134"/>
      <c r="E19" s="134"/>
      <c r="F19" s="134"/>
      <c r="G19" s="134"/>
      <c r="H19" s="134"/>
      <c r="I19" s="134"/>
      <c r="J19" s="134">
        <f t="shared" si="1"/>
        <v>18</v>
      </c>
      <c r="K19" s="134">
        <v>34</v>
      </c>
      <c r="L19" s="134">
        <v>52</v>
      </c>
    </row>
    <row r="20" spans="1:12" ht="15.5" x14ac:dyDescent="0.35">
      <c r="A20" s="417">
        <v>16</v>
      </c>
      <c r="B20" s="907"/>
      <c r="C20" s="420" t="s">
        <v>407</v>
      </c>
      <c r="D20" s="134">
        <f t="shared" si="0"/>
        <v>656</v>
      </c>
      <c r="E20" s="134">
        <v>841</v>
      </c>
      <c r="F20" s="134">
        <v>1497</v>
      </c>
      <c r="G20" s="134">
        <f t="shared" si="2"/>
        <v>5</v>
      </c>
      <c r="H20" s="134">
        <v>40</v>
      </c>
      <c r="I20" s="134">
        <v>45</v>
      </c>
      <c r="J20" s="134">
        <f t="shared" si="1"/>
        <v>61919</v>
      </c>
      <c r="K20" s="134">
        <v>118654</v>
      </c>
      <c r="L20" s="134">
        <v>180573</v>
      </c>
    </row>
    <row r="21" spans="1:12" ht="15.5" x14ac:dyDescent="0.35">
      <c r="A21" s="417">
        <v>17</v>
      </c>
      <c r="B21" s="907"/>
      <c r="C21" s="420" t="s">
        <v>528</v>
      </c>
      <c r="D21" s="134"/>
      <c r="E21" s="134"/>
      <c r="F21" s="134"/>
      <c r="G21" s="134"/>
      <c r="H21" s="134"/>
      <c r="I21" s="134"/>
      <c r="J21" s="134">
        <f t="shared" si="1"/>
        <v>8</v>
      </c>
      <c r="K21" s="134">
        <v>38</v>
      </c>
      <c r="L21" s="134">
        <v>46</v>
      </c>
    </row>
    <row r="22" spans="1:12" ht="15.5" x14ac:dyDescent="0.35">
      <c r="A22" s="417">
        <v>18</v>
      </c>
      <c r="B22" s="907"/>
      <c r="C22" s="420" t="s">
        <v>530</v>
      </c>
      <c r="D22" s="134"/>
      <c r="E22" s="134"/>
      <c r="F22" s="134"/>
      <c r="G22" s="134"/>
      <c r="H22" s="134"/>
      <c r="I22" s="134"/>
      <c r="J22" s="134">
        <f t="shared" si="1"/>
        <v>15</v>
      </c>
      <c r="K22" s="134">
        <v>8</v>
      </c>
      <c r="L22" s="134">
        <v>23</v>
      </c>
    </row>
    <row r="23" spans="1:12" ht="15.5" x14ac:dyDescent="0.3">
      <c r="A23" s="417">
        <v>19</v>
      </c>
      <c r="B23" s="906" t="s">
        <v>531</v>
      </c>
      <c r="C23" s="907"/>
      <c r="D23" s="304">
        <f t="shared" si="0"/>
        <v>656</v>
      </c>
      <c r="E23" s="304">
        <v>841</v>
      </c>
      <c r="F23" s="304">
        <v>1497</v>
      </c>
      <c r="G23" s="304">
        <f t="shared" si="2"/>
        <v>5</v>
      </c>
      <c r="H23" s="304">
        <v>40</v>
      </c>
      <c r="I23" s="304">
        <v>45</v>
      </c>
      <c r="J23" s="304">
        <f t="shared" si="1"/>
        <v>61960</v>
      </c>
      <c r="K23" s="304">
        <v>118734</v>
      </c>
      <c r="L23" s="304">
        <v>180694</v>
      </c>
    </row>
    <row r="24" spans="1:12" ht="31" x14ac:dyDescent="0.35">
      <c r="A24" s="417">
        <v>20</v>
      </c>
      <c r="B24" s="419" t="s">
        <v>408</v>
      </c>
      <c r="C24" s="420" t="s">
        <v>532</v>
      </c>
      <c r="D24" s="134"/>
      <c r="E24" s="134"/>
      <c r="F24" s="134"/>
      <c r="G24" s="134"/>
      <c r="H24" s="134"/>
      <c r="I24" s="134"/>
      <c r="J24" s="134">
        <f t="shared" si="1"/>
        <v>214</v>
      </c>
      <c r="K24" s="134">
        <v>149</v>
      </c>
      <c r="L24" s="134">
        <v>363</v>
      </c>
    </row>
    <row r="25" spans="1:12" ht="15.5" x14ac:dyDescent="0.3">
      <c r="A25" s="417">
        <v>21</v>
      </c>
      <c r="B25" s="906" t="s">
        <v>533</v>
      </c>
      <c r="C25" s="907"/>
      <c r="D25" s="304"/>
      <c r="E25" s="304"/>
      <c r="F25" s="304"/>
      <c r="G25" s="304"/>
      <c r="H25" s="304"/>
      <c r="I25" s="304"/>
      <c r="J25" s="304">
        <f t="shared" si="1"/>
        <v>214</v>
      </c>
      <c r="K25" s="304">
        <v>149</v>
      </c>
      <c r="L25" s="304">
        <v>363</v>
      </c>
    </row>
    <row r="26" spans="1:12" ht="31" x14ac:dyDescent="0.35">
      <c r="A26" s="417">
        <v>22</v>
      </c>
      <c r="B26" s="419" t="s">
        <v>409</v>
      </c>
      <c r="C26" s="420" t="s">
        <v>409</v>
      </c>
      <c r="D26" s="134">
        <f t="shared" si="0"/>
        <v>2</v>
      </c>
      <c r="E26" s="134">
        <v>3</v>
      </c>
      <c r="F26" s="134">
        <v>5</v>
      </c>
      <c r="G26" s="134"/>
      <c r="H26" s="134"/>
      <c r="I26" s="134"/>
      <c r="J26" s="134">
        <f t="shared" si="1"/>
        <v>346</v>
      </c>
      <c r="K26" s="134">
        <v>339</v>
      </c>
      <c r="L26" s="134">
        <v>685</v>
      </c>
    </row>
    <row r="27" spans="1:12" ht="15.5" x14ac:dyDescent="0.3">
      <c r="A27" s="417">
        <v>23</v>
      </c>
      <c r="B27" s="906" t="s">
        <v>534</v>
      </c>
      <c r="C27" s="907"/>
      <c r="D27" s="304">
        <f t="shared" si="0"/>
        <v>2</v>
      </c>
      <c r="E27" s="304">
        <v>3</v>
      </c>
      <c r="F27" s="304">
        <v>5</v>
      </c>
      <c r="G27" s="304"/>
      <c r="H27" s="304"/>
      <c r="I27" s="304"/>
      <c r="J27" s="304">
        <f t="shared" si="1"/>
        <v>346</v>
      </c>
      <c r="K27" s="304">
        <v>339</v>
      </c>
      <c r="L27" s="304">
        <v>685</v>
      </c>
    </row>
    <row r="28" spans="1:12" ht="15.5" x14ac:dyDescent="0.35">
      <c r="A28" s="417">
        <v>24</v>
      </c>
      <c r="B28" s="419" t="s">
        <v>411</v>
      </c>
      <c r="C28" s="420" t="s">
        <v>411</v>
      </c>
      <c r="D28" s="134">
        <f t="shared" si="0"/>
        <v>39</v>
      </c>
      <c r="E28" s="134">
        <v>70</v>
      </c>
      <c r="F28" s="134">
        <v>109</v>
      </c>
      <c r="G28" s="134">
        <f t="shared" si="2"/>
        <v>2</v>
      </c>
      <c r="H28" s="134">
        <v>5</v>
      </c>
      <c r="I28" s="134">
        <v>7</v>
      </c>
      <c r="J28" s="134">
        <f t="shared" si="1"/>
        <v>1351</v>
      </c>
      <c r="K28" s="134">
        <v>3842</v>
      </c>
      <c r="L28" s="134">
        <v>5193</v>
      </c>
    </row>
    <row r="29" spans="1:12" ht="15.5" x14ac:dyDescent="0.3">
      <c r="A29" s="417">
        <v>25</v>
      </c>
      <c r="B29" s="906" t="s">
        <v>535</v>
      </c>
      <c r="C29" s="907"/>
      <c r="D29" s="304">
        <f t="shared" si="0"/>
        <v>39</v>
      </c>
      <c r="E29" s="304">
        <v>70</v>
      </c>
      <c r="F29" s="304">
        <v>109</v>
      </c>
      <c r="G29" s="304">
        <f t="shared" si="2"/>
        <v>2</v>
      </c>
      <c r="H29" s="304">
        <v>5</v>
      </c>
      <c r="I29" s="304">
        <v>7</v>
      </c>
      <c r="J29" s="304">
        <f t="shared" si="1"/>
        <v>1351</v>
      </c>
      <c r="K29" s="304">
        <v>3842</v>
      </c>
      <c r="L29" s="304">
        <v>5193</v>
      </c>
    </row>
    <row r="30" spans="1:12" ht="15.5" x14ac:dyDescent="0.35">
      <c r="A30" s="417">
        <v>26</v>
      </c>
      <c r="B30" s="906" t="s">
        <v>536</v>
      </c>
      <c r="C30" s="420" t="s">
        <v>536</v>
      </c>
      <c r="D30" s="134"/>
      <c r="E30" s="134"/>
      <c r="F30" s="134"/>
      <c r="G30" s="134"/>
      <c r="H30" s="134"/>
      <c r="I30" s="134"/>
      <c r="J30" s="134">
        <f t="shared" si="1"/>
        <v>174</v>
      </c>
      <c r="K30" s="134">
        <v>50</v>
      </c>
      <c r="L30" s="134">
        <v>224</v>
      </c>
    </row>
    <row r="31" spans="1:12" ht="31" x14ac:dyDescent="0.35">
      <c r="A31" s="417">
        <v>27</v>
      </c>
      <c r="B31" s="907"/>
      <c r="C31" s="420" t="s">
        <v>537</v>
      </c>
      <c r="D31" s="134"/>
      <c r="E31" s="134"/>
      <c r="F31" s="134"/>
      <c r="G31" s="134"/>
      <c r="H31" s="134"/>
      <c r="I31" s="134"/>
      <c r="J31" s="134">
        <f t="shared" si="1"/>
        <v>187</v>
      </c>
      <c r="K31" s="134">
        <v>89</v>
      </c>
      <c r="L31" s="134">
        <v>276</v>
      </c>
    </row>
    <row r="32" spans="1:12" ht="15.5" x14ac:dyDescent="0.3">
      <c r="A32" s="417">
        <v>28</v>
      </c>
      <c r="B32" s="906" t="s">
        <v>538</v>
      </c>
      <c r="C32" s="907"/>
      <c r="D32" s="304"/>
      <c r="E32" s="304"/>
      <c r="F32" s="304"/>
      <c r="G32" s="304"/>
      <c r="H32" s="304"/>
      <c r="I32" s="304"/>
      <c r="J32" s="304">
        <f t="shared" si="1"/>
        <v>361</v>
      </c>
      <c r="K32" s="304">
        <v>139</v>
      </c>
      <c r="L32" s="304">
        <v>500</v>
      </c>
    </row>
    <row r="33" spans="1:12" ht="15.5" x14ac:dyDescent="0.35">
      <c r="A33" s="417">
        <v>29</v>
      </c>
      <c r="B33" s="419" t="s">
        <v>412</v>
      </c>
      <c r="C33" s="420" t="s">
        <v>412</v>
      </c>
      <c r="D33" s="134">
        <f t="shared" si="0"/>
        <v>17</v>
      </c>
      <c r="E33" s="134">
        <v>6</v>
      </c>
      <c r="F33" s="134">
        <v>23</v>
      </c>
      <c r="G33" s="134"/>
      <c r="H33" s="134"/>
      <c r="I33" s="134"/>
      <c r="J33" s="134">
        <f t="shared" si="1"/>
        <v>434</v>
      </c>
      <c r="K33" s="134">
        <v>232</v>
      </c>
      <c r="L33" s="134">
        <v>666</v>
      </c>
    </row>
    <row r="34" spans="1:12" ht="15.5" x14ac:dyDescent="0.3">
      <c r="A34" s="417">
        <v>30</v>
      </c>
      <c r="B34" s="906" t="s">
        <v>540</v>
      </c>
      <c r="C34" s="907"/>
      <c r="D34" s="304">
        <f t="shared" si="0"/>
        <v>17</v>
      </c>
      <c r="E34" s="304">
        <v>6</v>
      </c>
      <c r="F34" s="304">
        <v>23</v>
      </c>
      <c r="G34" s="304"/>
      <c r="H34" s="304"/>
      <c r="I34" s="304"/>
      <c r="J34" s="304">
        <f t="shared" si="1"/>
        <v>434</v>
      </c>
      <c r="K34" s="304">
        <v>232</v>
      </c>
      <c r="L34" s="304">
        <v>666</v>
      </c>
    </row>
    <row r="35" spans="1:12" ht="15.5" x14ac:dyDescent="0.35">
      <c r="A35" s="417">
        <v>31</v>
      </c>
      <c r="B35" s="906" t="s">
        <v>63</v>
      </c>
      <c r="C35" s="420" t="s">
        <v>63</v>
      </c>
      <c r="D35" s="134">
        <f t="shared" si="0"/>
        <v>21</v>
      </c>
      <c r="E35" s="134">
        <v>23</v>
      </c>
      <c r="F35" s="134">
        <v>44</v>
      </c>
      <c r="G35" s="134"/>
      <c r="H35" s="134"/>
      <c r="I35" s="134"/>
      <c r="J35" s="134">
        <f t="shared" si="1"/>
        <v>718</v>
      </c>
      <c r="K35" s="134">
        <v>1089</v>
      </c>
      <c r="L35" s="134">
        <v>1807</v>
      </c>
    </row>
    <row r="36" spans="1:12" ht="15.5" x14ac:dyDescent="0.35">
      <c r="A36" s="417">
        <v>32</v>
      </c>
      <c r="B36" s="907"/>
      <c r="C36" s="420" t="s">
        <v>541</v>
      </c>
      <c r="D36" s="134"/>
      <c r="E36" s="134"/>
      <c r="F36" s="134"/>
      <c r="G36" s="134"/>
      <c r="H36" s="134"/>
      <c r="I36" s="134"/>
      <c r="J36" s="134">
        <f t="shared" si="1"/>
        <v>78</v>
      </c>
      <c r="K36" s="134">
        <v>308</v>
      </c>
      <c r="L36" s="134">
        <v>386</v>
      </c>
    </row>
    <row r="37" spans="1:12" ht="15.5" x14ac:dyDescent="0.3">
      <c r="A37" s="417">
        <v>33</v>
      </c>
      <c r="B37" s="906" t="s">
        <v>542</v>
      </c>
      <c r="C37" s="907"/>
      <c r="D37" s="304">
        <f t="shared" si="0"/>
        <v>21</v>
      </c>
      <c r="E37" s="304">
        <v>23</v>
      </c>
      <c r="F37" s="304">
        <v>44</v>
      </c>
      <c r="G37" s="304"/>
      <c r="H37" s="304"/>
      <c r="I37" s="304"/>
      <c r="J37" s="304">
        <f t="shared" si="1"/>
        <v>796</v>
      </c>
      <c r="K37" s="304">
        <v>1397</v>
      </c>
      <c r="L37" s="304">
        <v>2193</v>
      </c>
    </row>
    <row r="38" spans="1:12" ht="15.5" x14ac:dyDescent="0.35">
      <c r="A38" s="417">
        <v>34</v>
      </c>
      <c r="B38" s="419" t="s">
        <v>543</v>
      </c>
      <c r="C38" s="420" t="s">
        <v>543</v>
      </c>
      <c r="D38" s="134"/>
      <c r="E38" s="134">
        <v>1</v>
      </c>
      <c r="F38" s="134">
        <v>1</v>
      </c>
      <c r="G38" s="134"/>
      <c r="H38" s="134"/>
      <c r="I38" s="134"/>
      <c r="J38" s="134">
        <f t="shared" si="1"/>
        <v>28</v>
      </c>
      <c r="K38" s="134">
        <v>32</v>
      </c>
      <c r="L38" s="134">
        <v>60</v>
      </c>
    </row>
    <row r="39" spans="1:12" ht="15.5" x14ac:dyDescent="0.3">
      <c r="A39" s="417">
        <v>35</v>
      </c>
      <c r="B39" s="906" t="s">
        <v>544</v>
      </c>
      <c r="C39" s="907"/>
      <c r="D39" s="304"/>
      <c r="E39" s="304">
        <v>1</v>
      </c>
      <c r="F39" s="304">
        <v>1</v>
      </c>
      <c r="G39" s="304"/>
      <c r="H39" s="304"/>
      <c r="I39" s="304"/>
      <c r="J39" s="304">
        <f t="shared" si="1"/>
        <v>28</v>
      </c>
      <c r="K39" s="304">
        <v>32</v>
      </c>
      <c r="L39" s="304">
        <v>60</v>
      </c>
    </row>
    <row r="40" spans="1:12" ht="15.5" x14ac:dyDescent="0.35">
      <c r="A40" s="417">
        <v>36</v>
      </c>
      <c r="B40" s="419" t="s">
        <v>64</v>
      </c>
      <c r="C40" s="420" t="s">
        <v>64</v>
      </c>
      <c r="D40" s="134">
        <f t="shared" si="0"/>
        <v>339</v>
      </c>
      <c r="E40" s="134">
        <v>556</v>
      </c>
      <c r="F40" s="134">
        <v>895</v>
      </c>
      <c r="G40" s="134">
        <f t="shared" si="2"/>
        <v>12</v>
      </c>
      <c r="H40" s="134">
        <v>16</v>
      </c>
      <c r="I40" s="134">
        <v>28</v>
      </c>
      <c r="J40" s="134">
        <f t="shared" si="1"/>
        <v>29743</v>
      </c>
      <c r="K40" s="134">
        <v>57820</v>
      </c>
      <c r="L40" s="134">
        <v>87563</v>
      </c>
    </row>
    <row r="41" spans="1:12" ht="15.5" x14ac:dyDescent="0.3">
      <c r="A41" s="417">
        <v>37</v>
      </c>
      <c r="B41" s="906" t="s">
        <v>545</v>
      </c>
      <c r="C41" s="907"/>
      <c r="D41" s="304">
        <f t="shared" si="0"/>
        <v>339</v>
      </c>
      <c r="E41" s="304">
        <v>556</v>
      </c>
      <c r="F41" s="304">
        <v>895</v>
      </c>
      <c r="G41" s="304">
        <f t="shared" si="2"/>
        <v>12</v>
      </c>
      <c r="H41" s="304">
        <v>16</v>
      </c>
      <c r="I41" s="304">
        <v>28</v>
      </c>
      <c r="J41" s="304">
        <f t="shared" si="1"/>
        <v>29743</v>
      </c>
      <c r="K41" s="304">
        <v>57820</v>
      </c>
      <c r="L41" s="304">
        <v>87563</v>
      </c>
    </row>
    <row r="42" spans="1:12" ht="15.5" x14ac:dyDescent="0.35">
      <c r="A42" s="417">
        <v>38</v>
      </c>
      <c r="B42" s="906" t="s">
        <v>413</v>
      </c>
      <c r="C42" s="420" t="s">
        <v>414</v>
      </c>
      <c r="D42" s="134">
        <f t="shared" si="0"/>
        <v>52</v>
      </c>
      <c r="E42" s="134">
        <v>6</v>
      </c>
      <c r="F42" s="134">
        <v>58</v>
      </c>
      <c r="G42" s="134"/>
      <c r="H42" s="134"/>
      <c r="I42" s="134"/>
      <c r="J42" s="134">
        <f t="shared" si="1"/>
        <v>190</v>
      </c>
      <c r="K42" s="134">
        <v>50</v>
      </c>
      <c r="L42" s="134">
        <v>240</v>
      </c>
    </row>
    <row r="43" spans="1:12" ht="15.5" x14ac:dyDescent="0.35">
      <c r="A43" s="417">
        <v>39</v>
      </c>
      <c r="B43" s="907"/>
      <c r="C43" s="420" t="s">
        <v>415</v>
      </c>
      <c r="D43" s="134">
        <f t="shared" si="0"/>
        <v>66</v>
      </c>
      <c r="E43" s="134">
        <v>40</v>
      </c>
      <c r="F43" s="134">
        <v>106</v>
      </c>
      <c r="G43" s="134"/>
      <c r="H43" s="134"/>
      <c r="I43" s="134"/>
      <c r="J43" s="134">
        <f t="shared" si="1"/>
        <v>351</v>
      </c>
      <c r="K43" s="134">
        <v>192</v>
      </c>
      <c r="L43" s="134">
        <v>543</v>
      </c>
    </row>
    <row r="44" spans="1:12" ht="15.5" x14ac:dyDescent="0.35">
      <c r="A44" s="417">
        <v>40</v>
      </c>
      <c r="B44" s="907"/>
      <c r="C44" s="420" t="s">
        <v>417</v>
      </c>
      <c r="D44" s="134">
        <f t="shared" si="0"/>
        <v>22</v>
      </c>
      <c r="E44" s="134">
        <v>32</v>
      </c>
      <c r="F44" s="134">
        <v>54</v>
      </c>
      <c r="G44" s="134"/>
      <c r="H44" s="134"/>
      <c r="I44" s="134"/>
      <c r="J44" s="134">
        <f t="shared" si="1"/>
        <v>571</v>
      </c>
      <c r="K44" s="134">
        <v>941</v>
      </c>
      <c r="L44" s="134">
        <v>1512</v>
      </c>
    </row>
    <row r="45" spans="1:12" ht="15.5" x14ac:dyDescent="0.35">
      <c r="A45" s="417">
        <v>41</v>
      </c>
      <c r="B45" s="907"/>
      <c r="C45" s="420" t="s">
        <v>418</v>
      </c>
      <c r="D45" s="134"/>
      <c r="E45" s="134"/>
      <c r="F45" s="134"/>
      <c r="G45" s="134"/>
      <c r="H45" s="134"/>
      <c r="I45" s="134"/>
      <c r="J45" s="134">
        <f t="shared" si="1"/>
        <v>12</v>
      </c>
      <c r="K45" s="134">
        <v>5</v>
      </c>
      <c r="L45" s="134">
        <v>17</v>
      </c>
    </row>
    <row r="46" spans="1:12" ht="15.5" x14ac:dyDescent="0.35">
      <c r="A46" s="417">
        <v>42</v>
      </c>
      <c r="B46" s="907"/>
      <c r="C46" s="420" t="s">
        <v>546</v>
      </c>
      <c r="D46" s="134"/>
      <c r="E46" s="134"/>
      <c r="F46" s="134"/>
      <c r="G46" s="134"/>
      <c r="H46" s="134"/>
      <c r="I46" s="134"/>
      <c r="J46" s="134">
        <f t="shared" si="1"/>
        <v>6</v>
      </c>
      <c r="K46" s="134">
        <v>1</v>
      </c>
      <c r="L46" s="134">
        <v>7</v>
      </c>
    </row>
    <row r="47" spans="1:12" ht="15.5" x14ac:dyDescent="0.35">
      <c r="A47" s="417">
        <v>43</v>
      </c>
      <c r="B47" s="907"/>
      <c r="C47" s="420" t="s">
        <v>424</v>
      </c>
      <c r="D47" s="134">
        <f t="shared" si="0"/>
        <v>131</v>
      </c>
      <c r="E47" s="134">
        <v>69</v>
      </c>
      <c r="F47" s="134">
        <v>200</v>
      </c>
      <c r="G47" s="134"/>
      <c r="H47" s="134"/>
      <c r="I47" s="134"/>
      <c r="J47" s="134">
        <f t="shared" si="1"/>
        <v>734</v>
      </c>
      <c r="K47" s="134">
        <v>326</v>
      </c>
      <c r="L47" s="134">
        <v>1060</v>
      </c>
    </row>
    <row r="48" spans="1:12" ht="15.5" x14ac:dyDescent="0.35">
      <c r="A48" s="417">
        <v>44</v>
      </c>
      <c r="B48" s="907"/>
      <c r="C48" s="420" t="s">
        <v>426</v>
      </c>
      <c r="D48" s="134">
        <f t="shared" si="0"/>
        <v>483</v>
      </c>
      <c r="E48" s="134">
        <v>183</v>
      </c>
      <c r="F48" s="134">
        <v>666</v>
      </c>
      <c r="G48" s="134"/>
      <c r="H48" s="134"/>
      <c r="I48" s="134"/>
      <c r="J48" s="134">
        <f t="shared" si="1"/>
        <v>8607</v>
      </c>
      <c r="K48" s="134">
        <v>3565</v>
      </c>
      <c r="L48" s="134">
        <v>12172</v>
      </c>
    </row>
    <row r="49" spans="1:12" ht="15.5" x14ac:dyDescent="0.35">
      <c r="A49" s="417">
        <v>45</v>
      </c>
      <c r="B49" s="907"/>
      <c r="C49" s="420" t="s">
        <v>427</v>
      </c>
      <c r="D49" s="134">
        <f t="shared" si="0"/>
        <v>685</v>
      </c>
      <c r="E49" s="134">
        <v>534</v>
      </c>
      <c r="F49" s="134">
        <v>1219</v>
      </c>
      <c r="G49" s="134"/>
      <c r="H49" s="134"/>
      <c r="I49" s="134"/>
      <c r="J49" s="134">
        <f t="shared" si="1"/>
        <v>6728</v>
      </c>
      <c r="K49" s="134">
        <v>5005</v>
      </c>
      <c r="L49" s="134">
        <v>11733</v>
      </c>
    </row>
    <row r="50" spans="1:12" ht="15.5" x14ac:dyDescent="0.35">
      <c r="A50" s="417">
        <v>46</v>
      </c>
      <c r="B50" s="907"/>
      <c r="C50" s="420" t="s">
        <v>429</v>
      </c>
      <c r="D50" s="134">
        <f t="shared" si="0"/>
        <v>4</v>
      </c>
      <c r="E50" s="134">
        <v>7</v>
      </c>
      <c r="F50" s="134">
        <v>11</v>
      </c>
      <c r="G50" s="134"/>
      <c r="H50" s="134"/>
      <c r="I50" s="134"/>
      <c r="J50" s="134">
        <f t="shared" si="1"/>
        <v>59</v>
      </c>
      <c r="K50" s="134">
        <v>36</v>
      </c>
      <c r="L50" s="134">
        <v>95</v>
      </c>
    </row>
    <row r="51" spans="1:12" ht="15.5" x14ac:dyDescent="0.35">
      <c r="A51" s="417">
        <v>47</v>
      </c>
      <c r="B51" s="907"/>
      <c r="C51" s="420" t="s">
        <v>433</v>
      </c>
      <c r="D51" s="134">
        <f t="shared" si="0"/>
        <v>423</v>
      </c>
      <c r="E51" s="134">
        <v>162</v>
      </c>
      <c r="F51" s="134">
        <v>585</v>
      </c>
      <c r="G51" s="134"/>
      <c r="H51" s="134"/>
      <c r="I51" s="134"/>
      <c r="J51" s="134">
        <f t="shared" si="1"/>
        <v>3367</v>
      </c>
      <c r="K51" s="134">
        <v>1711</v>
      </c>
      <c r="L51" s="134">
        <v>5078</v>
      </c>
    </row>
    <row r="52" spans="1:12" ht="46.5" x14ac:dyDescent="0.35">
      <c r="A52" s="417">
        <v>48</v>
      </c>
      <c r="B52" s="907"/>
      <c r="C52" s="420" t="s">
        <v>547</v>
      </c>
      <c r="D52" s="134"/>
      <c r="E52" s="134">
        <v>3</v>
      </c>
      <c r="F52" s="134">
        <v>3</v>
      </c>
      <c r="G52" s="134"/>
      <c r="H52" s="134"/>
      <c r="I52" s="134"/>
      <c r="J52" s="134"/>
      <c r="K52" s="134"/>
      <c r="L52" s="134"/>
    </row>
    <row r="53" spans="1:12" ht="15.5" x14ac:dyDescent="0.35">
      <c r="A53" s="417">
        <v>49</v>
      </c>
      <c r="B53" s="907"/>
      <c r="C53" s="420" t="s">
        <v>435</v>
      </c>
      <c r="D53" s="134">
        <f t="shared" si="0"/>
        <v>440</v>
      </c>
      <c r="E53" s="134">
        <v>285</v>
      </c>
      <c r="F53" s="134">
        <v>725</v>
      </c>
      <c r="G53" s="134"/>
      <c r="H53" s="134"/>
      <c r="I53" s="134"/>
      <c r="J53" s="134">
        <f t="shared" si="1"/>
        <v>3581</v>
      </c>
      <c r="K53" s="134">
        <v>2840</v>
      </c>
      <c r="L53" s="134">
        <v>6421</v>
      </c>
    </row>
    <row r="54" spans="1:12" ht="15.5" x14ac:dyDescent="0.35">
      <c r="A54" s="417">
        <v>50</v>
      </c>
      <c r="B54" s="907"/>
      <c r="C54" s="420" t="s">
        <v>413</v>
      </c>
      <c r="D54" s="134"/>
      <c r="E54" s="134"/>
      <c r="F54" s="134"/>
      <c r="G54" s="134"/>
      <c r="H54" s="134"/>
      <c r="I54" s="134"/>
      <c r="J54" s="134">
        <f t="shared" si="1"/>
        <v>26</v>
      </c>
      <c r="K54" s="134">
        <v>7</v>
      </c>
      <c r="L54" s="134">
        <v>33</v>
      </c>
    </row>
    <row r="55" spans="1:12" ht="15.5" x14ac:dyDescent="0.35">
      <c r="A55" s="417">
        <v>51</v>
      </c>
      <c r="B55" s="907"/>
      <c r="C55" s="420" t="s">
        <v>438</v>
      </c>
      <c r="D55" s="134">
        <f t="shared" si="0"/>
        <v>14</v>
      </c>
      <c r="E55" s="134">
        <v>20</v>
      </c>
      <c r="F55" s="134">
        <v>34</v>
      </c>
      <c r="G55" s="134"/>
      <c r="H55" s="134"/>
      <c r="I55" s="134"/>
      <c r="J55" s="134">
        <f t="shared" si="1"/>
        <v>241</v>
      </c>
      <c r="K55" s="134">
        <v>332</v>
      </c>
      <c r="L55" s="134">
        <v>573</v>
      </c>
    </row>
    <row r="56" spans="1:12" ht="15.5" x14ac:dyDescent="0.35">
      <c r="A56" s="417">
        <v>52</v>
      </c>
      <c r="B56" s="907"/>
      <c r="C56" s="420" t="s">
        <v>439</v>
      </c>
      <c r="D56" s="134">
        <f t="shared" si="0"/>
        <v>34</v>
      </c>
      <c r="E56" s="134">
        <v>30</v>
      </c>
      <c r="F56" s="134">
        <v>64</v>
      </c>
      <c r="G56" s="134"/>
      <c r="H56" s="134"/>
      <c r="I56" s="134"/>
      <c r="J56" s="134">
        <f t="shared" si="1"/>
        <v>559</v>
      </c>
      <c r="K56" s="134">
        <v>339</v>
      </c>
      <c r="L56" s="134">
        <v>898</v>
      </c>
    </row>
    <row r="57" spans="1:12" ht="15.5" x14ac:dyDescent="0.35">
      <c r="A57" s="417">
        <v>53</v>
      </c>
      <c r="B57" s="907"/>
      <c r="C57" s="420" t="s">
        <v>440</v>
      </c>
      <c r="D57" s="134"/>
      <c r="E57" s="134"/>
      <c r="F57" s="134"/>
      <c r="G57" s="134"/>
      <c r="H57" s="134"/>
      <c r="I57" s="134"/>
      <c r="J57" s="134">
        <f t="shared" si="1"/>
        <v>49</v>
      </c>
      <c r="K57" s="134">
        <v>8</v>
      </c>
      <c r="L57" s="134">
        <v>57</v>
      </c>
    </row>
    <row r="58" spans="1:12" ht="15.5" x14ac:dyDescent="0.35">
      <c r="A58" s="417">
        <v>54</v>
      </c>
      <c r="B58" s="907"/>
      <c r="C58" s="420" t="s">
        <v>442</v>
      </c>
      <c r="D58" s="134">
        <f t="shared" si="0"/>
        <v>802</v>
      </c>
      <c r="E58" s="134">
        <v>65</v>
      </c>
      <c r="F58" s="134">
        <v>867</v>
      </c>
      <c r="G58" s="134"/>
      <c r="H58" s="134"/>
      <c r="I58" s="134"/>
      <c r="J58" s="134">
        <f t="shared" si="1"/>
        <v>6168</v>
      </c>
      <c r="K58" s="134">
        <v>799</v>
      </c>
      <c r="L58" s="134">
        <v>6967</v>
      </c>
    </row>
    <row r="59" spans="1:12" ht="15.5" x14ac:dyDescent="0.35">
      <c r="A59" s="417">
        <v>55</v>
      </c>
      <c r="B59" s="907"/>
      <c r="C59" s="420" t="s">
        <v>445</v>
      </c>
      <c r="D59" s="134">
        <f t="shared" si="0"/>
        <v>110</v>
      </c>
      <c r="E59" s="134">
        <v>25</v>
      </c>
      <c r="F59" s="134">
        <v>135</v>
      </c>
      <c r="G59" s="134"/>
      <c r="H59" s="134"/>
      <c r="I59" s="134"/>
      <c r="J59" s="134">
        <f t="shared" si="1"/>
        <v>305</v>
      </c>
      <c r="K59" s="134">
        <v>53</v>
      </c>
      <c r="L59" s="134">
        <v>358</v>
      </c>
    </row>
    <row r="60" spans="1:12" ht="15.5" x14ac:dyDescent="0.35">
      <c r="A60" s="417">
        <v>56</v>
      </c>
      <c r="B60" s="907"/>
      <c r="C60" s="420" t="s">
        <v>446</v>
      </c>
      <c r="D60" s="134">
        <f t="shared" si="0"/>
        <v>64</v>
      </c>
      <c r="E60" s="134">
        <v>4</v>
      </c>
      <c r="F60" s="134">
        <v>68</v>
      </c>
      <c r="G60" s="134"/>
      <c r="H60" s="134"/>
      <c r="I60" s="134"/>
      <c r="J60" s="134">
        <f t="shared" si="1"/>
        <v>118</v>
      </c>
      <c r="K60" s="134">
        <v>18</v>
      </c>
      <c r="L60" s="134">
        <v>136</v>
      </c>
    </row>
    <row r="61" spans="1:12" ht="31" x14ac:dyDescent="0.35">
      <c r="A61" s="417">
        <v>57</v>
      </c>
      <c r="B61" s="907"/>
      <c r="C61" s="420" t="s">
        <v>448</v>
      </c>
      <c r="D61" s="134">
        <f t="shared" si="0"/>
        <v>1350</v>
      </c>
      <c r="E61" s="134">
        <v>874</v>
      </c>
      <c r="F61" s="134">
        <v>2224</v>
      </c>
      <c r="G61" s="134"/>
      <c r="H61" s="134"/>
      <c r="I61" s="134"/>
      <c r="J61" s="134">
        <f t="shared" si="1"/>
        <v>5921</v>
      </c>
      <c r="K61" s="134">
        <v>2794</v>
      </c>
      <c r="L61" s="134">
        <v>8715</v>
      </c>
    </row>
    <row r="62" spans="1:12" ht="15.5" x14ac:dyDescent="0.35">
      <c r="A62" s="417">
        <v>58</v>
      </c>
      <c r="B62" s="907"/>
      <c r="C62" s="420" t="s">
        <v>451</v>
      </c>
      <c r="D62" s="134">
        <f t="shared" si="0"/>
        <v>4</v>
      </c>
      <c r="E62" s="134">
        <v>1</v>
      </c>
      <c r="F62" s="134">
        <v>5</v>
      </c>
      <c r="G62" s="134"/>
      <c r="H62" s="134"/>
      <c r="I62" s="134"/>
      <c r="J62" s="134">
        <f t="shared" si="1"/>
        <v>417</v>
      </c>
      <c r="K62" s="134">
        <v>490</v>
      </c>
      <c r="L62" s="134">
        <v>907</v>
      </c>
    </row>
    <row r="63" spans="1:12" ht="15.5" x14ac:dyDescent="0.35">
      <c r="A63" s="417">
        <v>59</v>
      </c>
      <c r="B63" s="907"/>
      <c r="C63" s="420" t="s">
        <v>549</v>
      </c>
      <c r="D63" s="134">
        <f t="shared" si="0"/>
        <v>2</v>
      </c>
      <c r="E63" s="134">
        <v>2</v>
      </c>
      <c r="F63" s="134">
        <v>4</v>
      </c>
      <c r="G63" s="134"/>
      <c r="H63" s="134"/>
      <c r="I63" s="134"/>
      <c r="J63" s="134">
        <f t="shared" si="1"/>
        <v>12</v>
      </c>
      <c r="K63" s="134">
        <v>11</v>
      </c>
      <c r="L63" s="134">
        <v>23</v>
      </c>
    </row>
    <row r="64" spans="1:12" ht="15.5" x14ac:dyDescent="0.3">
      <c r="A64" s="417">
        <v>60</v>
      </c>
      <c r="B64" s="906" t="s">
        <v>454</v>
      </c>
      <c r="C64" s="907"/>
      <c r="D64" s="304">
        <f t="shared" si="0"/>
        <v>4686</v>
      </c>
      <c r="E64" s="304">
        <v>2342</v>
      </c>
      <c r="F64" s="304">
        <v>7028</v>
      </c>
      <c r="G64" s="304"/>
      <c r="H64" s="304"/>
      <c r="I64" s="304"/>
      <c r="J64" s="304">
        <f t="shared" si="1"/>
        <v>38022</v>
      </c>
      <c r="K64" s="304">
        <v>19523</v>
      </c>
      <c r="L64" s="304">
        <v>57545</v>
      </c>
    </row>
    <row r="65" spans="1:12" ht="15.5" x14ac:dyDescent="0.35">
      <c r="A65" s="417">
        <v>61</v>
      </c>
      <c r="B65" s="906" t="s">
        <v>455</v>
      </c>
      <c r="C65" s="420" t="s">
        <v>424</v>
      </c>
      <c r="D65" s="134">
        <f t="shared" si="0"/>
        <v>9</v>
      </c>
      <c r="E65" s="134">
        <v>4</v>
      </c>
      <c r="F65" s="134">
        <v>13</v>
      </c>
      <c r="G65" s="134"/>
      <c r="H65" s="134"/>
      <c r="I65" s="134"/>
      <c r="J65" s="134"/>
      <c r="K65" s="134"/>
      <c r="L65" s="134"/>
    </row>
    <row r="66" spans="1:12" ht="31" x14ac:dyDescent="0.35">
      <c r="A66" s="417">
        <v>62</v>
      </c>
      <c r="B66" s="907"/>
      <c r="C66" s="420" t="s">
        <v>550</v>
      </c>
      <c r="D66" s="134">
        <f t="shared" si="0"/>
        <v>23</v>
      </c>
      <c r="E66" s="134">
        <v>20</v>
      </c>
      <c r="F66" s="134">
        <v>43</v>
      </c>
      <c r="G66" s="134"/>
      <c r="H66" s="134"/>
      <c r="I66" s="134"/>
      <c r="J66" s="134"/>
      <c r="K66" s="134"/>
      <c r="L66" s="134"/>
    </row>
    <row r="67" spans="1:12" ht="46.5" x14ac:dyDescent="0.35">
      <c r="A67" s="417">
        <v>63</v>
      </c>
      <c r="B67" s="907"/>
      <c r="C67" s="420" t="s">
        <v>547</v>
      </c>
      <c r="D67" s="134"/>
      <c r="E67" s="134">
        <v>2</v>
      </c>
      <c r="F67" s="134">
        <v>2</v>
      </c>
      <c r="G67" s="134"/>
      <c r="H67" s="134"/>
      <c r="I67" s="134"/>
      <c r="J67" s="134"/>
      <c r="K67" s="134"/>
      <c r="L67" s="134"/>
    </row>
    <row r="68" spans="1:12" ht="31" x14ac:dyDescent="0.35">
      <c r="A68" s="417">
        <v>64</v>
      </c>
      <c r="B68" s="907"/>
      <c r="C68" s="420" t="s">
        <v>441</v>
      </c>
      <c r="D68" s="134">
        <f t="shared" si="0"/>
        <v>3</v>
      </c>
      <c r="E68" s="134"/>
      <c r="F68" s="134">
        <v>3</v>
      </c>
      <c r="G68" s="134"/>
      <c r="H68" s="134"/>
      <c r="I68" s="134"/>
      <c r="J68" s="134"/>
      <c r="K68" s="134"/>
      <c r="L68" s="134"/>
    </row>
    <row r="69" spans="1:12" ht="15.5" x14ac:dyDescent="0.3">
      <c r="A69" s="417">
        <v>65</v>
      </c>
      <c r="B69" s="906" t="s">
        <v>551</v>
      </c>
      <c r="C69" s="907"/>
      <c r="D69" s="304">
        <f t="shared" ref="D69:D132" si="3">F69-E69</f>
        <v>35</v>
      </c>
      <c r="E69" s="304">
        <v>26</v>
      </c>
      <c r="F69" s="304">
        <v>61</v>
      </c>
      <c r="G69" s="304"/>
      <c r="H69" s="304"/>
      <c r="I69" s="304"/>
      <c r="J69" s="304"/>
      <c r="K69" s="304"/>
      <c r="L69" s="304"/>
    </row>
    <row r="70" spans="1:12" ht="15.5" x14ac:dyDescent="0.35">
      <c r="A70" s="417">
        <v>66</v>
      </c>
      <c r="B70" s="419" t="s">
        <v>457</v>
      </c>
      <c r="C70" s="420" t="s">
        <v>457</v>
      </c>
      <c r="D70" s="134">
        <f t="shared" si="3"/>
        <v>2</v>
      </c>
      <c r="E70" s="134">
        <v>10</v>
      </c>
      <c r="F70" s="134">
        <v>12</v>
      </c>
      <c r="G70" s="134"/>
      <c r="H70" s="134"/>
      <c r="I70" s="134"/>
      <c r="J70" s="134">
        <f t="shared" ref="J70:J132" si="4">L70-K70</f>
        <v>172</v>
      </c>
      <c r="K70" s="134">
        <v>877</v>
      </c>
      <c r="L70" s="134">
        <v>1049</v>
      </c>
    </row>
    <row r="71" spans="1:12" ht="15.5" x14ac:dyDescent="0.3">
      <c r="A71" s="417">
        <v>67</v>
      </c>
      <c r="B71" s="906" t="s">
        <v>552</v>
      </c>
      <c r="C71" s="907"/>
      <c r="D71" s="304">
        <f t="shared" si="3"/>
        <v>2</v>
      </c>
      <c r="E71" s="304">
        <v>10</v>
      </c>
      <c r="F71" s="304">
        <v>12</v>
      </c>
      <c r="G71" s="304"/>
      <c r="H71" s="304"/>
      <c r="I71" s="304"/>
      <c r="J71" s="304">
        <f t="shared" si="4"/>
        <v>172</v>
      </c>
      <c r="K71" s="304">
        <v>877</v>
      </c>
      <c r="L71" s="304">
        <v>1049</v>
      </c>
    </row>
    <row r="72" spans="1:12" ht="15.5" x14ac:dyDescent="0.35">
      <c r="A72" s="417">
        <v>68</v>
      </c>
      <c r="B72" s="906" t="s">
        <v>65</v>
      </c>
      <c r="C72" s="420" t="s">
        <v>65</v>
      </c>
      <c r="D72" s="134">
        <f t="shared" si="3"/>
        <v>21</v>
      </c>
      <c r="E72" s="134">
        <v>34</v>
      </c>
      <c r="F72" s="134">
        <v>55</v>
      </c>
      <c r="G72" s="134">
        <f t="shared" ref="G72:G132" si="5">I72-H72</f>
        <v>3</v>
      </c>
      <c r="H72" s="134">
        <v>4</v>
      </c>
      <c r="I72" s="134">
        <v>7</v>
      </c>
      <c r="J72" s="134">
        <f t="shared" si="4"/>
        <v>594</v>
      </c>
      <c r="K72" s="134">
        <v>786</v>
      </c>
      <c r="L72" s="134">
        <v>1380</v>
      </c>
    </row>
    <row r="73" spans="1:12" ht="15.5" x14ac:dyDescent="0.35">
      <c r="A73" s="417">
        <v>69</v>
      </c>
      <c r="B73" s="907"/>
      <c r="C73" s="420" t="s">
        <v>553</v>
      </c>
      <c r="D73" s="134">
        <f t="shared" si="3"/>
        <v>22</v>
      </c>
      <c r="E73" s="134">
        <v>35</v>
      </c>
      <c r="F73" s="134">
        <v>57</v>
      </c>
      <c r="G73" s="134"/>
      <c r="H73" s="134"/>
      <c r="I73" s="134"/>
      <c r="J73" s="134">
        <f t="shared" si="4"/>
        <v>318</v>
      </c>
      <c r="K73" s="134">
        <v>431</v>
      </c>
      <c r="L73" s="134">
        <v>749</v>
      </c>
    </row>
    <row r="74" spans="1:12" ht="15.5" x14ac:dyDescent="0.35">
      <c r="A74" s="417">
        <v>70</v>
      </c>
      <c r="B74" s="907"/>
      <c r="C74" s="420" t="s">
        <v>505</v>
      </c>
      <c r="D74" s="134">
        <f t="shared" si="3"/>
        <v>10</v>
      </c>
      <c r="E74" s="134">
        <v>17</v>
      </c>
      <c r="F74" s="134">
        <v>27</v>
      </c>
      <c r="G74" s="134"/>
      <c r="H74" s="134"/>
      <c r="I74" s="134"/>
      <c r="J74" s="134">
        <f t="shared" si="4"/>
        <v>735</v>
      </c>
      <c r="K74" s="134">
        <v>780</v>
      </c>
      <c r="L74" s="134">
        <v>1515</v>
      </c>
    </row>
    <row r="75" spans="1:12" ht="15.5" x14ac:dyDescent="0.35">
      <c r="A75" s="417">
        <v>71</v>
      </c>
      <c r="B75" s="907"/>
      <c r="C75" s="420" t="s">
        <v>554</v>
      </c>
      <c r="D75" s="134">
        <f t="shared" si="3"/>
        <v>11</v>
      </c>
      <c r="E75" s="134">
        <v>11</v>
      </c>
      <c r="F75" s="134">
        <v>22</v>
      </c>
      <c r="G75" s="134"/>
      <c r="H75" s="134"/>
      <c r="I75" s="134"/>
      <c r="J75" s="134">
        <f t="shared" si="4"/>
        <v>273</v>
      </c>
      <c r="K75" s="134">
        <v>235</v>
      </c>
      <c r="L75" s="134">
        <v>508</v>
      </c>
    </row>
    <row r="76" spans="1:12" ht="15.5" x14ac:dyDescent="0.3">
      <c r="A76" s="417">
        <v>72</v>
      </c>
      <c r="B76" s="906" t="s">
        <v>555</v>
      </c>
      <c r="C76" s="907"/>
      <c r="D76" s="304">
        <f t="shared" si="3"/>
        <v>64</v>
      </c>
      <c r="E76" s="304">
        <v>97</v>
      </c>
      <c r="F76" s="304">
        <v>161</v>
      </c>
      <c r="G76" s="304">
        <f t="shared" si="5"/>
        <v>3</v>
      </c>
      <c r="H76" s="304">
        <v>4</v>
      </c>
      <c r="I76" s="304">
        <v>7</v>
      </c>
      <c r="J76" s="304">
        <f t="shared" si="4"/>
        <v>1920</v>
      </c>
      <c r="K76" s="304">
        <v>2232</v>
      </c>
      <c r="L76" s="304">
        <v>4152</v>
      </c>
    </row>
    <row r="77" spans="1:12" ht="15.5" x14ac:dyDescent="0.35">
      <c r="A77" s="417">
        <v>73</v>
      </c>
      <c r="B77" s="419" t="s">
        <v>458</v>
      </c>
      <c r="C77" s="420" t="s">
        <v>458</v>
      </c>
      <c r="D77" s="134">
        <f t="shared" si="3"/>
        <v>60</v>
      </c>
      <c r="E77" s="134">
        <v>47</v>
      </c>
      <c r="F77" s="134">
        <v>107</v>
      </c>
      <c r="G77" s="134"/>
      <c r="H77" s="134"/>
      <c r="I77" s="134"/>
      <c r="J77" s="134">
        <f t="shared" si="4"/>
        <v>477</v>
      </c>
      <c r="K77" s="134">
        <v>418</v>
      </c>
      <c r="L77" s="134">
        <v>895</v>
      </c>
    </row>
    <row r="78" spans="1:12" ht="15.5" x14ac:dyDescent="0.3">
      <c r="A78" s="417">
        <v>74</v>
      </c>
      <c r="B78" s="906" t="s">
        <v>556</v>
      </c>
      <c r="C78" s="907"/>
      <c r="D78" s="304">
        <f t="shared" si="3"/>
        <v>60</v>
      </c>
      <c r="E78" s="304">
        <v>47</v>
      </c>
      <c r="F78" s="304">
        <v>107</v>
      </c>
      <c r="G78" s="304"/>
      <c r="H78" s="304"/>
      <c r="I78" s="304"/>
      <c r="J78" s="304">
        <f t="shared" si="4"/>
        <v>477</v>
      </c>
      <c r="K78" s="304">
        <v>418</v>
      </c>
      <c r="L78" s="304">
        <v>895</v>
      </c>
    </row>
    <row r="79" spans="1:12" ht="31" x14ac:dyDescent="0.35">
      <c r="A79" s="417">
        <v>75</v>
      </c>
      <c r="B79" s="906" t="s">
        <v>460</v>
      </c>
      <c r="C79" s="420" t="s">
        <v>557</v>
      </c>
      <c r="D79" s="134"/>
      <c r="E79" s="134"/>
      <c r="F79" s="134"/>
      <c r="G79" s="134"/>
      <c r="H79" s="134"/>
      <c r="I79" s="134"/>
      <c r="J79" s="134">
        <f t="shared" si="4"/>
        <v>3</v>
      </c>
      <c r="K79" s="134">
        <v>5</v>
      </c>
      <c r="L79" s="134">
        <v>8</v>
      </c>
    </row>
    <row r="80" spans="1:12" ht="31" x14ac:dyDescent="0.35">
      <c r="A80" s="417">
        <v>76</v>
      </c>
      <c r="B80" s="907"/>
      <c r="C80" s="420" t="s">
        <v>558</v>
      </c>
      <c r="D80" s="134"/>
      <c r="E80" s="134"/>
      <c r="F80" s="134"/>
      <c r="G80" s="134"/>
      <c r="H80" s="134"/>
      <c r="I80" s="134"/>
      <c r="J80" s="134">
        <f t="shared" si="4"/>
        <v>36</v>
      </c>
      <c r="K80" s="134">
        <v>16</v>
      </c>
      <c r="L80" s="134">
        <v>52</v>
      </c>
    </row>
    <row r="81" spans="1:12" ht="15.5" x14ac:dyDescent="0.3">
      <c r="A81" s="417">
        <v>77</v>
      </c>
      <c r="B81" s="906" t="s">
        <v>559</v>
      </c>
      <c r="C81" s="907"/>
      <c r="D81" s="304"/>
      <c r="E81" s="304"/>
      <c r="F81" s="304"/>
      <c r="G81" s="304"/>
      <c r="H81" s="304"/>
      <c r="I81" s="304"/>
      <c r="J81" s="304">
        <f t="shared" si="4"/>
        <v>39</v>
      </c>
      <c r="K81" s="304">
        <v>21</v>
      </c>
      <c r="L81" s="304">
        <v>60</v>
      </c>
    </row>
    <row r="82" spans="1:12" ht="15.5" x14ac:dyDescent="0.35">
      <c r="A82" s="417">
        <v>78</v>
      </c>
      <c r="B82" s="906" t="s">
        <v>462</v>
      </c>
      <c r="C82" s="420" t="s">
        <v>560</v>
      </c>
      <c r="D82" s="134">
        <f t="shared" si="3"/>
        <v>209</v>
      </c>
      <c r="E82" s="134">
        <v>422</v>
      </c>
      <c r="F82" s="134">
        <v>631</v>
      </c>
      <c r="G82" s="134">
        <f t="shared" si="5"/>
        <v>6</v>
      </c>
      <c r="H82" s="134">
        <v>39</v>
      </c>
      <c r="I82" s="134">
        <v>45</v>
      </c>
      <c r="J82" s="134">
        <f t="shared" si="4"/>
        <v>26010</v>
      </c>
      <c r="K82" s="134">
        <v>56609</v>
      </c>
      <c r="L82" s="134">
        <v>82619</v>
      </c>
    </row>
    <row r="83" spans="1:12" ht="15.5" x14ac:dyDescent="0.35">
      <c r="A83" s="417">
        <v>79</v>
      </c>
      <c r="B83" s="907"/>
      <c r="C83" s="420" t="s">
        <v>561</v>
      </c>
      <c r="D83" s="134">
        <f t="shared" si="3"/>
        <v>1</v>
      </c>
      <c r="E83" s="134">
        <v>1</v>
      </c>
      <c r="F83" s="134">
        <v>2</v>
      </c>
      <c r="G83" s="134"/>
      <c r="H83" s="134"/>
      <c r="I83" s="134"/>
      <c r="J83" s="134">
        <f t="shared" si="4"/>
        <v>33</v>
      </c>
      <c r="K83" s="134">
        <v>85</v>
      </c>
      <c r="L83" s="134">
        <v>118</v>
      </c>
    </row>
    <row r="84" spans="1:12" ht="15.5" x14ac:dyDescent="0.35">
      <c r="A84" s="417">
        <v>80</v>
      </c>
      <c r="B84" s="907"/>
      <c r="C84" s="420" t="s">
        <v>562</v>
      </c>
      <c r="D84" s="134"/>
      <c r="E84" s="134"/>
      <c r="F84" s="134"/>
      <c r="G84" s="134"/>
      <c r="H84" s="134"/>
      <c r="I84" s="134"/>
      <c r="J84" s="134">
        <f t="shared" si="4"/>
        <v>32</v>
      </c>
      <c r="K84" s="134">
        <v>45</v>
      </c>
      <c r="L84" s="134">
        <v>77</v>
      </c>
    </row>
    <row r="85" spans="1:12" ht="15.5" x14ac:dyDescent="0.35">
      <c r="A85" s="417">
        <v>81</v>
      </c>
      <c r="B85" s="907"/>
      <c r="C85" s="420" t="s">
        <v>563</v>
      </c>
      <c r="D85" s="134">
        <f t="shared" si="3"/>
        <v>74</v>
      </c>
      <c r="E85" s="134">
        <v>31</v>
      </c>
      <c r="F85" s="134">
        <v>105</v>
      </c>
      <c r="G85" s="134"/>
      <c r="H85" s="134"/>
      <c r="I85" s="134"/>
      <c r="J85" s="134">
        <f t="shared" si="4"/>
        <v>761</v>
      </c>
      <c r="K85" s="134">
        <v>985</v>
      </c>
      <c r="L85" s="134">
        <v>1746</v>
      </c>
    </row>
    <row r="86" spans="1:12" ht="15.5" x14ac:dyDescent="0.35">
      <c r="A86" s="417">
        <v>82</v>
      </c>
      <c r="B86" s="907"/>
      <c r="C86" s="420" t="s">
        <v>564</v>
      </c>
      <c r="D86" s="134">
        <f t="shared" si="3"/>
        <v>1</v>
      </c>
      <c r="E86" s="134"/>
      <c r="F86" s="134">
        <v>1</v>
      </c>
      <c r="G86" s="134"/>
      <c r="H86" s="134"/>
      <c r="I86" s="134"/>
      <c r="J86" s="134">
        <f t="shared" si="4"/>
        <v>11</v>
      </c>
      <c r="K86" s="134">
        <v>12</v>
      </c>
      <c r="L86" s="134">
        <v>23</v>
      </c>
    </row>
    <row r="87" spans="1:12" ht="15.5" x14ac:dyDescent="0.3">
      <c r="A87" s="417">
        <v>83</v>
      </c>
      <c r="B87" s="906" t="s">
        <v>565</v>
      </c>
      <c r="C87" s="907"/>
      <c r="D87" s="304">
        <f t="shared" si="3"/>
        <v>285</v>
      </c>
      <c r="E87" s="304">
        <v>454</v>
      </c>
      <c r="F87" s="304">
        <v>739</v>
      </c>
      <c r="G87" s="304">
        <f t="shared" si="5"/>
        <v>6</v>
      </c>
      <c r="H87" s="304">
        <v>39</v>
      </c>
      <c r="I87" s="304">
        <v>45</v>
      </c>
      <c r="J87" s="304">
        <f t="shared" si="4"/>
        <v>26847</v>
      </c>
      <c r="K87" s="304">
        <v>57736</v>
      </c>
      <c r="L87" s="304">
        <v>84583</v>
      </c>
    </row>
    <row r="88" spans="1:12" ht="15.5" x14ac:dyDescent="0.35">
      <c r="A88" s="417">
        <v>84</v>
      </c>
      <c r="B88" s="419" t="s">
        <v>566</v>
      </c>
      <c r="C88" s="420" t="s">
        <v>566</v>
      </c>
      <c r="D88" s="134"/>
      <c r="E88" s="134"/>
      <c r="F88" s="134"/>
      <c r="G88" s="134"/>
      <c r="H88" s="134"/>
      <c r="I88" s="134"/>
      <c r="J88" s="134">
        <f t="shared" si="4"/>
        <v>66</v>
      </c>
      <c r="K88" s="134">
        <v>148</v>
      </c>
      <c r="L88" s="134">
        <v>214</v>
      </c>
    </row>
    <row r="89" spans="1:12" ht="15.5" x14ac:dyDescent="0.3">
      <c r="A89" s="417">
        <v>85</v>
      </c>
      <c r="B89" s="906" t="s">
        <v>568</v>
      </c>
      <c r="C89" s="907"/>
      <c r="D89" s="304"/>
      <c r="E89" s="304"/>
      <c r="F89" s="304"/>
      <c r="G89" s="304"/>
      <c r="H89" s="304"/>
      <c r="I89" s="304"/>
      <c r="J89" s="304">
        <f t="shared" si="4"/>
        <v>66</v>
      </c>
      <c r="K89" s="304">
        <v>148</v>
      </c>
      <c r="L89" s="304">
        <v>214</v>
      </c>
    </row>
    <row r="90" spans="1:12" ht="15.5" x14ac:dyDescent="0.35">
      <c r="A90" s="417">
        <v>86</v>
      </c>
      <c r="B90" s="419" t="s">
        <v>464</v>
      </c>
      <c r="C90" s="420" t="s">
        <v>464</v>
      </c>
      <c r="D90" s="134">
        <f t="shared" si="3"/>
        <v>7</v>
      </c>
      <c r="E90" s="134">
        <v>9</v>
      </c>
      <c r="F90" s="134">
        <v>16</v>
      </c>
      <c r="G90" s="134"/>
      <c r="H90" s="134"/>
      <c r="I90" s="134"/>
      <c r="J90" s="134">
        <f t="shared" si="4"/>
        <v>222</v>
      </c>
      <c r="K90" s="134">
        <v>226</v>
      </c>
      <c r="L90" s="134">
        <v>448</v>
      </c>
    </row>
    <row r="91" spans="1:12" ht="15.5" x14ac:dyDescent="0.3">
      <c r="A91" s="417">
        <v>87</v>
      </c>
      <c r="B91" s="906" t="s">
        <v>569</v>
      </c>
      <c r="C91" s="907"/>
      <c r="D91" s="304">
        <f t="shared" si="3"/>
        <v>7</v>
      </c>
      <c r="E91" s="304">
        <v>9</v>
      </c>
      <c r="F91" s="304">
        <v>16</v>
      </c>
      <c r="G91" s="304"/>
      <c r="H91" s="304"/>
      <c r="I91" s="304"/>
      <c r="J91" s="304">
        <f t="shared" si="4"/>
        <v>222</v>
      </c>
      <c r="K91" s="304">
        <v>226</v>
      </c>
      <c r="L91" s="304">
        <v>448</v>
      </c>
    </row>
    <row r="92" spans="1:12" ht="15.5" x14ac:dyDescent="0.35">
      <c r="A92" s="417">
        <v>88</v>
      </c>
      <c r="B92" s="906" t="s">
        <v>466</v>
      </c>
      <c r="C92" s="420" t="s">
        <v>570</v>
      </c>
      <c r="D92" s="134"/>
      <c r="E92" s="134"/>
      <c r="F92" s="134"/>
      <c r="G92" s="134"/>
      <c r="H92" s="134"/>
      <c r="I92" s="134"/>
      <c r="J92" s="134">
        <f t="shared" si="4"/>
        <v>23</v>
      </c>
      <c r="K92" s="134">
        <v>130</v>
      </c>
      <c r="L92" s="134">
        <v>153</v>
      </c>
    </row>
    <row r="93" spans="1:12" ht="15.5" x14ac:dyDescent="0.35">
      <c r="A93" s="417">
        <v>89</v>
      </c>
      <c r="B93" s="907"/>
      <c r="C93" s="420" t="s">
        <v>438</v>
      </c>
      <c r="D93" s="134">
        <f t="shared" si="3"/>
        <v>1</v>
      </c>
      <c r="E93" s="134">
        <v>4</v>
      </c>
      <c r="F93" s="134">
        <v>5</v>
      </c>
      <c r="G93" s="134"/>
      <c r="H93" s="134"/>
      <c r="I93" s="134"/>
      <c r="J93" s="134">
        <f t="shared" si="4"/>
        <v>91</v>
      </c>
      <c r="K93" s="134">
        <v>217</v>
      </c>
      <c r="L93" s="134">
        <v>308</v>
      </c>
    </row>
    <row r="94" spans="1:12" ht="15.5" x14ac:dyDescent="0.35">
      <c r="A94" s="417">
        <v>90</v>
      </c>
      <c r="B94" s="907"/>
      <c r="C94" s="420" t="s">
        <v>466</v>
      </c>
      <c r="D94" s="134">
        <f t="shared" si="3"/>
        <v>19</v>
      </c>
      <c r="E94" s="134">
        <v>198</v>
      </c>
      <c r="F94" s="134">
        <v>217</v>
      </c>
      <c r="G94" s="134"/>
      <c r="H94" s="134">
        <v>1</v>
      </c>
      <c r="I94" s="134">
        <v>1</v>
      </c>
      <c r="J94" s="134">
        <f t="shared" si="4"/>
        <v>146</v>
      </c>
      <c r="K94" s="134">
        <v>5347</v>
      </c>
      <c r="L94" s="134">
        <v>5493</v>
      </c>
    </row>
    <row r="95" spans="1:12" ht="15.5" x14ac:dyDescent="0.35">
      <c r="A95" s="417">
        <v>91</v>
      </c>
      <c r="B95" s="907"/>
      <c r="C95" s="420" t="s">
        <v>571</v>
      </c>
      <c r="D95" s="134">
        <f t="shared" si="3"/>
        <v>5</v>
      </c>
      <c r="E95" s="134">
        <v>8</v>
      </c>
      <c r="F95" s="134">
        <v>13</v>
      </c>
      <c r="G95" s="134"/>
      <c r="H95" s="134"/>
      <c r="I95" s="134"/>
      <c r="J95" s="134">
        <f t="shared" si="4"/>
        <v>168</v>
      </c>
      <c r="K95" s="134">
        <v>1939</v>
      </c>
      <c r="L95" s="134">
        <v>2107</v>
      </c>
    </row>
    <row r="96" spans="1:12" ht="15.5" x14ac:dyDescent="0.3">
      <c r="A96" s="417">
        <v>92</v>
      </c>
      <c r="B96" s="906" t="s">
        <v>572</v>
      </c>
      <c r="C96" s="907"/>
      <c r="D96" s="304">
        <f t="shared" si="3"/>
        <v>25</v>
      </c>
      <c r="E96" s="304">
        <v>210</v>
      </c>
      <c r="F96" s="304">
        <v>235</v>
      </c>
      <c r="G96" s="304"/>
      <c r="H96" s="304">
        <v>1</v>
      </c>
      <c r="I96" s="304">
        <v>1</v>
      </c>
      <c r="J96" s="304">
        <f t="shared" si="4"/>
        <v>428</v>
      </c>
      <c r="K96" s="304">
        <v>7633</v>
      </c>
      <c r="L96" s="304">
        <v>8061</v>
      </c>
    </row>
    <row r="97" spans="1:12" ht="31" x14ac:dyDescent="0.35">
      <c r="A97" s="417">
        <v>93</v>
      </c>
      <c r="B97" s="906" t="s">
        <v>467</v>
      </c>
      <c r="C97" s="420" t="s">
        <v>573</v>
      </c>
      <c r="D97" s="134"/>
      <c r="E97" s="134"/>
      <c r="F97" s="134"/>
      <c r="G97" s="134"/>
      <c r="H97" s="134"/>
      <c r="I97" s="134"/>
      <c r="J97" s="134">
        <f t="shared" si="4"/>
        <v>5</v>
      </c>
      <c r="K97" s="134">
        <v>4</v>
      </c>
      <c r="L97" s="134">
        <v>9</v>
      </c>
    </row>
    <row r="98" spans="1:12" ht="15.5" x14ac:dyDescent="0.35">
      <c r="A98" s="417">
        <v>94</v>
      </c>
      <c r="B98" s="907"/>
      <c r="C98" s="420" t="s">
        <v>574</v>
      </c>
      <c r="D98" s="134"/>
      <c r="E98" s="134"/>
      <c r="F98" s="134"/>
      <c r="G98" s="134"/>
      <c r="H98" s="134"/>
      <c r="I98" s="134"/>
      <c r="J98" s="134">
        <f t="shared" si="4"/>
        <v>162</v>
      </c>
      <c r="K98" s="134">
        <v>103</v>
      </c>
      <c r="L98" s="134">
        <v>265</v>
      </c>
    </row>
    <row r="99" spans="1:12" ht="15.5" x14ac:dyDescent="0.3">
      <c r="A99" s="417">
        <v>95</v>
      </c>
      <c r="B99" s="906" t="s">
        <v>575</v>
      </c>
      <c r="C99" s="907"/>
      <c r="D99" s="304"/>
      <c r="E99" s="304"/>
      <c r="F99" s="304"/>
      <c r="G99" s="304"/>
      <c r="H99" s="304"/>
      <c r="I99" s="304"/>
      <c r="J99" s="304">
        <f t="shared" si="4"/>
        <v>167</v>
      </c>
      <c r="K99" s="304">
        <v>107</v>
      </c>
      <c r="L99" s="304">
        <v>274</v>
      </c>
    </row>
    <row r="100" spans="1:12" ht="15.5" x14ac:dyDescent="0.35">
      <c r="A100" s="417">
        <v>96</v>
      </c>
      <c r="B100" s="906" t="s">
        <v>67</v>
      </c>
      <c r="C100" s="420" t="s">
        <v>576</v>
      </c>
      <c r="D100" s="134">
        <f t="shared" si="3"/>
        <v>44</v>
      </c>
      <c r="E100" s="134">
        <v>31</v>
      </c>
      <c r="F100" s="134">
        <v>75</v>
      </c>
      <c r="G100" s="134">
        <f t="shared" si="5"/>
        <v>13</v>
      </c>
      <c r="H100" s="134">
        <v>11</v>
      </c>
      <c r="I100" s="134">
        <v>24</v>
      </c>
      <c r="J100" s="134">
        <f t="shared" si="4"/>
        <v>1306</v>
      </c>
      <c r="K100" s="134">
        <v>5838</v>
      </c>
      <c r="L100" s="134">
        <v>7144</v>
      </c>
    </row>
    <row r="101" spans="1:12" ht="15.5" x14ac:dyDescent="0.35">
      <c r="A101" s="417">
        <v>97</v>
      </c>
      <c r="B101" s="907"/>
      <c r="C101" s="420" t="s">
        <v>577</v>
      </c>
      <c r="D101" s="134">
        <f t="shared" si="3"/>
        <v>311</v>
      </c>
      <c r="E101" s="134">
        <v>414</v>
      </c>
      <c r="F101" s="134">
        <v>725</v>
      </c>
      <c r="G101" s="134">
        <f t="shared" si="5"/>
        <v>1</v>
      </c>
      <c r="H101" s="134"/>
      <c r="I101" s="134">
        <v>1</v>
      </c>
      <c r="J101" s="134">
        <f t="shared" si="4"/>
        <v>27234</v>
      </c>
      <c r="K101" s="134">
        <v>53085</v>
      </c>
      <c r="L101" s="134">
        <v>80319</v>
      </c>
    </row>
    <row r="102" spans="1:12" ht="15.5" x14ac:dyDescent="0.35">
      <c r="A102" s="417">
        <v>98</v>
      </c>
      <c r="B102" s="907"/>
      <c r="C102" s="420" t="s">
        <v>578</v>
      </c>
      <c r="D102" s="134">
        <f t="shared" si="3"/>
        <v>9</v>
      </c>
      <c r="E102" s="134">
        <v>2</v>
      </c>
      <c r="F102" s="134">
        <v>11</v>
      </c>
      <c r="G102" s="134"/>
      <c r="H102" s="134"/>
      <c r="I102" s="134"/>
      <c r="J102" s="134">
        <f t="shared" si="4"/>
        <v>570</v>
      </c>
      <c r="K102" s="134">
        <v>945</v>
      </c>
      <c r="L102" s="134">
        <v>1515</v>
      </c>
    </row>
    <row r="103" spans="1:12" ht="15.5" x14ac:dyDescent="0.35">
      <c r="A103" s="417">
        <v>99</v>
      </c>
      <c r="B103" s="907"/>
      <c r="C103" s="420" t="s">
        <v>579</v>
      </c>
      <c r="D103" s="134">
        <f t="shared" si="3"/>
        <v>17</v>
      </c>
      <c r="E103" s="134">
        <v>22</v>
      </c>
      <c r="F103" s="134">
        <v>39</v>
      </c>
      <c r="G103" s="134"/>
      <c r="H103" s="134"/>
      <c r="I103" s="134"/>
      <c r="J103" s="134">
        <f t="shared" si="4"/>
        <v>295</v>
      </c>
      <c r="K103" s="134">
        <v>1279</v>
      </c>
      <c r="L103" s="134">
        <v>1574</v>
      </c>
    </row>
    <row r="104" spans="1:12" ht="15.5" x14ac:dyDescent="0.35">
      <c r="A104" s="417">
        <v>100</v>
      </c>
      <c r="B104" s="907"/>
      <c r="C104" s="420" t="s">
        <v>580</v>
      </c>
      <c r="D104" s="134">
        <f t="shared" si="3"/>
        <v>24</v>
      </c>
      <c r="E104" s="134">
        <v>16</v>
      </c>
      <c r="F104" s="134">
        <v>40</v>
      </c>
      <c r="G104" s="134">
        <f t="shared" si="5"/>
        <v>3</v>
      </c>
      <c r="H104" s="134">
        <v>5</v>
      </c>
      <c r="I104" s="134">
        <v>8</v>
      </c>
      <c r="J104" s="134">
        <f t="shared" si="4"/>
        <v>1488</v>
      </c>
      <c r="K104" s="134">
        <v>3709</v>
      </c>
      <c r="L104" s="134">
        <v>5197</v>
      </c>
    </row>
    <row r="105" spans="1:12" ht="15.5" x14ac:dyDescent="0.35">
      <c r="A105" s="417">
        <v>101</v>
      </c>
      <c r="B105" s="907"/>
      <c r="C105" s="420" t="s">
        <v>581</v>
      </c>
      <c r="D105" s="134">
        <f t="shared" si="3"/>
        <v>164</v>
      </c>
      <c r="E105" s="134">
        <v>185</v>
      </c>
      <c r="F105" s="134">
        <v>349</v>
      </c>
      <c r="G105" s="134"/>
      <c r="H105" s="134"/>
      <c r="I105" s="134"/>
      <c r="J105" s="134">
        <f t="shared" si="4"/>
        <v>8973</v>
      </c>
      <c r="K105" s="134">
        <v>13961</v>
      </c>
      <c r="L105" s="134">
        <v>22934</v>
      </c>
    </row>
    <row r="106" spans="1:12" ht="15.5" x14ac:dyDescent="0.35">
      <c r="A106" s="417">
        <v>102</v>
      </c>
      <c r="B106" s="907"/>
      <c r="C106" s="420" t="s">
        <v>582</v>
      </c>
      <c r="D106" s="134">
        <f t="shared" si="3"/>
        <v>23</v>
      </c>
      <c r="E106" s="134">
        <v>37</v>
      </c>
      <c r="F106" s="134">
        <v>60</v>
      </c>
      <c r="G106" s="134"/>
      <c r="H106" s="134"/>
      <c r="I106" s="134"/>
      <c r="J106" s="134">
        <f t="shared" si="4"/>
        <v>540</v>
      </c>
      <c r="K106" s="134">
        <v>1799</v>
      </c>
      <c r="L106" s="134">
        <v>2339</v>
      </c>
    </row>
    <row r="107" spans="1:12" ht="15.5" x14ac:dyDescent="0.35">
      <c r="A107" s="417">
        <v>103</v>
      </c>
      <c r="B107" s="907"/>
      <c r="C107" s="420" t="s">
        <v>583</v>
      </c>
      <c r="D107" s="134">
        <f t="shared" si="3"/>
        <v>159</v>
      </c>
      <c r="E107" s="134">
        <v>129</v>
      </c>
      <c r="F107" s="134">
        <v>288</v>
      </c>
      <c r="G107" s="134">
        <f t="shared" si="5"/>
        <v>14</v>
      </c>
      <c r="H107" s="134">
        <v>3</v>
      </c>
      <c r="I107" s="134">
        <v>17</v>
      </c>
      <c r="J107" s="134">
        <f t="shared" si="4"/>
        <v>4146</v>
      </c>
      <c r="K107" s="134">
        <v>8586</v>
      </c>
      <c r="L107" s="134">
        <v>12732</v>
      </c>
    </row>
    <row r="108" spans="1:12" ht="15.5" x14ac:dyDescent="0.35">
      <c r="A108" s="417">
        <v>104</v>
      </c>
      <c r="B108" s="907"/>
      <c r="C108" s="420" t="s">
        <v>584</v>
      </c>
      <c r="D108" s="134">
        <f t="shared" si="3"/>
        <v>30</v>
      </c>
      <c r="E108" s="134">
        <v>69</v>
      </c>
      <c r="F108" s="134">
        <v>99</v>
      </c>
      <c r="G108" s="134">
        <f t="shared" si="5"/>
        <v>6</v>
      </c>
      <c r="H108" s="134">
        <v>30</v>
      </c>
      <c r="I108" s="134">
        <v>36</v>
      </c>
      <c r="J108" s="134">
        <f t="shared" si="4"/>
        <v>1421</v>
      </c>
      <c r="K108" s="134">
        <v>3497</v>
      </c>
      <c r="L108" s="134">
        <v>4918</v>
      </c>
    </row>
    <row r="109" spans="1:12" ht="15.5" x14ac:dyDescent="0.35">
      <c r="A109" s="417">
        <v>105</v>
      </c>
      <c r="B109" s="907"/>
      <c r="C109" s="420" t="s">
        <v>585</v>
      </c>
      <c r="D109" s="134">
        <f t="shared" si="3"/>
        <v>78</v>
      </c>
      <c r="E109" s="134">
        <v>38</v>
      </c>
      <c r="F109" s="134">
        <v>116</v>
      </c>
      <c r="G109" s="134">
        <f t="shared" si="5"/>
        <v>1</v>
      </c>
      <c r="H109" s="134">
        <v>1</v>
      </c>
      <c r="I109" s="134">
        <v>2</v>
      </c>
      <c r="J109" s="134">
        <f t="shared" si="4"/>
        <v>1465</v>
      </c>
      <c r="K109" s="134">
        <v>2925</v>
      </c>
      <c r="L109" s="134">
        <v>4390</v>
      </c>
    </row>
    <row r="110" spans="1:12" ht="15.5" x14ac:dyDescent="0.35">
      <c r="A110" s="417">
        <v>106</v>
      </c>
      <c r="B110" s="907"/>
      <c r="C110" s="420" t="s">
        <v>586</v>
      </c>
      <c r="D110" s="134">
        <f t="shared" si="3"/>
        <v>119</v>
      </c>
      <c r="E110" s="134">
        <v>81</v>
      </c>
      <c r="F110" s="134">
        <v>200</v>
      </c>
      <c r="G110" s="134"/>
      <c r="H110" s="134">
        <v>1</v>
      </c>
      <c r="I110" s="134">
        <v>1</v>
      </c>
      <c r="J110" s="134">
        <f t="shared" si="4"/>
        <v>2797</v>
      </c>
      <c r="K110" s="134">
        <v>5103</v>
      </c>
      <c r="L110" s="134">
        <v>7900</v>
      </c>
    </row>
    <row r="111" spans="1:12" ht="15.5" x14ac:dyDescent="0.35">
      <c r="A111" s="417">
        <v>107</v>
      </c>
      <c r="B111" s="907"/>
      <c r="C111" s="420" t="s">
        <v>524</v>
      </c>
      <c r="D111" s="134"/>
      <c r="E111" s="134"/>
      <c r="F111" s="134"/>
      <c r="G111" s="134"/>
      <c r="H111" s="134"/>
      <c r="I111" s="134"/>
      <c r="J111" s="134">
        <f t="shared" si="4"/>
        <v>4</v>
      </c>
      <c r="K111" s="134">
        <v>7</v>
      </c>
      <c r="L111" s="134">
        <v>11</v>
      </c>
    </row>
    <row r="112" spans="1:12" ht="15.5" x14ac:dyDescent="0.3">
      <c r="A112" s="417">
        <v>108</v>
      </c>
      <c r="B112" s="906" t="s">
        <v>587</v>
      </c>
      <c r="C112" s="907"/>
      <c r="D112" s="304">
        <f t="shared" si="3"/>
        <v>978</v>
      </c>
      <c r="E112" s="304">
        <v>1024</v>
      </c>
      <c r="F112" s="304">
        <v>2002</v>
      </c>
      <c r="G112" s="304">
        <f t="shared" si="5"/>
        <v>38</v>
      </c>
      <c r="H112" s="304">
        <v>51</v>
      </c>
      <c r="I112" s="304">
        <v>89</v>
      </c>
      <c r="J112" s="304">
        <f t="shared" si="4"/>
        <v>50239</v>
      </c>
      <c r="K112" s="304">
        <v>100734</v>
      </c>
      <c r="L112" s="304">
        <v>150973</v>
      </c>
    </row>
    <row r="113" spans="1:12" ht="30" x14ac:dyDescent="0.35">
      <c r="A113" s="417">
        <v>109</v>
      </c>
      <c r="B113" s="419" t="s">
        <v>439</v>
      </c>
      <c r="C113" s="420" t="s">
        <v>439</v>
      </c>
      <c r="D113" s="134"/>
      <c r="E113" s="134"/>
      <c r="F113" s="134"/>
      <c r="G113" s="134"/>
      <c r="H113" s="134"/>
      <c r="I113" s="134"/>
      <c r="J113" s="134"/>
      <c r="K113" s="134">
        <v>4</v>
      </c>
      <c r="L113" s="134">
        <v>4</v>
      </c>
    </row>
    <row r="114" spans="1:12" ht="15.5" x14ac:dyDescent="0.3">
      <c r="A114" s="417">
        <v>110</v>
      </c>
      <c r="B114" s="906" t="s">
        <v>588</v>
      </c>
      <c r="C114" s="907"/>
      <c r="D114" s="304"/>
      <c r="E114" s="304"/>
      <c r="F114" s="304"/>
      <c r="G114" s="304"/>
      <c r="H114" s="304"/>
      <c r="I114" s="304"/>
      <c r="J114" s="304"/>
      <c r="K114" s="304">
        <v>4</v>
      </c>
      <c r="L114" s="304">
        <v>4</v>
      </c>
    </row>
    <row r="115" spans="1:12" ht="15.5" x14ac:dyDescent="0.35">
      <c r="A115" s="417">
        <v>111</v>
      </c>
      <c r="B115" s="906" t="s">
        <v>468</v>
      </c>
      <c r="C115" s="420" t="s">
        <v>589</v>
      </c>
      <c r="D115" s="134"/>
      <c r="E115" s="134"/>
      <c r="F115" s="134"/>
      <c r="G115" s="134"/>
      <c r="H115" s="134"/>
      <c r="I115" s="134"/>
      <c r="J115" s="134">
        <f t="shared" si="4"/>
        <v>7</v>
      </c>
      <c r="K115" s="134">
        <v>7</v>
      </c>
      <c r="L115" s="134">
        <v>14</v>
      </c>
    </row>
    <row r="116" spans="1:12" ht="15.5" x14ac:dyDescent="0.35">
      <c r="A116" s="417">
        <v>112</v>
      </c>
      <c r="B116" s="907"/>
      <c r="C116" s="420" t="s">
        <v>590</v>
      </c>
      <c r="D116" s="134">
        <f t="shared" si="3"/>
        <v>54</v>
      </c>
      <c r="E116" s="134">
        <v>44</v>
      </c>
      <c r="F116" s="134">
        <v>98</v>
      </c>
      <c r="G116" s="134"/>
      <c r="H116" s="134"/>
      <c r="I116" s="134"/>
      <c r="J116" s="134">
        <f t="shared" si="4"/>
        <v>40722</v>
      </c>
      <c r="K116" s="134">
        <v>29198</v>
      </c>
      <c r="L116" s="134">
        <v>69920</v>
      </c>
    </row>
    <row r="117" spans="1:12" ht="31" x14ac:dyDescent="0.35">
      <c r="A117" s="417">
        <v>113</v>
      </c>
      <c r="B117" s="907"/>
      <c r="C117" s="420" t="s">
        <v>591</v>
      </c>
      <c r="D117" s="134"/>
      <c r="E117" s="134"/>
      <c r="F117" s="134"/>
      <c r="G117" s="134"/>
      <c r="H117" s="134"/>
      <c r="I117" s="134"/>
      <c r="J117" s="134">
        <f t="shared" si="4"/>
        <v>23</v>
      </c>
      <c r="K117" s="134">
        <v>17</v>
      </c>
      <c r="L117" s="134">
        <v>40</v>
      </c>
    </row>
    <row r="118" spans="1:12" ht="15.5" x14ac:dyDescent="0.35">
      <c r="A118" s="417">
        <v>114</v>
      </c>
      <c r="B118" s="907"/>
      <c r="C118" s="420" t="s">
        <v>592</v>
      </c>
      <c r="D118" s="134">
        <f t="shared" si="3"/>
        <v>198</v>
      </c>
      <c r="E118" s="134">
        <v>250</v>
      </c>
      <c r="F118" s="134">
        <v>448</v>
      </c>
      <c r="G118" s="134">
        <f t="shared" si="5"/>
        <v>6</v>
      </c>
      <c r="H118" s="134">
        <v>14</v>
      </c>
      <c r="I118" s="134">
        <v>20</v>
      </c>
      <c r="J118" s="134">
        <f t="shared" si="4"/>
        <v>7293</v>
      </c>
      <c r="K118" s="134">
        <v>9974</v>
      </c>
      <c r="L118" s="134">
        <v>17267</v>
      </c>
    </row>
    <row r="119" spans="1:12" ht="15.5" x14ac:dyDescent="0.35">
      <c r="A119" s="417">
        <v>115</v>
      </c>
      <c r="B119" s="907"/>
      <c r="C119" s="420" t="s">
        <v>439</v>
      </c>
      <c r="D119" s="134">
        <f t="shared" si="3"/>
        <v>18</v>
      </c>
      <c r="E119" s="134">
        <v>9</v>
      </c>
      <c r="F119" s="134">
        <v>27</v>
      </c>
      <c r="G119" s="134"/>
      <c r="H119" s="134"/>
      <c r="I119" s="134"/>
      <c r="J119" s="134">
        <f t="shared" si="4"/>
        <v>2939</v>
      </c>
      <c r="K119" s="134">
        <v>2331</v>
      </c>
      <c r="L119" s="134">
        <v>5270</v>
      </c>
    </row>
    <row r="120" spans="1:12" ht="15.5" x14ac:dyDescent="0.35">
      <c r="A120" s="417">
        <v>116</v>
      </c>
      <c r="B120" s="907"/>
      <c r="C120" s="420" t="s">
        <v>594</v>
      </c>
      <c r="D120" s="134"/>
      <c r="E120" s="134"/>
      <c r="F120" s="134"/>
      <c r="G120" s="134"/>
      <c r="H120" s="134"/>
      <c r="I120" s="134"/>
      <c r="J120" s="134">
        <f t="shared" si="4"/>
        <v>33</v>
      </c>
      <c r="K120" s="134">
        <v>20</v>
      </c>
      <c r="L120" s="134">
        <v>53</v>
      </c>
    </row>
    <row r="121" spans="1:12" ht="15.5" x14ac:dyDescent="0.3">
      <c r="A121" s="417">
        <v>117</v>
      </c>
      <c r="B121" s="906" t="s">
        <v>595</v>
      </c>
      <c r="C121" s="907"/>
      <c r="D121" s="304">
        <f t="shared" si="3"/>
        <v>270</v>
      </c>
      <c r="E121" s="304">
        <v>303</v>
      </c>
      <c r="F121" s="304">
        <v>573</v>
      </c>
      <c r="G121" s="304">
        <f t="shared" si="5"/>
        <v>6</v>
      </c>
      <c r="H121" s="304">
        <v>14</v>
      </c>
      <c r="I121" s="304">
        <v>20</v>
      </c>
      <c r="J121" s="304">
        <f t="shared" si="4"/>
        <v>51017</v>
      </c>
      <c r="K121" s="304">
        <v>41547</v>
      </c>
      <c r="L121" s="304">
        <v>92564</v>
      </c>
    </row>
    <row r="122" spans="1:12" ht="31" x14ac:dyDescent="0.35">
      <c r="A122" s="417">
        <v>118</v>
      </c>
      <c r="B122" s="419" t="s">
        <v>469</v>
      </c>
      <c r="C122" s="420" t="s">
        <v>469</v>
      </c>
      <c r="D122" s="134">
        <f t="shared" si="3"/>
        <v>78</v>
      </c>
      <c r="E122" s="134">
        <v>51</v>
      </c>
      <c r="F122" s="134">
        <v>129</v>
      </c>
      <c r="G122" s="134">
        <f t="shared" si="5"/>
        <v>2</v>
      </c>
      <c r="H122" s="134">
        <v>1</v>
      </c>
      <c r="I122" s="134">
        <v>3</v>
      </c>
      <c r="J122" s="134">
        <f t="shared" si="4"/>
        <v>3831</v>
      </c>
      <c r="K122" s="134">
        <v>4150</v>
      </c>
      <c r="L122" s="134">
        <v>7981</v>
      </c>
    </row>
    <row r="123" spans="1:12" ht="15.5" x14ac:dyDescent="0.3">
      <c r="A123" s="417">
        <v>119</v>
      </c>
      <c r="B123" s="906" t="s">
        <v>596</v>
      </c>
      <c r="C123" s="907"/>
      <c r="D123" s="304">
        <f t="shared" si="3"/>
        <v>78</v>
      </c>
      <c r="E123" s="304">
        <v>51</v>
      </c>
      <c r="F123" s="304">
        <v>129</v>
      </c>
      <c r="G123" s="304">
        <f t="shared" si="5"/>
        <v>2</v>
      </c>
      <c r="H123" s="304">
        <v>1</v>
      </c>
      <c r="I123" s="304">
        <v>3</v>
      </c>
      <c r="J123" s="304">
        <f t="shared" si="4"/>
        <v>3831</v>
      </c>
      <c r="K123" s="304">
        <v>4150</v>
      </c>
      <c r="L123" s="304">
        <v>7981</v>
      </c>
    </row>
    <row r="124" spans="1:12" ht="15.5" x14ac:dyDescent="0.35">
      <c r="A124" s="417">
        <v>120</v>
      </c>
      <c r="B124" s="906" t="s">
        <v>68</v>
      </c>
      <c r="C124" s="420" t="s">
        <v>597</v>
      </c>
      <c r="D124" s="134"/>
      <c r="E124" s="134"/>
      <c r="F124" s="134"/>
      <c r="G124" s="134"/>
      <c r="H124" s="134"/>
      <c r="I124" s="134"/>
      <c r="J124" s="134">
        <f t="shared" si="4"/>
        <v>51</v>
      </c>
      <c r="K124" s="134">
        <v>39</v>
      </c>
      <c r="L124" s="134">
        <v>90</v>
      </c>
    </row>
    <row r="125" spans="1:12" ht="15.5" x14ac:dyDescent="0.35">
      <c r="A125" s="417">
        <v>121</v>
      </c>
      <c r="B125" s="907"/>
      <c r="C125" s="420" t="s">
        <v>598</v>
      </c>
      <c r="D125" s="134"/>
      <c r="E125" s="134">
        <v>1</v>
      </c>
      <c r="F125" s="134">
        <v>1</v>
      </c>
      <c r="G125" s="134"/>
      <c r="H125" s="134"/>
      <c r="I125" s="134"/>
      <c r="J125" s="134">
        <f t="shared" si="4"/>
        <v>356</v>
      </c>
      <c r="K125" s="134">
        <v>271</v>
      </c>
      <c r="L125" s="134">
        <v>627</v>
      </c>
    </row>
    <row r="126" spans="1:12" ht="15.5" x14ac:dyDescent="0.35">
      <c r="A126" s="417">
        <v>122</v>
      </c>
      <c r="B126" s="907"/>
      <c r="C126" s="420" t="s">
        <v>599</v>
      </c>
      <c r="D126" s="134"/>
      <c r="E126" s="134"/>
      <c r="F126" s="134"/>
      <c r="G126" s="134"/>
      <c r="H126" s="134"/>
      <c r="I126" s="134"/>
      <c r="J126" s="134">
        <f t="shared" si="4"/>
        <v>31</v>
      </c>
      <c r="K126" s="134">
        <v>49</v>
      </c>
      <c r="L126" s="134">
        <v>80</v>
      </c>
    </row>
    <row r="127" spans="1:12" ht="15.5" x14ac:dyDescent="0.35">
      <c r="A127" s="417">
        <v>123</v>
      </c>
      <c r="B127" s="907"/>
      <c r="C127" s="420" t="s">
        <v>600</v>
      </c>
      <c r="D127" s="134"/>
      <c r="E127" s="134"/>
      <c r="F127" s="134"/>
      <c r="G127" s="134"/>
      <c r="H127" s="134"/>
      <c r="I127" s="134"/>
      <c r="J127" s="134">
        <f t="shared" si="4"/>
        <v>29</v>
      </c>
      <c r="K127" s="134">
        <v>33</v>
      </c>
      <c r="L127" s="134">
        <v>62</v>
      </c>
    </row>
    <row r="128" spans="1:12" ht="15.5" x14ac:dyDescent="0.35">
      <c r="A128" s="417">
        <v>124</v>
      </c>
      <c r="B128" s="907"/>
      <c r="C128" s="420" t="s">
        <v>68</v>
      </c>
      <c r="D128" s="134">
        <f t="shared" si="3"/>
        <v>338</v>
      </c>
      <c r="E128" s="134">
        <v>313</v>
      </c>
      <c r="F128" s="134">
        <v>651</v>
      </c>
      <c r="G128" s="134"/>
      <c r="H128" s="134"/>
      <c r="I128" s="134"/>
      <c r="J128" s="134">
        <f t="shared" si="4"/>
        <v>9674</v>
      </c>
      <c r="K128" s="134">
        <v>8552</v>
      </c>
      <c r="L128" s="134">
        <v>18226</v>
      </c>
    </row>
    <row r="129" spans="1:12" ht="15.5" x14ac:dyDescent="0.3">
      <c r="A129" s="417">
        <v>125</v>
      </c>
      <c r="B129" s="906" t="s">
        <v>601</v>
      </c>
      <c r="C129" s="907"/>
      <c r="D129" s="304">
        <f t="shared" si="3"/>
        <v>338</v>
      </c>
      <c r="E129" s="304">
        <v>314</v>
      </c>
      <c r="F129" s="304">
        <v>652</v>
      </c>
      <c r="G129" s="304"/>
      <c r="H129" s="304"/>
      <c r="I129" s="304"/>
      <c r="J129" s="304">
        <f t="shared" si="4"/>
        <v>10141</v>
      </c>
      <c r="K129" s="304">
        <v>8944</v>
      </c>
      <c r="L129" s="304">
        <v>19085</v>
      </c>
    </row>
    <row r="130" spans="1:12" ht="31" x14ac:dyDescent="0.35">
      <c r="A130" s="417">
        <v>126</v>
      </c>
      <c r="B130" s="419" t="s">
        <v>470</v>
      </c>
      <c r="C130" s="420" t="s">
        <v>470</v>
      </c>
      <c r="D130" s="134">
        <f t="shared" si="3"/>
        <v>122</v>
      </c>
      <c r="E130" s="134">
        <v>117</v>
      </c>
      <c r="F130" s="134">
        <v>239</v>
      </c>
      <c r="G130" s="134">
        <f t="shared" si="5"/>
        <v>5</v>
      </c>
      <c r="H130" s="134">
        <v>2</v>
      </c>
      <c r="I130" s="134">
        <v>7</v>
      </c>
      <c r="J130" s="134">
        <f t="shared" si="4"/>
        <v>3834</v>
      </c>
      <c r="K130" s="134">
        <v>4246</v>
      </c>
      <c r="L130" s="134">
        <v>8080</v>
      </c>
    </row>
    <row r="131" spans="1:12" ht="15.5" x14ac:dyDescent="0.3">
      <c r="A131" s="417">
        <v>127</v>
      </c>
      <c r="B131" s="906" t="s">
        <v>602</v>
      </c>
      <c r="C131" s="907"/>
      <c r="D131" s="304">
        <f t="shared" si="3"/>
        <v>122</v>
      </c>
      <c r="E131" s="304">
        <v>117</v>
      </c>
      <c r="F131" s="304">
        <v>239</v>
      </c>
      <c r="G131" s="304">
        <f t="shared" si="5"/>
        <v>5</v>
      </c>
      <c r="H131" s="304">
        <v>2</v>
      </c>
      <c r="I131" s="304">
        <v>7</v>
      </c>
      <c r="J131" s="304">
        <f t="shared" si="4"/>
        <v>3834</v>
      </c>
      <c r="K131" s="304">
        <v>4246</v>
      </c>
      <c r="L131" s="304">
        <v>8080</v>
      </c>
    </row>
    <row r="132" spans="1:12" ht="15.5" x14ac:dyDescent="0.35">
      <c r="A132" s="417">
        <v>128</v>
      </c>
      <c r="B132" s="419" t="s">
        <v>472</v>
      </c>
      <c r="C132" s="420" t="s">
        <v>472</v>
      </c>
      <c r="D132" s="134">
        <f t="shared" si="3"/>
        <v>133</v>
      </c>
      <c r="E132" s="134">
        <v>133</v>
      </c>
      <c r="F132" s="134">
        <v>266</v>
      </c>
      <c r="G132" s="134">
        <f t="shared" si="5"/>
        <v>1</v>
      </c>
      <c r="H132" s="134">
        <v>3</v>
      </c>
      <c r="I132" s="134">
        <v>4</v>
      </c>
      <c r="J132" s="134">
        <f t="shared" si="4"/>
        <v>10</v>
      </c>
      <c r="K132" s="134">
        <v>58</v>
      </c>
      <c r="L132" s="134">
        <v>68</v>
      </c>
    </row>
    <row r="133" spans="1:12" ht="15.5" x14ac:dyDescent="0.3">
      <c r="A133" s="417">
        <v>129</v>
      </c>
      <c r="B133" s="906" t="s">
        <v>604</v>
      </c>
      <c r="C133" s="907"/>
      <c r="D133" s="304">
        <f t="shared" ref="D133:D196" si="6">F133-E133</f>
        <v>133</v>
      </c>
      <c r="E133" s="304">
        <v>133</v>
      </c>
      <c r="F133" s="304">
        <v>266</v>
      </c>
      <c r="G133" s="304">
        <f t="shared" ref="G133:G171" si="7">I133-H133</f>
        <v>1</v>
      </c>
      <c r="H133" s="304">
        <v>3</v>
      </c>
      <c r="I133" s="304">
        <v>4</v>
      </c>
      <c r="J133" s="304">
        <f t="shared" ref="J133:J196" si="8">L133-K133</f>
        <v>10</v>
      </c>
      <c r="K133" s="304">
        <v>58</v>
      </c>
      <c r="L133" s="304">
        <v>68</v>
      </c>
    </row>
    <row r="134" spans="1:12" ht="31" x14ac:dyDescent="0.35">
      <c r="A134" s="417">
        <v>130</v>
      </c>
      <c r="B134" s="906" t="s">
        <v>474</v>
      </c>
      <c r="C134" s="420" t="s">
        <v>607</v>
      </c>
      <c r="D134" s="134">
        <f t="shared" si="6"/>
        <v>2</v>
      </c>
      <c r="E134" s="134"/>
      <c r="F134" s="134">
        <v>2</v>
      </c>
      <c r="G134" s="134"/>
      <c r="H134" s="134"/>
      <c r="I134" s="134"/>
      <c r="J134" s="134">
        <f t="shared" si="8"/>
        <v>77</v>
      </c>
      <c r="K134" s="134">
        <v>36</v>
      </c>
      <c r="L134" s="134">
        <v>113</v>
      </c>
    </row>
    <row r="135" spans="1:12" ht="15.5" x14ac:dyDescent="0.35">
      <c r="A135" s="417">
        <v>131</v>
      </c>
      <c r="B135" s="907"/>
      <c r="C135" s="420" t="s">
        <v>608</v>
      </c>
      <c r="D135" s="134">
        <f t="shared" si="6"/>
        <v>267</v>
      </c>
      <c r="E135" s="134">
        <v>265</v>
      </c>
      <c r="F135" s="134">
        <v>532</v>
      </c>
      <c r="G135" s="134"/>
      <c r="H135" s="134">
        <v>1</v>
      </c>
      <c r="I135" s="134">
        <v>1</v>
      </c>
      <c r="J135" s="134">
        <f t="shared" si="8"/>
        <v>154805</v>
      </c>
      <c r="K135" s="134">
        <v>124923</v>
      </c>
      <c r="L135" s="134">
        <v>279728</v>
      </c>
    </row>
    <row r="136" spans="1:12" ht="15.5" x14ac:dyDescent="0.35">
      <c r="A136" s="417">
        <v>132</v>
      </c>
      <c r="B136" s="907"/>
      <c r="C136" s="420" t="s">
        <v>609</v>
      </c>
      <c r="D136" s="134">
        <f t="shared" si="6"/>
        <v>435</v>
      </c>
      <c r="E136" s="134">
        <v>481</v>
      </c>
      <c r="F136" s="134">
        <v>916</v>
      </c>
      <c r="G136" s="134"/>
      <c r="H136" s="134"/>
      <c r="I136" s="134"/>
      <c r="J136" s="134">
        <f t="shared" si="8"/>
        <v>4453</v>
      </c>
      <c r="K136" s="134">
        <v>2922</v>
      </c>
      <c r="L136" s="134">
        <v>7375</v>
      </c>
    </row>
    <row r="137" spans="1:12" ht="15.5" x14ac:dyDescent="0.35">
      <c r="A137" s="417">
        <v>133</v>
      </c>
      <c r="B137" s="907"/>
      <c r="C137" s="420" t="s">
        <v>590</v>
      </c>
      <c r="D137" s="134"/>
      <c r="E137" s="134"/>
      <c r="F137" s="134"/>
      <c r="G137" s="134"/>
      <c r="H137" s="134"/>
      <c r="I137" s="134"/>
      <c r="J137" s="134">
        <f t="shared" si="8"/>
        <v>2688</v>
      </c>
      <c r="K137" s="134">
        <v>1776</v>
      </c>
      <c r="L137" s="134">
        <v>4464</v>
      </c>
    </row>
    <row r="138" spans="1:12" ht="15.5" x14ac:dyDescent="0.35">
      <c r="A138" s="417">
        <v>134</v>
      </c>
      <c r="B138" s="907"/>
      <c r="C138" s="420" t="s">
        <v>610</v>
      </c>
      <c r="D138" s="134"/>
      <c r="E138" s="134"/>
      <c r="F138" s="134"/>
      <c r="G138" s="134"/>
      <c r="H138" s="134"/>
      <c r="I138" s="134"/>
      <c r="J138" s="134">
        <f t="shared" si="8"/>
        <v>162</v>
      </c>
      <c r="K138" s="134">
        <v>224</v>
      </c>
      <c r="L138" s="134">
        <v>386</v>
      </c>
    </row>
    <row r="139" spans="1:12" ht="15.5" x14ac:dyDescent="0.35">
      <c r="A139" s="417">
        <v>135</v>
      </c>
      <c r="B139" s="907"/>
      <c r="C139" s="420" t="s">
        <v>612</v>
      </c>
      <c r="D139" s="134">
        <f t="shared" si="6"/>
        <v>2</v>
      </c>
      <c r="E139" s="134">
        <v>7</v>
      </c>
      <c r="F139" s="134">
        <v>9</v>
      </c>
      <c r="G139" s="134"/>
      <c r="H139" s="134"/>
      <c r="I139" s="134"/>
      <c r="J139" s="134">
        <f t="shared" si="8"/>
        <v>613</v>
      </c>
      <c r="K139" s="134">
        <v>409</v>
      </c>
      <c r="L139" s="134">
        <v>1022</v>
      </c>
    </row>
    <row r="140" spans="1:12" ht="15.5" x14ac:dyDescent="0.35">
      <c r="A140" s="417">
        <v>136</v>
      </c>
      <c r="B140" s="907"/>
      <c r="C140" s="420" t="s">
        <v>613</v>
      </c>
      <c r="D140" s="134"/>
      <c r="E140" s="134"/>
      <c r="F140" s="134"/>
      <c r="G140" s="134"/>
      <c r="H140" s="134"/>
      <c r="I140" s="134"/>
      <c r="J140" s="134">
        <f t="shared" si="8"/>
        <v>128</v>
      </c>
      <c r="K140" s="134">
        <v>89</v>
      </c>
      <c r="L140" s="134">
        <v>217</v>
      </c>
    </row>
    <row r="141" spans="1:12" ht="15.5" x14ac:dyDescent="0.35">
      <c r="A141" s="417">
        <v>137</v>
      </c>
      <c r="B141" s="907"/>
      <c r="C141" s="420" t="s">
        <v>489</v>
      </c>
      <c r="D141" s="134"/>
      <c r="E141" s="134">
        <v>3</v>
      </c>
      <c r="F141" s="134">
        <v>3</v>
      </c>
      <c r="G141" s="134"/>
      <c r="H141" s="134"/>
      <c r="I141" s="134"/>
      <c r="J141" s="134">
        <f t="shared" si="8"/>
        <v>853</v>
      </c>
      <c r="K141" s="134">
        <v>1092</v>
      </c>
      <c r="L141" s="134">
        <v>1945</v>
      </c>
    </row>
    <row r="142" spans="1:12" ht="15.5" x14ac:dyDescent="0.35">
      <c r="A142" s="417">
        <v>138</v>
      </c>
      <c r="B142" s="907"/>
      <c r="C142" s="420" t="s">
        <v>614</v>
      </c>
      <c r="D142" s="134">
        <f t="shared" si="6"/>
        <v>9</v>
      </c>
      <c r="E142" s="134">
        <v>4</v>
      </c>
      <c r="F142" s="134">
        <v>13</v>
      </c>
      <c r="G142" s="134"/>
      <c r="H142" s="134"/>
      <c r="I142" s="134"/>
      <c r="J142" s="134">
        <f t="shared" si="8"/>
        <v>17</v>
      </c>
      <c r="K142" s="134">
        <v>6</v>
      </c>
      <c r="L142" s="134">
        <v>23</v>
      </c>
    </row>
    <row r="143" spans="1:12" ht="31" x14ac:dyDescent="0.35">
      <c r="A143" s="417">
        <v>139</v>
      </c>
      <c r="B143" s="907"/>
      <c r="C143" s="420" t="s">
        <v>615</v>
      </c>
      <c r="D143" s="134">
        <f t="shared" si="6"/>
        <v>21</v>
      </c>
      <c r="E143" s="134">
        <v>14</v>
      </c>
      <c r="F143" s="134">
        <v>35</v>
      </c>
      <c r="G143" s="134"/>
      <c r="H143" s="134"/>
      <c r="I143" s="134"/>
      <c r="J143" s="134">
        <f t="shared" si="8"/>
        <v>287</v>
      </c>
      <c r="K143" s="134">
        <v>419</v>
      </c>
      <c r="L143" s="134">
        <v>706</v>
      </c>
    </row>
    <row r="144" spans="1:12" ht="15.5" x14ac:dyDescent="0.35">
      <c r="A144" s="417">
        <v>140</v>
      </c>
      <c r="B144" s="907"/>
      <c r="C144" s="420" t="s">
        <v>616</v>
      </c>
      <c r="D144" s="134"/>
      <c r="E144" s="134"/>
      <c r="F144" s="134"/>
      <c r="G144" s="134"/>
      <c r="H144" s="134"/>
      <c r="I144" s="134"/>
      <c r="J144" s="134">
        <f t="shared" si="8"/>
        <v>232</v>
      </c>
      <c r="K144" s="134">
        <v>172</v>
      </c>
      <c r="L144" s="134">
        <v>404</v>
      </c>
    </row>
    <row r="145" spans="1:12" ht="15.5" x14ac:dyDescent="0.35">
      <c r="A145" s="417">
        <v>141</v>
      </c>
      <c r="B145" s="907"/>
      <c r="C145" s="420" t="s">
        <v>474</v>
      </c>
      <c r="D145" s="134"/>
      <c r="E145" s="134"/>
      <c r="F145" s="134"/>
      <c r="G145" s="134"/>
      <c r="H145" s="134"/>
      <c r="I145" s="134"/>
      <c r="J145" s="134">
        <f t="shared" si="8"/>
        <v>1121</v>
      </c>
      <c r="K145" s="134">
        <v>801</v>
      </c>
      <c r="L145" s="134">
        <v>1922</v>
      </c>
    </row>
    <row r="146" spans="1:12" ht="31" x14ac:dyDescent="0.35">
      <c r="A146" s="417">
        <v>142</v>
      </c>
      <c r="B146" s="907"/>
      <c r="C146" s="420" t="s">
        <v>617</v>
      </c>
      <c r="D146" s="134"/>
      <c r="E146" s="134"/>
      <c r="F146" s="134"/>
      <c r="G146" s="134"/>
      <c r="H146" s="134"/>
      <c r="I146" s="134"/>
      <c r="J146" s="134">
        <f t="shared" si="8"/>
        <v>426</v>
      </c>
      <c r="K146" s="134">
        <v>371</v>
      </c>
      <c r="L146" s="134">
        <v>797</v>
      </c>
    </row>
    <row r="147" spans="1:12" ht="15.5" x14ac:dyDescent="0.35">
      <c r="A147" s="417">
        <v>143</v>
      </c>
      <c r="B147" s="907"/>
      <c r="C147" s="420" t="s">
        <v>618</v>
      </c>
      <c r="D147" s="134">
        <f t="shared" si="6"/>
        <v>9</v>
      </c>
      <c r="E147" s="134">
        <v>8</v>
      </c>
      <c r="F147" s="134">
        <v>17</v>
      </c>
      <c r="G147" s="134">
        <f t="shared" si="7"/>
        <v>6</v>
      </c>
      <c r="H147" s="134"/>
      <c r="I147" s="134">
        <v>6</v>
      </c>
      <c r="J147" s="134">
        <f t="shared" si="8"/>
        <v>325</v>
      </c>
      <c r="K147" s="134">
        <v>187</v>
      </c>
      <c r="L147" s="134">
        <v>512</v>
      </c>
    </row>
    <row r="148" spans="1:12" ht="15.5" x14ac:dyDescent="0.35">
      <c r="A148" s="417">
        <v>144</v>
      </c>
      <c r="B148" s="907"/>
      <c r="C148" s="420" t="s">
        <v>619</v>
      </c>
      <c r="D148" s="134">
        <f t="shared" si="6"/>
        <v>203</v>
      </c>
      <c r="E148" s="134">
        <v>215</v>
      </c>
      <c r="F148" s="134">
        <v>418</v>
      </c>
      <c r="G148" s="134"/>
      <c r="H148" s="134"/>
      <c r="I148" s="134"/>
      <c r="J148" s="134">
        <f t="shared" si="8"/>
        <v>1204</v>
      </c>
      <c r="K148" s="134">
        <v>1205</v>
      </c>
      <c r="L148" s="134">
        <v>2409</v>
      </c>
    </row>
    <row r="149" spans="1:12" ht="31" x14ac:dyDescent="0.35">
      <c r="A149" s="417">
        <v>145</v>
      </c>
      <c r="B149" s="907"/>
      <c r="C149" s="420" t="s">
        <v>620</v>
      </c>
      <c r="D149" s="134"/>
      <c r="E149" s="134"/>
      <c r="F149" s="134"/>
      <c r="G149" s="134"/>
      <c r="H149" s="134"/>
      <c r="I149" s="134"/>
      <c r="J149" s="134">
        <f t="shared" si="8"/>
        <v>75</v>
      </c>
      <c r="K149" s="134">
        <v>73</v>
      </c>
      <c r="L149" s="134">
        <v>148</v>
      </c>
    </row>
    <row r="150" spans="1:12" ht="15.5" x14ac:dyDescent="0.35">
      <c r="A150" s="417">
        <v>146</v>
      </c>
      <c r="B150" s="907"/>
      <c r="C150" s="420" t="s">
        <v>621</v>
      </c>
      <c r="D150" s="134"/>
      <c r="E150" s="134"/>
      <c r="F150" s="134"/>
      <c r="G150" s="134"/>
      <c r="H150" s="134"/>
      <c r="I150" s="134"/>
      <c r="J150" s="134">
        <f t="shared" si="8"/>
        <v>338</v>
      </c>
      <c r="K150" s="134">
        <v>313</v>
      </c>
      <c r="L150" s="134">
        <v>651</v>
      </c>
    </row>
    <row r="151" spans="1:12" ht="31" x14ac:dyDescent="0.35">
      <c r="A151" s="417">
        <v>147</v>
      </c>
      <c r="B151" s="907"/>
      <c r="C151" s="420" t="s">
        <v>622</v>
      </c>
      <c r="D151" s="134"/>
      <c r="E151" s="134"/>
      <c r="F151" s="134"/>
      <c r="G151" s="134"/>
      <c r="H151" s="134"/>
      <c r="I151" s="134"/>
      <c r="J151" s="134">
        <f t="shared" si="8"/>
        <v>64</v>
      </c>
      <c r="K151" s="134">
        <v>64</v>
      </c>
      <c r="L151" s="134">
        <v>128</v>
      </c>
    </row>
    <row r="152" spans="1:12" ht="15.5" x14ac:dyDescent="0.35">
      <c r="A152" s="417">
        <v>148</v>
      </c>
      <c r="B152" s="907"/>
      <c r="C152" s="420" t="s">
        <v>623</v>
      </c>
      <c r="D152" s="134">
        <f t="shared" si="6"/>
        <v>2</v>
      </c>
      <c r="E152" s="134"/>
      <c r="F152" s="134">
        <v>2</v>
      </c>
      <c r="G152" s="134"/>
      <c r="H152" s="134"/>
      <c r="I152" s="134"/>
      <c r="J152" s="134">
        <f t="shared" si="8"/>
        <v>503</v>
      </c>
      <c r="K152" s="134">
        <v>446</v>
      </c>
      <c r="L152" s="134">
        <v>949</v>
      </c>
    </row>
    <row r="153" spans="1:12" ht="15.5" x14ac:dyDescent="0.35">
      <c r="A153" s="417">
        <v>149</v>
      </c>
      <c r="B153" s="907"/>
      <c r="C153" s="420" t="s">
        <v>624</v>
      </c>
      <c r="D153" s="134">
        <f t="shared" si="6"/>
        <v>20</v>
      </c>
      <c r="E153" s="134">
        <v>12</v>
      </c>
      <c r="F153" s="134">
        <v>32</v>
      </c>
      <c r="G153" s="134"/>
      <c r="H153" s="134"/>
      <c r="I153" s="134"/>
      <c r="J153" s="134">
        <f t="shared" si="8"/>
        <v>987</v>
      </c>
      <c r="K153" s="134">
        <v>681</v>
      </c>
      <c r="L153" s="134">
        <v>1668</v>
      </c>
    </row>
    <row r="154" spans="1:12" ht="15.5" x14ac:dyDescent="0.3">
      <c r="A154" s="417">
        <v>150</v>
      </c>
      <c r="B154" s="906" t="s">
        <v>625</v>
      </c>
      <c r="C154" s="907"/>
      <c r="D154" s="304">
        <f t="shared" si="6"/>
        <v>970</v>
      </c>
      <c r="E154" s="304">
        <v>1009</v>
      </c>
      <c r="F154" s="304">
        <v>1979</v>
      </c>
      <c r="G154" s="304">
        <f t="shared" si="7"/>
        <v>6</v>
      </c>
      <c r="H154" s="304">
        <v>1</v>
      </c>
      <c r="I154" s="304">
        <v>7</v>
      </c>
      <c r="J154" s="304">
        <f t="shared" si="8"/>
        <v>169358</v>
      </c>
      <c r="K154" s="304">
        <v>136209</v>
      </c>
      <c r="L154" s="304">
        <v>305567</v>
      </c>
    </row>
    <row r="155" spans="1:12" ht="31" x14ac:dyDescent="0.35">
      <c r="A155" s="417">
        <v>151</v>
      </c>
      <c r="B155" s="419" t="s">
        <v>476</v>
      </c>
      <c r="C155" s="420" t="s">
        <v>476</v>
      </c>
      <c r="D155" s="134">
        <f t="shared" si="6"/>
        <v>10</v>
      </c>
      <c r="E155" s="134">
        <v>22</v>
      </c>
      <c r="F155" s="134">
        <v>32</v>
      </c>
      <c r="G155" s="134"/>
      <c r="H155" s="134"/>
      <c r="I155" s="134"/>
      <c r="J155" s="134">
        <f t="shared" si="8"/>
        <v>181</v>
      </c>
      <c r="K155" s="134">
        <v>303</v>
      </c>
      <c r="L155" s="134">
        <v>484</v>
      </c>
    </row>
    <row r="156" spans="1:12" ht="15.5" x14ac:dyDescent="0.3">
      <c r="A156" s="417">
        <v>152</v>
      </c>
      <c r="B156" s="906" t="s">
        <v>626</v>
      </c>
      <c r="C156" s="907"/>
      <c r="D156" s="304">
        <f t="shared" si="6"/>
        <v>10</v>
      </c>
      <c r="E156" s="304">
        <v>22</v>
      </c>
      <c r="F156" s="304">
        <v>32</v>
      </c>
      <c r="G156" s="304"/>
      <c r="H156" s="304"/>
      <c r="I156" s="304"/>
      <c r="J156" s="304">
        <f t="shared" si="8"/>
        <v>181</v>
      </c>
      <c r="K156" s="304">
        <v>303</v>
      </c>
      <c r="L156" s="304">
        <v>484</v>
      </c>
    </row>
    <row r="157" spans="1:12" ht="15.5" x14ac:dyDescent="0.35">
      <c r="A157" s="417">
        <v>153</v>
      </c>
      <c r="B157" s="906" t="s">
        <v>478</v>
      </c>
      <c r="C157" s="420" t="s">
        <v>479</v>
      </c>
      <c r="D157" s="134">
        <f t="shared" si="6"/>
        <v>7</v>
      </c>
      <c r="E157" s="134">
        <v>7</v>
      </c>
      <c r="F157" s="134">
        <v>14</v>
      </c>
      <c r="G157" s="134"/>
      <c r="H157" s="134"/>
      <c r="I157" s="134"/>
      <c r="J157" s="134">
        <f t="shared" si="8"/>
        <v>200</v>
      </c>
      <c r="K157" s="134">
        <v>264</v>
      </c>
      <c r="L157" s="134">
        <v>464</v>
      </c>
    </row>
    <row r="158" spans="1:12" ht="15.5" x14ac:dyDescent="0.35">
      <c r="A158" s="417">
        <v>154</v>
      </c>
      <c r="B158" s="907"/>
      <c r="C158" s="420" t="s">
        <v>627</v>
      </c>
      <c r="D158" s="134">
        <f t="shared" si="6"/>
        <v>7</v>
      </c>
      <c r="E158" s="134">
        <v>7</v>
      </c>
      <c r="F158" s="134">
        <v>14</v>
      </c>
      <c r="G158" s="134"/>
      <c r="H158" s="134"/>
      <c r="I158" s="134"/>
      <c r="J158" s="134">
        <f t="shared" si="8"/>
        <v>966</v>
      </c>
      <c r="K158" s="134">
        <v>1269</v>
      </c>
      <c r="L158" s="134">
        <v>2235</v>
      </c>
    </row>
    <row r="159" spans="1:12" ht="15.5" x14ac:dyDescent="0.35">
      <c r="A159" s="417">
        <v>155</v>
      </c>
      <c r="B159" s="907"/>
      <c r="C159" s="420" t="s">
        <v>480</v>
      </c>
      <c r="D159" s="134">
        <f t="shared" si="6"/>
        <v>19</v>
      </c>
      <c r="E159" s="134">
        <v>16</v>
      </c>
      <c r="F159" s="134">
        <v>35</v>
      </c>
      <c r="G159" s="134"/>
      <c r="H159" s="134"/>
      <c r="I159" s="134"/>
      <c r="J159" s="134">
        <f t="shared" si="8"/>
        <v>736</v>
      </c>
      <c r="K159" s="134">
        <v>1722</v>
      </c>
      <c r="L159" s="134">
        <v>2458</v>
      </c>
    </row>
    <row r="160" spans="1:12" ht="15.5" x14ac:dyDescent="0.35">
      <c r="A160" s="417">
        <v>156</v>
      </c>
      <c r="B160" s="907"/>
      <c r="C160" s="420" t="s">
        <v>481</v>
      </c>
      <c r="D160" s="134">
        <f t="shared" si="6"/>
        <v>12</v>
      </c>
      <c r="E160" s="134">
        <v>12</v>
      </c>
      <c r="F160" s="134">
        <v>24</v>
      </c>
      <c r="G160" s="134"/>
      <c r="H160" s="134"/>
      <c r="I160" s="134"/>
      <c r="J160" s="134">
        <f t="shared" si="8"/>
        <v>168</v>
      </c>
      <c r="K160" s="134">
        <v>208</v>
      </c>
      <c r="L160" s="134">
        <v>376</v>
      </c>
    </row>
    <row r="161" spans="1:12" ht="15.5" x14ac:dyDescent="0.35">
      <c r="A161" s="417">
        <v>157</v>
      </c>
      <c r="B161" s="907"/>
      <c r="C161" s="420" t="s">
        <v>628</v>
      </c>
      <c r="D161" s="134"/>
      <c r="E161" s="134">
        <v>1</v>
      </c>
      <c r="F161" s="134">
        <v>1</v>
      </c>
      <c r="G161" s="134"/>
      <c r="H161" s="134"/>
      <c r="I161" s="134"/>
      <c r="J161" s="134"/>
      <c r="K161" s="134"/>
      <c r="L161" s="134"/>
    </row>
    <row r="162" spans="1:12" ht="15.5" x14ac:dyDescent="0.35">
      <c r="A162" s="417">
        <v>158</v>
      </c>
      <c r="B162" s="907"/>
      <c r="C162" s="420" t="s">
        <v>629</v>
      </c>
      <c r="D162" s="134"/>
      <c r="E162" s="134"/>
      <c r="F162" s="134"/>
      <c r="G162" s="134"/>
      <c r="H162" s="134"/>
      <c r="I162" s="134"/>
      <c r="J162" s="134">
        <f t="shared" si="8"/>
        <v>8</v>
      </c>
      <c r="K162" s="134">
        <v>14</v>
      </c>
      <c r="L162" s="134">
        <v>22</v>
      </c>
    </row>
    <row r="163" spans="1:12" ht="15.5" x14ac:dyDescent="0.35">
      <c r="A163" s="417">
        <v>159</v>
      </c>
      <c r="B163" s="907"/>
      <c r="C163" s="420" t="s">
        <v>630</v>
      </c>
      <c r="D163" s="134">
        <f t="shared" si="6"/>
        <v>12</v>
      </c>
      <c r="E163" s="134">
        <v>40</v>
      </c>
      <c r="F163" s="134">
        <v>52</v>
      </c>
      <c r="G163" s="134"/>
      <c r="H163" s="134"/>
      <c r="I163" s="134"/>
      <c r="J163" s="134">
        <f t="shared" si="8"/>
        <v>186</v>
      </c>
      <c r="K163" s="134">
        <v>280</v>
      </c>
      <c r="L163" s="134">
        <v>466</v>
      </c>
    </row>
    <row r="164" spans="1:12" ht="15.5" x14ac:dyDescent="0.35">
      <c r="A164" s="417">
        <v>160</v>
      </c>
      <c r="B164" s="907"/>
      <c r="C164" s="420" t="s">
        <v>631</v>
      </c>
      <c r="D164" s="134">
        <f t="shared" si="6"/>
        <v>91</v>
      </c>
      <c r="E164" s="134">
        <v>19</v>
      </c>
      <c r="F164" s="134">
        <v>110</v>
      </c>
      <c r="G164" s="134"/>
      <c r="H164" s="134"/>
      <c r="I164" s="134"/>
      <c r="J164" s="134">
        <f t="shared" si="8"/>
        <v>69</v>
      </c>
      <c r="K164" s="134">
        <v>33</v>
      </c>
      <c r="L164" s="134">
        <v>102</v>
      </c>
    </row>
    <row r="165" spans="1:12" ht="15.5" x14ac:dyDescent="0.35">
      <c r="A165" s="417">
        <v>161</v>
      </c>
      <c r="B165" s="907"/>
      <c r="C165" s="420" t="s">
        <v>482</v>
      </c>
      <c r="D165" s="134">
        <f t="shared" si="6"/>
        <v>17</v>
      </c>
      <c r="E165" s="134">
        <v>32</v>
      </c>
      <c r="F165" s="134">
        <v>49</v>
      </c>
      <c r="G165" s="134"/>
      <c r="H165" s="134"/>
      <c r="I165" s="134"/>
      <c r="J165" s="134">
        <f t="shared" si="8"/>
        <v>1637</v>
      </c>
      <c r="K165" s="134">
        <v>3656</v>
      </c>
      <c r="L165" s="134">
        <v>5293</v>
      </c>
    </row>
    <row r="166" spans="1:12" ht="15.5" x14ac:dyDescent="0.35">
      <c r="A166" s="417">
        <v>162</v>
      </c>
      <c r="B166" s="907"/>
      <c r="C166" s="420" t="s">
        <v>632</v>
      </c>
      <c r="D166" s="134">
        <f t="shared" si="6"/>
        <v>1</v>
      </c>
      <c r="E166" s="134"/>
      <c r="F166" s="134">
        <v>1</v>
      </c>
      <c r="G166" s="134"/>
      <c r="H166" s="134"/>
      <c r="I166" s="134"/>
      <c r="J166" s="134">
        <f t="shared" si="8"/>
        <v>206</v>
      </c>
      <c r="K166" s="134">
        <v>423</v>
      </c>
      <c r="L166" s="134">
        <v>629</v>
      </c>
    </row>
    <row r="167" spans="1:12" ht="15.5" x14ac:dyDescent="0.35">
      <c r="A167" s="417">
        <v>163</v>
      </c>
      <c r="B167" s="907"/>
      <c r="C167" s="420" t="s">
        <v>633</v>
      </c>
      <c r="D167" s="134">
        <f t="shared" si="6"/>
        <v>26</v>
      </c>
      <c r="E167" s="134">
        <v>13</v>
      </c>
      <c r="F167" s="134">
        <v>39</v>
      </c>
      <c r="G167" s="134"/>
      <c r="H167" s="134"/>
      <c r="I167" s="134"/>
      <c r="J167" s="134">
        <f t="shared" si="8"/>
        <v>13</v>
      </c>
      <c r="K167" s="134">
        <v>6</v>
      </c>
      <c r="L167" s="134">
        <v>19</v>
      </c>
    </row>
    <row r="168" spans="1:12" ht="15.5" x14ac:dyDescent="0.35">
      <c r="A168" s="417">
        <v>164</v>
      </c>
      <c r="B168" s="907"/>
      <c r="C168" s="420" t="s">
        <v>483</v>
      </c>
      <c r="D168" s="134">
        <f t="shared" si="6"/>
        <v>1</v>
      </c>
      <c r="E168" s="134">
        <v>4</v>
      </c>
      <c r="F168" s="134">
        <v>5</v>
      </c>
      <c r="G168" s="134"/>
      <c r="H168" s="134"/>
      <c r="I168" s="134"/>
      <c r="J168" s="134">
        <f t="shared" si="8"/>
        <v>311</v>
      </c>
      <c r="K168" s="134">
        <v>458</v>
      </c>
      <c r="L168" s="134">
        <v>769</v>
      </c>
    </row>
    <row r="169" spans="1:12" ht="31" x14ac:dyDescent="0.35">
      <c r="A169" s="417">
        <v>165</v>
      </c>
      <c r="B169" s="907"/>
      <c r="C169" s="420" t="s">
        <v>484</v>
      </c>
      <c r="D169" s="134">
        <f t="shared" si="6"/>
        <v>1</v>
      </c>
      <c r="E169" s="134">
        <v>2</v>
      </c>
      <c r="F169" s="134">
        <v>3</v>
      </c>
      <c r="G169" s="134"/>
      <c r="H169" s="134"/>
      <c r="I169" s="134"/>
      <c r="J169" s="134">
        <f t="shared" si="8"/>
        <v>2685</v>
      </c>
      <c r="K169" s="134">
        <v>2061</v>
      </c>
      <c r="L169" s="134">
        <v>4746</v>
      </c>
    </row>
    <row r="170" spans="1:12" ht="15.5" x14ac:dyDescent="0.35">
      <c r="A170" s="417">
        <v>166</v>
      </c>
      <c r="B170" s="907"/>
      <c r="C170" s="420" t="s">
        <v>634</v>
      </c>
      <c r="D170" s="134">
        <f t="shared" si="6"/>
        <v>69</v>
      </c>
      <c r="E170" s="134">
        <v>22</v>
      </c>
      <c r="F170" s="134">
        <v>91</v>
      </c>
      <c r="G170" s="134"/>
      <c r="H170" s="134"/>
      <c r="I170" s="134"/>
      <c r="J170" s="134">
        <f t="shared" si="8"/>
        <v>37</v>
      </c>
      <c r="K170" s="134">
        <v>11</v>
      </c>
      <c r="L170" s="134">
        <v>48</v>
      </c>
    </row>
    <row r="171" spans="1:12" ht="15.5" x14ac:dyDescent="0.35">
      <c r="A171" s="417">
        <v>167</v>
      </c>
      <c r="B171" s="907"/>
      <c r="C171" s="420" t="s">
        <v>485</v>
      </c>
      <c r="D171" s="134">
        <f t="shared" si="6"/>
        <v>37</v>
      </c>
      <c r="E171" s="134">
        <v>20</v>
      </c>
      <c r="F171" s="134">
        <v>57</v>
      </c>
      <c r="G171" s="134">
        <f t="shared" si="7"/>
        <v>2</v>
      </c>
      <c r="H171" s="134">
        <v>6</v>
      </c>
      <c r="I171" s="134">
        <v>8</v>
      </c>
      <c r="J171" s="134">
        <f t="shared" si="8"/>
        <v>2151</v>
      </c>
      <c r="K171" s="134">
        <v>1227</v>
      </c>
      <c r="L171" s="134">
        <v>3378</v>
      </c>
    </row>
    <row r="172" spans="1:12" ht="15.5" x14ac:dyDescent="0.35">
      <c r="A172" s="417">
        <v>168</v>
      </c>
      <c r="B172" s="907"/>
      <c r="C172" s="420" t="s">
        <v>486</v>
      </c>
      <c r="D172" s="134">
        <f t="shared" si="6"/>
        <v>4</v>
      </c>
      <c r="E172" s="134"/>
      <c r="F172" s="134">
        <v>4</v>
      </c>
      <c r="G172" s="134"/>
      <c r="H172" s="134"/>
      <c r="I172" s="134"/>
      <c r="J172" s="134">
        <f t="shared" si="8"/>
        <v>1682</v>
      </c>
      <c r="K172" s="134">
        <v>861</v>
      </c>
      <c r="L172" s="134">
        <v>2543</v>
      </c>
    </row>
    <row r="173" spans="1:12" ht="15.5" x14ac:dyDescent="0.35">
      <c r="A173" s="417">
        <v>169</v>
      </c>
      <c r="B173" s="907"/>
      <c r="C173" s="420" t="s">
        <v>487</v>
      </c>
      <c r="D173" s="134"/>
      <c r="E173" s="134">
        <v>1</v>
      </c>
      <c r="F173" s="134">
        <v>1</v>
      </c>
      <c r="G173" s="134"/>
      <c r="H173" s="134"/>
      <c r="I173" s="134"/>
      <c r="J173" s="134">
        <f t="shared" si="8"/>
        <v>176</v>
      </c>
      <c r="K173" s="134">
        <v>1558</v>
      </c>
      <c r="L173" s="134">
        <v>1734</v>
      </c>
    </row>
    <row r="174" spans="1:12" ht="15.5" x14ac:dyDescent="0.35">
      <c r="A174" s="417">
        <v>170</v>
      </c>
      <c r="B174" s="907"/>
      <c r="C174" s="420" t="s">
        <v>635</v>
      </c>
      <c r="D174" s="134">
        <f t="shared" si="6"/>
        <v>5</v>
      </c>
      <c r="E174" s="134">
        <v>2</v>
      </c>
      <c r="F174" s="134">
        <v>7</v>
      </c>
      <c r="G174" s="134"/>
      <c r="H174" s="134"/>
      <c r="I174" s="134"/>
      <c r="J174" s="134">
        <f t="shared" si="8"/>
        <v>15</v>
      </c>
      <c r="K174" s="134">
        <v>26</v>
      </c>
      <c r="L174" s="134">
        <v>41</v>
      </c>
    </row>
    <row r="175" spans="1:12" ht="15.5" x14ac:dyDescent="0.35">
      <c r="A175" s="417">
        <v>171</v>
      </c>
      <c r="B175" s="907"/>
      <c r="C175" s="420" t="s">
        <v>636</v>
      </c>
      <c r="D175" s="134">
        <f t="shared" si="6"/>
        <v>11</v>
      </c>
      <c r="E175" s="134">
        <v>3</v>
      </c>
      <c r="F175" s="134">
        <v>14</v>
      </c>
      <c r="G175" s="134"/>
      <c r="H175" s="134"/>
      <c r="I175" s="134"/>
      <c r="J175" s="134">
        <f t="shared" si="8"/>
        <v>6</v>
      </c>
      <c r="K175" s="134">
        <v>2</v>
      </c>
      <c r="L175" s="134">
        <v>8</v>
      </c>
    </row>
    <row r="176" spans="1:12" ht="15.5" x14ac:dyDescent="0.35">
      <c r="A176" s="417">
        <v>172</v>
      </c>
      <c r="B176" s="907"/>
      <c r="C176" s="420" t="s">
        <v>488</v>
      </c>
      <c r="D176" s="134">
        <f t="shared" si="6"/>
        <v>19</v>
      </c>
      <c r="E176" s="134">
        <v>22</v>
      </c>
      <c r="F176" s="134">
        <v>41</v>
      </c>
      <c r="G176" s="134"/>
      <c r="H176" s="134"/>
      <c r="I176" s="134"/>
      <c r="J176" s="134">
        <f t="shared" si="8"/>
        <v>262</v>
      </c>
      <c r="K176" s="134">
        <v>622</v>
      </c>
      <c r="L176" s="134">
        <v>884</v>
      </c>
    </row>
    <row r="177" spans="1:12" ht="15.5" x14ac:dyDescent="0.35">
      <c r="A177" s="417">
        <v>173</v>
      </c>
      <c r="B177" s="907"/>
      <c r="C177" s="420" t="s">
        <v>489</v>
      </c>
      <c r="D177" s="134"/>
      <c r="E177" s="134"/>
      <c r="F177" s="134"/>
      <c r="G177" s="134"/>
      <c r="H177" s="134"/>
      <c r="I177" s="134"/>
      <c r="J177" s="134">
        <f t="shared" si="8"/>
        <v>9</v>
      </c>
      <c r="K177" s="134">
        <v>9</v>
      </c>
      <c r="L177" s="134">
        <v>18</v>
      </c>
    </row>
    <row r="178" spans="1:12" ht="15.5" x14ac:dyDescent="0.35">
      <c r="A178" s="417">
        <v>174</v>
      </c>
      <c r="B178" s="907"/>
      <c r="C178" s="420" t="s">
        <v>490</v>
      </c>
      <c r="D178" s="134">
        <f t="shared" si="6"/>
        <v>2</v>
      </c>
      <c r="E178" s="134">
        <v>4</v>
      </c>
      <c r="F178" s="134">
        <v>6</v>
      </c>
      <c r="G178" s="134"/>
      <c r="H178" s="134"/>
      <c r="I178" s="134"/>
      <c r="J178" s="134">
        <f t="shared" si="8"/>
        <v>109</v>
      </c>
      <c r="K178" s="134">
        <v>208</v>
      </c>
      <c r="L178" s="134">
        <v>317</v>
      </c>
    </row>
    <row r="179" spans="1:12" ht="15.5" x14ac:dyDescent="0.35">
      <c r="A179" s="417">
        <v>175</v>
      </c>
      <c r="B179" s="907"/>
      <c r="C179" s="420" t="s">
        <v>637</v>
      </c>
      <c r="D179" s="134"/>
      <c r="E179" s="134">
        <v>2</v>
      </c>
      <c r="F179" s="134">
        <v>2</v>
      </c>
      <c r="G179" s="134"/>
      <c r="H179" s="134"/>
      <c r="I179" s="134"/>
      <c r="J179" s="134">
        <f t="shared" si="8"/>
        <v>19</v>
      </c>
      <c r="K179" s="134">
        <v>58</v>
      </c>
      <c r="L179" s="134">
        <v>77</v>
      </c>
    </row>
    <row r="180" spans="1:12" ht="15.5" x14ac:dyDescent="0.35">
      <c r="A180" s="417">
        <v>176</v>
      </c>
      <c r="B180" s="907"/>
      <c r="C180" s="420" t="s">
        <v>638</v>
      </c>
      <c r="D180" s="134">
        <f t="shared" si="6"/>
        <v>2</v>
      </c>
      <c r="E180" s="134"/>
      <c r="F180" s="134">
        <v>2</v>
      </c>
      <c r="G180" s="134"/>
      <c r="H180" s="134"/>
      <c r="I180" s="134"/>
      <c r="J180" s="134">
        <f t="shared" si="8"/>
        <v>16</v>
      </c>
      <c r="K180" s="134">
        <v>21</v>
      </c>
      <c r="L180" s="134">
        <v>37</v>
      </c>
    </row>
    <row r="181" spans="1:12" ht="15.5" x14ac:dyDescent="0.35">
      <c r="A181" s="417">
        <v>177</v>
      </c>
      <c r="B181" s="907"/>
      <c r="C181" s="420" t="s">
        <v>478</v>
      </c>
      <c r="D181" s="134"/>
      <c r="E181" s="134"/>
      <c r="F181" s="134"/>
      <c r="G181" s="134"/>
      <c r="H181" s="134"/>
      <c r="I181" s="134"/>
      <c r="J181" s="134">
        <f t="shared" si="8"/>
        <v>488</v>
      </c>
      <c r="K181" s="134">
        <v>744</v>
      </c>
      <c r="L181" s="134">
        <v>1232</v>
      </c>
    </row>
    <row r="182" spans="1:12" ht="15.5" x14ac:dyDescent="0.35">
      <c r="A182" s="417">
        <v>178</v>
      </c>
      <c r="B182" s="907"/>
      <c r="C182" s="420" t="s">
        <v>639</v>
      </c>
      <c r="D182" s="134">
        <f t="shared" si="6"/>
        <v>9</v>
      </c>
      <c r="E182" s="134">
        <v>17</v>
      </c>
      <c r="F182" s="134">
        <v>26</v>
      </c>
      <c r="G182" s="134"/>
      <c r="H182" s="134"/>
      <c r="I182" s="134"/>
      <c r="J182" s="134">
        <f t="shared" si="8"/>
        <v>229</v>
      </c>
      <c r="K182" s="134">
        <v>614</v>
      </c>
      <c r="L182" s="134">
        <v>843</v>
      </c>
    </row>
    <row r="183" spans="1:12" ht="15.5" x14ac:dyDescent="0.35">
      <c r="A183" s="417">
        <v>179</v>
      </c>
      <c r="B183" s="907"/>
      <c r="C183" s="420" t="s">
        <v>640</v>
      </c>
      <c r="D183" s="134">
        <f t="shared" si="6"/>
        <v>32</v>
      </c>
      <c r="E183" s="134">
        <v>15</v>
      </c>
      <c r="F183" s="134">
        <v>47</v>
      </c>
      <c r="G183" s="134"/>
      <c r="H183" s="134"/>
      <c r="I183" s="134"/>
      <c r="J183" s="134">
        <f t="shared" si="8"/>
        <v>33</v>
      </c>
      <c r="K183" s="134">
        <v>20</v>
      </c>
      <c r="L183" s="134">
        <v>53</v>
      </c>
    </row>
    <row r="184" spans="1:12" ht="15.5" x14ac:dyDescent="0.35">
      <c r="A184" s="417">
        <v>180</v>
      </c>
      <c r="B184" s="907"/>
      <c r="C184" s="420" t="s">
        <v>641</v>
      </c>
      <c r="D184" s="134">
        <f t="shared" si="6"/>
        <v>144</v>
      </c>
      <c r="E184" s="134">
        <v>38</v>
      </c>
      <c r="F184" s="134">
        <v>182</v>
      </c>
      <c r="G184" s="134"/>
      <c r="H184" s="134"/>
      <c r="I184" s="134"/>
      <c r="J184" s="134">
        <f t="shared" si="8"/>
        <v>48</v>
      </c>
      <c r="K184" s="134">
        <v>56</v>
      </c>
      <c r="L184" s="134">
        <v>104</v>
      </c>
    </row>
    <row r="185" spans="1:12" ht="15.5" x14ac:dyDescent="0.35">
      <c r="A185" s="417">
        <v>181</v>
      </c>
      <c r="B185" s="907"/>
      <c r="C185" s="420" t="s">
        <v>642</v>
      </c>
      <c r="D185" s="134"/>
      <c r="E185" s="134"/>
      <c r="F185" s="134"/>
      <c r="G185" s="134"/>
      <c r="H185" s="134"/>
      <c r="I185" s="134"/>
      <c r="J185" s="134">
        <f t="shared" si="8"/>
        <v>23</v>
      </c>
      <c r="K185" s="134">
        <v>31</v>
      </c>
      <c r="L185" s="134">
        <v>54</v>
      </c>
    </row>
    <row r="186" spans="1:12" ht="15.5" x14ac:dyDescent="0.35">
      <c r="A186" s="417">
        <v>182</v>
      </c>
      <c r="B186" s="907"/>
      <c r="C186" s="420" t="s">
        <v>113</v>
      </c>
      <c r="D186" s="134">
        <f t="shared" si="6"/>
        <v>22</v>
      </c>
      <c r="E186" s="134">
        <v>101</v>
      </c>
      <c r="F186" s="134">
        <v>123</v>
      </c>
      <c r="G186" s="134"/>
      <c r="H186" s="134"/>
      <c r="I186" s="134"/>
      <c r="J186" s="134">
        <f t="shared" si="8"/>
        <v>1526</v>
      </c>
      <c r="K186" s="134">
        <v>5874</v>
      </c>
      <c r="L186" s="134">
        <v>7400</v>
      </c>
    </row>
    <row r="187" spans="1:12" ht="15.5" x14ac:dyDescent="0.35">
      <c r="A187" s="417">
        <v>183</v>
      </c>
      <c r="B187" s="907"/>
      <c r="C187" s="420" t="s">
        <v>492</v>
      </c>
      <c r="D187" s="134"/>
      <c r="E187" s="134"/>
      <c r="F187" s="134"/>
      <c r="G187" s="134"/>
      <c r="H187" s="134"/>
      <c r="I187" s="134"/>
      <c r="J187" s="134">
        <f t="shared" si="8"/>
        <v>83</v>
      </c>
      <c r="K187" s="134">
        <v>185</v>
      </c>
      <c r="L187" s="134">
        <v>268</v>
      </c>
    </row>
    <row r="188" spans="1:12" ht="15.5" x14ac:dyDescent="0.35">
      <c r="A188" s="417">
        <v>184</v>
      </c>
      <c r="B188" s="907"/>
      <c r="C188" s="420" t="s">
        <v>643</v>
      </c>
      <c r="D188" s="134">
        <f t="shared" si="6"/>
        <v>71</v>
      </c>
      <c r="E188" s="134">
        <v>24</v>
      </c>
      <c r="F188" s="134">
        <v>95</v>
      </c>
      <c r="G188" s="134"/>
      <c r="H188" s="134"/>
      <c r="I188" s="134"/>
      <c r="J188" s="134">
        <f t="shared" si="8"/>
        <v>47</v>
      </c>
      <c r="K188" s="134">
        <v>38</v>
      </c>
      <c r="L188" s="134">
        <v>85</v>
      </c>
    </row>
    <row r="189" spans="1:12" ht="15.5" x14ac:dyDescent="0.35">
      <c r="A189" s="417">
        <v>185</v>
      </c>
      <c r="B189" s="907"/>
      <c r="C189" s="420" t="s">
        <v>493</v>
      </c>
      <c r="D189" s="134"/>
      <c r="E189" s="134"/>
      <c r="F189" s="134"/>
      <c r="G189" s="134"/>
      <c r="H189" s="134"/>
      <c r="I189" s="134"/>
      <c r="J189" s="134">
        <f t="shared" si="8"/>
        <v>410</v>
      </c>
      <c r="K189" s="134">
        <v>880</v>
      </c>
      <c r="L189" s="134">
        <v>1290</v>
      </c>
    </row>
    <row r="190" spans="1:12" ht="15.5" x14ac:dyDescent="0.35">
      <c r="A190" s="417">
        <v>186</v>
      </c>
      <c r="B190" s="907"/>
      <c r="C190" s="420" t="s">
        <v>644</v>
      </c>
      <c r="D190" s="134">
        <f t="shared" si="6"/>
        <v>1</v>
      </c>
      <c r="E190" s="134"/>
      <c r="F190" s="134">
        <v>1</v>
      </c>
      <c r="G190" s="134"/>
      <c r="H190" s="134"/>
      <c r="I190" s="134"/>
      <c r="J190" s="134">
        <f t="shared" si="8"/>
        <v>1173</v>
      </c>
      <c r="K190" s="134">
        <v>97</v>
      </c>
      <c r="L190" s="134">
        <v>1270</v>
      </c>
    </row>
    <row r="191" spans="1:12" ht="15.5" x14ac:dyDescent="0.35">
      <c r="A191" s="417">
        <v>187</v>
      </c>
      <c r="B191" s="907"/>
      <c r="C191" s="420" t="s">
        <v>494</v>
      </c>
      <c r="D191" s="134">
        <f t="shared" si="6"/>
        <v>194</v>
      </c>
      <c r="E191" s="134">
        <v>136</v>
      </c>
      <c r="F191" s="134">
        <v>330</v>
      </c>
      <c r="G191" s="134"/>
      <c r="H191" s="134">
        <v>20</v>
      </c>
      <c r="I191" s="134">
        <v>20</v>
      </c>
      <c r="J191" s="134">
        <f t="shared" si="8"/>
        <v>1808</v>
      </c>
      <c r="K191" s="134">
        <v>2024</v>
      </c>
      <c r="L191" s="134">
        <v>3832</v>
      </c>
    </row>
    <row r="192" spans="1:12" ht="15.5" x14ac:dyDescent="0.35">
      <c r="A192" s="417">
        <v>188</v>
      </c>
      <c r="B192" s="907"/>
      <c r="C192" s="420" t="s">
        <v>495</v>
      </c>
      <c r="D192" s="134"/>
      <c r="E192" s="134">
        <v>4</v>
      </c>
      <c r="F192" s="134">
        <v>4</v>
      </c>
      <c r="G192" s="134"/>
      <c r="H192" s="134"/>
      <c r="I192" s="134"/>
      <c r="J192" s="134">
        <f t="shared" si="8"/>
        <v>332</v>
      </c>
      <c r="K192" s="134">
        <v>954</v>
      </c>
      <c r="L192" s="134">
        <v>1286</v>
      </c>
    </row>
    <row r="193" spans="1:12" ht="15.5" x14ac:dyDescent="0.35">
      <c r="A193" s="417">
        <v>189</v>
      </c>
      <c r="B193" s="907"/>
      <c r="C193" s="420" t="s">
        <v>496</v>
      </c>
      <c r="D193" s="134">
        <f t="shared" si="6"/>
        <v>32</v>
      </c>
      <c r="E193" s="134">
        <v>20</v>
      </c>
      <c r="F193" s="134">
        <v>52</v>
      </c>
      <c r="G193" s="134"/>
      <c r="H193" s="134"/>
      <c r="I193" s="134"/>
      <c r="J193" s="134">
        <f t="shared" si="8"/>
        <v>720</v>
      </c>
      <c r="K193" s="134">
        <v>965</v>
      </c>
      <c r="L193" s="134">
        <v>1685</v>
      </c>
    </row>
    <row r="194" spans="1:12" ht="15.5" x14ac:dyDescent="0.35">
      <c r="A194" s="417">
        <v>190</v>
      </c>
      <c r="B194" s="907"/>
      <c r="C194" s="420" t="s">
        <v>497</v>
      </c>
      <c r="D194" s="134">
        <f t="shared" si="6"/>
        <v>338</v>
      </c>
      <c r="E194" s="134">
        <v>319</v>
      </c>
      <c r="F194" s="134">
        <v>657</v>
      </c>
      <c r="G194" s="134"/>
      <c r="H194" s="134"/>
      <c r="I194" s="134"/>
      <c r="J194" s="134">
        <f t="shared" si="8"/>
        <v>11549</v>
      </c>
      <c r="K194" s="134">
        <v>13993</v>
      </c>
      <c r="L194" s="134">
        <v>25542</v>
      </c>
    </row>
    <row r="195" spans="1:12" ht="15.5" x14ac:dyDescent="0.35">
      <c r="A195" s="417">
        <v>191</v>
      </c>
      <c r="B195" s="907"/>
      <c r="C195" s="420" t="s">
        <v>645</v>
      </c>
      <c r="D195" s="134">
        <f t="shared" si="6"/>
        <v>10</v>
      </c>
      <c r="E195" s="134">
        <v>7</v>
      </c>
      <c r="F195" s="134">
        <v>17</v>
      </c>
      <c r="G195" s="134"/>
      <c r="H195" s="134"/>
      <c r="I195" s="134"/>
      <c r="J195" s="134">
        <f t="shared" si="8"/>
        <v>118</v>
      </c>
      <c r="K195" s="134">
        <v>132</v>
      </c>
      <c r="L195" s="134">
        <v>250</v>
      </c>
    </row>
    <row r="196" spans="1:12" ht="15.5" x14ac:dyDescent="0.35">
      <c r="A196" s="417">
        <v>192</v>
      </c>
      <c r="B196" s="907"/>
      <c r="C196" s="420" t="s">
        <v>498</v>
      </c>
      <c r="D196" s="134">
        <f t="shared" si="6"/>
        <v>20</v>
      </c>
      <c r="E196" s="134">
        <v>8</v>
      </c>
      <c r="F196" s="134">
        <v>28</v>
      </c>
      <c r="G196" s="134"/>
      <c r="H196" s="134"/>
      <c r="I196" s="134"/>
      <c r="J196" s="134">
        <f t="shared" si="8"/>
        <v>1267</v>
      </c>
      <c r="K196" s="134">
        <v>2786</v>
      </c>
      <c r="L196" s="134">
        <v>4053</v>
      </c>
    </row>
    <row r="197" spans="1:12" ht="15.5" x14ac:dyDescent="0.35">
      <c r="A197" s="417">
        <v>193</v>
      </c>
      <c r="B197" s="907"/>
      <c r="C197" s="420" t="s">
        <v>646</v>
      </c>
      <c r="D197" s="134">
        <f t="shared" ref="D197:D260" si="9">F197-E197</f>
        <v>53</v>
      </c>
      <c r="E197" s="134">
        <v>32</v>
      </c>
      <c r="F197" s="134">
        <v>85</v>
      </c>
      <c r="G197" s="134"/>
      <c r="H197" s="134"/>
      <c r="I197" s="134"/>
      <c r="J197" s="134">
        <f t="shared" ref="J197:J259" si="10">L197-K197</f>
        <v>14</v>
      </c>
      <c r="K197" s="134">
        <v>13</v>
      </c>
      <c r="L197" s="134">
        <v>27</v>
      </c>
    </row>
    <row r="198" spans="1:12" ht="15.5" x14ac:dyDescent="0.35">
      <c r="A198" s="417">
        <v>194</v>
      </c>
      <c r="B198" s="907"/>
      <c r="C198" s="420" t="s">
        <v>499</v>
      </c>
      <c r="D198" s="134"/>
      <c r="E198" s="134"/>
      <c r="F198" s="134"/>
      <c r="G198" s="134"/>
      <c r="H198" s="134"/>
      <c r="I198" s="134"/>
      <c r="J198" s="134">
        <f t="shared" si="10"/>
        <v>14</v>
      </c>
      <c r="K198" s="134">
        <v>5</v>
      </c>
      <c r="L198" s="134">
        <v>19</v>
      </c>
    </row>
    <row r="199" spans="1:12" ht="15.5" x14ac:dyDescent="0.35">
      <c r="A199" s="417">
        <v>195</v>
      </c>
      <c r="B199" s="907"/>
      <c r="C199" s="420" t="s">
        <v>647</v>
      </c>
      <c r="D199" s="134">
        <f t="shared" si="9"/>
        <v>8</v>
      </c>
      <c r="E199" s="134">
        <v>6</v>
      </c>
      <c r="F199" s="134">
        <v>14</v>
      </c>
      <c r="G199" s="134">
        <f t="shared" ref="G199:G259" si="11">I199-H199</f>
        <v>4</v>
      </c>
      <c r="H199" s="134">
        <v>30</v>
      </c>
      <c r="I199" s="134">
        <v>34</v>
      </c>
      <c r="J199" s="134">
        <f t="shared" si="10"/>
        <v>266</v>
      </c>
      <c r="K199" s="134">
        <v>434</v>
      </c>
      <c r="L199" s="134">
        <v>700</v>
      </c>
    </row>
    <row r="200" spans="1:12" ht="15.5" x14ac:dyDescent="0.35">
      <c r="A200" s="417">
        <v>196</v>
      </c>
      <c r="B200" s="907"/>
      <c r="C200" s="420" t="s">
        <v>500</v>
      </c>
      <c r="D200" s="134">
        <f t="shared" si="9"/>
        <v>5</v>
      </c>
      <c r="E200" s="134">
        <v>1</v>
      </c>
      <c r="F200" s="134">
        <v>6</v>
      </c>
      <c r="G200" s="134"/>
      <c r="H200" s="134"/>
      <c r="I200" s="134"/>
      <c r="J200" s="134">
        <f t="shared" si="10"/>
        <v>524</v>
      </c>
      <c r="K200" s="134">
        <v>964</v>
      </c>
      <c r="L200" s="134">
        <v>1488</v>
      </c>
    </row>
    <row r="201" spans="1:12" ht="15.5" x14ac:dyDescent="0.35">
      <c r="A201" s="417">
        <v>197</v>
      </c>
      <c r="B201" s="907"/>
      <c r="C201" s="420" t="s">
        <v>648</v>
      </c>
      <c r="D201" s="134">
        <f t="shared" si="9"/>
        <v>6</v>
      </c>
      <c r="E201" s="134">
        <v>1</v>
      </c>
      <c r="F201" s="134">
        <v>7</v>
      </c>
      <c r="G201" s="134"/>
      <c r="H201" s="134"/>
      <c r="I201" s="134"/>
      <c r="J201" s="134">
        <f t="shared" si="10"/>
        <v>618</v>
      </c>
      <c r="K201" s="134">
        <v>603</v>
      </c>
      <c r="L201" s="134">
        <v>1221</v>
      </c>
    </row>
    <row r="202" spans="1:12" ht="15.5" x14ac:dyDescent="0.35">
      <c r="A202" s="417">
        <v>198</v>
      </c>
      <c r="B202" s="907"/>
      <c r="C202" s="420" t="s">
        <v>649</v>
      </c>
      <c r="D202" s="134">
        <f t="shared" si="9"/>
        <v>1</v>
      </c>
      <c r="E202" s="134">
        <v>1</v>
      </c>
      <c r="F202" s="134">
        <v>2</v>
      </c>
      <c r="G202" s="134"/>
      <c r="H202" s="134"/>
      <c r="I202" s="134"/>
      <c r="J202" s="134">
        <f t="shared" si="10"/>
        <v>92</v>
      </c>
      <c r="K202" s="134">
        <v>90</v>
      </c>
      <c r="L202" s="134">
        <v>182</v>
      </c>
    </row>
    <row r="203" spans="1:12" ht="15.5" x14ac:dyDescent="0.35">
      <c r="A203" s="417">
        <v>199</v>
      </c>
      <c r="B203" s="907"/>
      <c r="C203" s="420" t="s">
        <v>501</v>
      </c>
      <c r="D203" s="134"/>
      <c r="E203" s="134"/>
      <c r="F203" s="134"/>
      <c r="G203" s="134"/>
      <c r="H203" s="134"/>
      <c r="I203" s="134"/>
      <c r="J203" s="134">
        <f t="shared" si="10"/>
        <v>28</v>
      </c>
      <c r="K203" s="134">
        <v>66</v>
      </c>
      <c r="L203" s="134">
        <v>94</v>
      </c>
    </row>
    <row r="204" spans="1:12" ht="15.5" x14ac:dyDescent="0.35">
      <c r="A204" s="417">
        <v>200</v>
      </c>
      <c r="B204" s="907"/>
      <c r="C204" s="420" t="s">
        <v>650</v>
      </c>
      <c r="D204" s="134">
        <f t="shared" si="9"/>
        <v>82</v>
      </c>
      <c r="E204" s="134">
        <v>7</v>
      </c>
      <c r="F204" s="134">
        <v>89</v>
      </c>
      <c r="G204" s="134"/>
      <c r="H204" s="134"/>
      <c r="I204" s="134"/>
      <c r="J204" s="134">
        <f t="shared" si="10"/>
        <v>28</v>
      </c>
      <c r="K204" s="134">
        <v>10</v>
      </c>
      <c r="L204" s="134">
        <v>38</v>
      </c>
    </row>
    <row r="205" spans="1:12" ht="15.5" x14ac:dyDescent="0.3">
      <c r="A205" s="417">
        <v>201</v>
      </c>
      <c r="B205" s="906" t="s">
        <v>502</v>
      </c>
      <c r="C205" s="907"/>
      <c r="D205" s="304">
        <f t="shared" si="9"/>
        <v>1371</v>
      </c>
      <c r="E205" s="304">
        <v>966</v>
      </c>
      <c r="F205" s="304">
        <v>2337</v>
      </c>
      <c r="G205" s="304">
        <f t="shared" si="11"/>
        <v>6</v>
      </c>
      <c r="H205" s="304">
        <v>56</v>
      </c>
      <c r="I205" s="304">
        <v>62</v>
      </c>
      <c r="J205" s="304">
        <f t="shared" si="10"/>
        <v>33105</v>
      </c>
      <c r="K205" s="304">
        <v>46575</v>
      </c>
      <c r="L205" s="304">
        <v>79680</v>
      </c>
    </row>
    <row r="206" spans="1:12" ht="15.5" x14ac:dyDescent="0.35">
      <c r="A206" s="417">
        <v>202</v>
      </c>
      <c r="B206" s="419" t="s">
        <v>113</v>
      </c>
      <c r="C206" s="420" t="s">
        <v>113</v>
      </c>
      <c r="D206" s="134"/>
      <c r="E206" s="134"/>
      <c r="F206" s="134"/>
      <c r="G206" s="134"/>
      <c r="H206" s="134"/>
      <c r="I206" s="134"/>
      <c r="J206" s="134">
        <f t="shared" si="10"/>
        <v>41</v>
      </c>
      <c r="K206" s="134">
        <v>150</v>
      </c>
      <c r="L206" s="134">
        <v>191</v>
      </c>
    </row>
    <row r="207" spans="1:12" ht="15.5" x14ac:dyDescent="0.3">
      <c r="A207" s="417">
        <v>203</v>
      </c>
      <c r="B207" s="906" t="s">
        <v>651</v>
      </c>
      <c r="C207" s="907"/>
      <c r="D207" s="304"/>
      <c r="E207" s="304"/>
      <c r="F207" s="304"/>
      <c r="G207" s="304"/>
      <c r="H207" s="304"/>
      <c r="I207" s="304"/>
      <c r="J207" s="304">
        <f t="shared" si="10"/>
        <v>41</v>
      </c>
      <c r="K207" s="304">
        <v>150</v>
      </c>
      <c r="L207" s="304">
        <v>191</v>
      </c>
    </row>
    <row r="208" spans="1:12" ht="15.5" x14ac:dyDescent="0.35">
      <c r="A208" s="417">
        <v>204</v>
      </c>
      <c r="B208" s="906" t="s">
        <v>503</v>
      </c>
      <c r="C208" s="420" t="s">
        <v>652</v>
      </c>
      <c r="D208" s="134">
        <f t="shared" si="9"/>
        <v>12</v>
      </c>
      <c r="E208" s="134">
        <v>2</v>
      </c>
      <c r="F208" s="134">
        <v>14</v>
      </c>
      <c r="G208" s="134"/>
      <c r="H208" s="134"/>
      <c r="I208" s="134"/>
      <c r="J208" s="134">
        <f t="shared" si="10"/>
        <v>210</v>
      </c>
      <c r="K208" s="134">
        <v>31</v>
      </c>
      <c r="L208" s="134">
        <v>241</v>
      </c>
    </row>
    <row r="209" spans="1:12" ht="15.5" x14ac:dyDescent="0.35">
      <c r="A209" s="417">
        <v>205</v>
      </c>
      <c r="B209" s="907"/>
      <c r="C209" s="420" t="s">
        <v>653</v>
      </c>
      <c r="D209" s="134"/>
      <c r="E209" s="134"/>
      <c r="F209" s="134"/>
      <c r="G209" s="134"/>
      <c r="H209" s="134"/>
      <c r="I209" s="134"/>
      <c r="J209" s="134">
        <f t="shared" si="10"/>
        <v>7</v>
      </c>
      <c r="K209" s="134"/>
      <c r="L209" s="134">
        <v>7</v>
      </c>
    </row>
    <row r="210" spans="1:12" ht="15.5" x14ac:dyDescent="0.35">
      <c r="A210" s="417">
        <v>206</v>
      </c>
      <c r="B210" s="907"/>
      <c r="C210" s="420" t="s">
        <v>503</v>
      </c>
      <c r="D210" s="134">
        <f t="shared" si="9"/>
        <v>175</v>
      </c>
      <c r="E210" s="134">
        <v>65</v>
      </c>
      <c r="F210" s="134">
        <v>240</v>
      </c>
      <c r="G210" s="134"/>
      <c r="H210" s="134"/>
      <c r="I210" s="134"/>
      <c r="J210" s="134">
        <f t="shared" si="10"/>
        <v>5884</v>
      </c>
      <c r="K210" s="134">
        <v>3583</v>
      </c>
      <c r="L210" s="134">
        <v>9467</v>
      </c>
    </row>
    <row r="211" spans="1:12" ht="15.5" x14ac:dyDescent="0.35">
      <c r="A211" s="417">
        <v>207</v>
      </c>
      <c r="B211" s="907"/>
      <c r="C211" s="420" t="s">
        <v>654</v>
      </c>
      <c r="D211" s="134">
        <f t="shared" si="9"/>
        <v>9</v>
      </c>
      <c r="E211" s="134"/>
      <c r="F211" s="134">
        <v>9</v>
      </c>
      <c r="G211" s="134"/>
      <c r="H211" s="134"/>
      <c r="I211" s="134"/>
      <c r="J211" s="134">
        <f t="shared" si="10"/>
        <v>185</v>
      </c>
      <c r="K211" s="134">
        <v>52</v>
      </c>
      <c r="L211" s="134">
        <v>237</v>
      </c>
    </row>
    <row r="212" spans="1:12" ht="15.5" x14ac:dyDescent="0.3">
      <c r="A212" s="417">
        <v>208</v>
      </c>
      <c r="B212" s="906" t="s">
        <v>655</v>
      </c>
      <c r="C212" s="907"/>
      <c r="D212" s="304">
        <f t="shared" si="9"/>
        <v>196</v>
      </c>
      <c r="E212" s="304">
        <v>67</v>
      </c>
      <c r="F212" s="304">
        <v>263</v>
      </c>
      <c r="G212" s="304"/>
      <c r="H212" s="304"/>
      <c r="I212" s="304"/>
      <c r="J212" s="304">
        <f t="shared" si="10"/>
        <v>6286</v>
      </c>
      <c r="K212" s="304">
        <v>3666</v>
      </c>
      <c r="L212" s="304">
        <v>9952</v>
      </c>
    </row>
    <row r="213" spans="1:12" ht="15.5" x14ac:dyDescent="0.35">
      <c r="A213" s="417">
        <v>209</v>
      </c>
      <c r="B213" s="419" t="s">
        <v>504</v>
      </c>
      <c r="C213" s="420" t="s">
        <v>656</v>
      </c>
      <c r="D213" s="134"/>
      <c r="E213" s="134"/>
      <c r="F213" s="134"/>
      <c r="G213" s="134"/>
      <c r="H213" s="134"/>
      <c r="I213" s="134"/>
      <c r="J213" s="134">
        <f t="shared" si="10"/>
        <v>397</v>
      </c>
      <c r="K213" s="134">
        <v>530</v>
      </c>
      <c r="L213" s="134">
        <v>927</v>
      </c>
    </row>
    <row r="214" spans="1:12" ht="15.5" x14ac:dyDescent="0.3">
      <c r="A214" s="417">
        <v>210</v>
      </c>
      <c r="B214" s="906" t="s">
        <v>657</v>
      </c>
      <c r="C214" s="907"/>
      <c r="D214" s="304"/>
      <c r="E214" s="304"/>
      <c r="F214" s="304"/>
      <c r="G214" s="304"/>
      <c r="H214" s="304"/>
      <c r="I214" s="304"/>
      <c r="J214" s="304">
        <f t="shared" si="10"/>
        <v>397</v>
      </c>
      <c r="K214" s="304">
        <v>530</v>
      </c>
      <c r="L214" s="304">
        <v>927</v>
      </c>
    </row>
    <row r="215" spans="1:12" ht="15.5" x14ac:dyDescent="0.35">
      <c r="A215" s="417">
        <v>211</v>
      </c>
      <c r="B215" s="419" t="s">
        <v>505</v>
      </c>
      <c r="C215" s="420" t="s">
        <v>505</v>
      </c>
      <c r="D215" s="134"/>
      <c r="E215" s="134"/>
      <c r="F215" s="134"/>
      <c r="G215" s="134"/>
      <c r="H215" s="134"/>
      <c r="I215" s="134"/>
      <c r="J215" s="134">
        <f t="shared" si="10"/>
        <v>75</v>
      </c>
      <c r="K215" s="134">
        <v>110</v>
      </c>
      <c r="L215" s="134">
        <v>185</v>
      </c>
    </row>
    <row r="216" spans="1:12" ht="15.5" x14ac:dyDescent="0.3">
      <c r="A216" s="417">
        <v>212</v>
      </c>
      <c r="B216" s="906" t="s">
        <v>658</v>
      </c>
      <c r="C216" s="907"/>
      <c r="D216" s="304"/>
      <c r="E216" s="304"/>
      <c r="F216" s="304"/>
      <c r="G216" s="304"/>
      <c r="H216" s="304"/>
      <c r="I216" s="304"/>
      <c r="J216" s="304">
        <f t="shared" si="10"/>
        <v>75</v>
      </c>
      <c r="K216" s="304">
        <v>110</v>
      </c>
      <c r="L216" s="304">
        <v>185</v>
      </c>
    </row>
    <row r="217" spans="1:12" ht="15.5" x14ac:dyDescent="0.35">
      <c r="A217" s="417">
        <v>213</v>
      </c>
      <c r="B217" s="906" t="s">
        <v>506</v>
      </c>
      <c r="C217" s="420" t="s">
        <v>506</v>
      </c>
      <c r="D217" s="134">
        <f t="shared" si="9"/>
        <v>96</v>
      </c>
      <c r="E217" s="134">
        <v>53</v>
      </c>
      <c r="F217" s="134">
        <v>149</v>
      </c>
      <c r="G217" s="134">
        <f t="shared" si="11"/>
        <v>9</v>
      </c>
      <c r="H217" s="134">
        <v>2</v>
      </c>
      <c r="I217" s="134">
        <v>11</v>
      </c>
      <c r="J217" s="134">
        <f t="shared" si="10"/>
        <v>3671</v>
      </c>
      <c r="K217" s="134">
        <v>1870</v>
      </c>
      <c r="L217" s="134">
        <v>5541</v>
      </c>
    </row>
    <row r="218" spans="1:12" ht="15.5" x14ac:dyDescent="0.35">
      <c r="A218" s="417">
        <v>214</v>
      </c>
      <c r="B218" s="907"/>
      <c r="C218" s="420" t="s">
        <v>524</v>
      </c>
      <c r="D218" s="134">
        <f t="shared" si="9"/>
        <v>18</v>
      </c>
      <c r="E218" s="134">
        <v>12</v>
      </c>
      <c r="F218" s="134">
        <v>30</v>
      </c>
      <c r="G218" s="134"/>
      <c r="H218" s="134"/>
      <c r="I218" s="134"/>
      <c r="J218" s="134">
        <f t="shared" si="10"/>
        <v>127</v>
      </c>
      <c r="K218" s="134">
        <v>108</v>
      </c>
      <c r="L218" s="134">
        <v>235</v>
      </c>
    </row>
    <row r="219" spans="1:12" ht="15.5" x14ac:dyDescent="0.3">
      <c r="A219" s="417">
        <v>215</v>
      </c>
      <c r="B219" s="906" t="s">
        <v>659</v>
      </c>
      <c r="C219" s="907"/>
      <c r="D219" s="304">
        <f t="shared" si="9"/>
        <v>114</v>
      </c>
      <c r="E219" s="304">
        <v>65</v>
      </c>
      <c r="F219" s="304">
        <v>179</v>
      </c>
      <c r="G219" s="304">
        <f t="shared" si="11"/>
        <v>9</v>
      </c>
      <c r="H219" s="304">
        <v>2</v>
      </c>
      <c r="I219" s="304">
        <v>11</v>
      </c>
      <c r="J219" s="304">
        <f t="shared" si="10"/>
        <v>3798</v>
      </c>
      <c r="K219" s="304">
        <v>1978</v>
      </c>
      <c r="L219" s="304">
        <v>5776</v>
      </c>
    </row>
    <row r="220" spans="1:12" ht="31" x14ac:dyDescent="0.35">
      <c r="A220" s="417">
        <v>216</v>
      </c>
      <c r="B220" s="419" t="s">
        <v>507</v>
      </c>
      <c r="C220" s="420" t="s">
        <v>507</v>
      </c>
      <c r="D220" s="134"/>
      <c r="E220" s="134"/>
      <c r="F220" s="134"/>
      <c r="G220" s="134"/>
      <c r="H220" s="134"/>
      <c r="I220" s="134"/>
      <c r="J220" s="134">
        <f t="shared" si="10"/>
        <v>58</v>
      </c>
      <c r="K220" s="134">
        <v>30</v>
      </c>
      <c r="L220" s="134">
        <v>88</v>
      </c>
    </row>
    <row r="221" spans="1:12" ht="15.5" x14ac:dyDescent="0.3">
      <c r="A221" s="417">
        <v>217</v>
      </c>
      <c r="B221" s="906" t="s">
        <v>660</v>
      </c>
      <c r="C221" s="907"/>
      <c r="D221" s="304"/>
      <c r="E221" s="304"/>
      <c r="F221" s="304"/>
      <c r="G221" s="304"/>
      <c r="H221" s="304"/>
      <c r="I221" s="304"/>
      <c r="J221" s="304">
        <f t="shared" si="10"/>
        <v>58</v>
      </c>
      <c r="K221" s="304">
        <v>30</v>
      </c>
      <c r="L221" s="304">
        <v>88</v>
      </c>
    </row>
    <row r="222" spans="1:12" ht="15.5" x14ac:dyDescent="0.35">
      <c r="A222" s="417">
        <v>218</v>
      </c>
      <c r="B222" s="419" t="s">
        <v>661</v>
      </c>
      <c r="C222" s="420" t="s">
        <v>567</v>
      </c>
      <c r="D222" s="134"/>
      <c r="E222" s="134"/>
      <c r="F222" s="134"/>
      <c r="G222" s="134"/>
      <c r="H222" s="134"/>
      <c r="I222" s="134"/>
      <c r="J222" s="134">
        <f t="shared" si="10"/>
        <v>164</v>
      </c>
      <c r="K222" s="134">
        <v>494</v>
      </c>
      <c r="L222" s="134">
        <v>658</v>
      </c>
    </row>
    <row r="223" spans="1:12" ht="15.5" x14ac:dyDescent="0.3">
      <c r="A223" s="417">
        <v>219</v>
      </c>
      <c r="B223" s="906" t="s">
        <v>662</v>
      </c>
      <c r="C223" s="907"/>
      <c r="D223" s="304"/>
      <c r="E223" s="304"/>
      <c r="F223" s="304"/>
      <c r="G223" s="304"/>
      <c r="H223" s="304"/>
      <c r="I223" s="304"/>
      <c r="J223" s="304">
        <f t="shared" si="10"/>
        <v>164</v>
      </c>
      <c r="K223" s="304">
        <v>494</v>
      </c>
      <c r="L223" s="304">
        <v>658</v>
      </c>
    </row>
    <row r="224" spans="1:12" ht="15.5" x14ac:dyDescent="0.35">
      <c r="A224" s="417">
        <v>220</v>
      </c>
      <c r="B224" s="906" t="s">
        <v>509</v>
      </c>
      <c r="C224" s="420" t="s">
        <v>664</v>
      </c>
      <c r="D224" s="134">
        <f t="shared" si="9"/>
        <v>17</v>
      </c>
      <c r="E224" s="134">
        <v>12</v>
      </c>
      <c r="F224" s="134">
        <v>29</v>
      </c>
      <c r="G224" s="134"/>
      <c r="H224" s="134"/>
      <c r="I224" s="134"/>
      <c r="J224" s="134">
        <f t="shared" si="10"/>
        <v>100</v>
      </c>
      <c r="K224" s="134">
        <v>86</v>
      </c>
      <c r="L224" s="134">
        <v>186</v>
      </c>
    </row>
    <row r="225" spans="1:12" ht="15.5" x14ac:dyDescent="0.35">
      <c r="A225" s="417">
        <v>221</v>
      </c>
      <c r="B225" s="907"/>
      <c r="C225" s="420" t="s">
        <v>665</v>
      </c>
      <c r="D225" s="134"/>
      <c r="E225" s="134"/>
      <c r="F225" s="134"/>
      <c r="G225" s="134"/>
      <c r="H225" s="134"/>
      <c r="I225" s="134"/>
      <c r="J225" s="134">
        <f t="shared" si="10"/>
        <v>10</v>
      </c>
      <c r="K225" s="134">
        <v>7</v>
      </c>
      <c r="L225" s="134">
        <v>17</v>
      </c>
    </row>
    <row r="226" spans="1:12" ht="15.5" x14ac:dyDescent="0.35">
      <c r="A226" s="417">
        <v>222</v>
      </c>
      <c r="B226" s="907"/>
      <c r="C226" s="420" t="s">
        <v>666</v>
      </c>
      <c r="D226" s="134">
        <f t="shared" si="9"/>
        <v>18</v>
      </c>
      <c r="E226" s="134">
        <v>10</v>
      </c>
      <c r="F226" s="134">
        <v>28</v>
      </c>
      <c r="G226" s="134"/>
      <c r="H226" s="134"/>
      <c r="I226" s="134"/>
      <c r="J226" s="134">
        <f t="shared" si="10"/>
        <v>230</v>
      </c>
      <c r="K226" s="134">
        <v>257</v>
      </c>
      <c r="L226" s="134">
        <v>487</v>
      </c>
    </row>
    <row r="227" spans="1:12" ht="15.5" x14ac:dyDescent="0.35">
      <c r="A227" s="417">
        <v>223</v>
      </c>
      <c r="B227" s="907"/>
      <c r="C227" s="420" t="s">
        <v>667</v>
      </c>
      <c r="D227" s="134">
        <f t="shared" si="9"/>
        <v>2</v>
      </c>
      <c r="E227" s="134">
        <v>4</v>
      </c>
      <c r="F227" s="134">
        <v>6</v>
      </c>
      <c r="G227" s="134"/>
      <c r="H227" s="134"/>
      <c r="I227" s="134"/>
      <c r="J227" s="134">
        <f t="shared" si="10"/>
        <v>14</v>
      </c>
      <c r="K227" s="134">
        <v>17</v>
      </c>
      <c r="L227" s="134">
        <v>31</v>
      </c>
    </row>
    <row r="228" spans="1:12" ht="15.5" x14ac:dyDescent="0.35">
      <c r="A228" s="417">
        <v>224</v>
      </c>
      <c r="B228" s="907"/>
      <c r="C228" s="420" t="s">
        <v>509</v>
      </c>
      <c r="D228" s="134">
        <f t="shared" si="9"/>
        <v>12</v>
      </c>
      <c r="E228" s="134">
        <v>4</v>
      </c>
      <c r="F228" s="134">
        <v>16</v>
      </c>
      <c r="G228" s="134"/>
      <c r="H228" s="134"/>
      <c r="I228" s="134"/>
      <c r="J228" s="134">
        <f t="shared" si="10"/>
        <v>1061</v>
      </c>
      <c r="K228" s="134">
        <v>1066</v>
      </c>
      <c r="L228" s="134">
        <v>2127</v>
      </c>
    </row>
    <row r="229" spans="1:12" ht="15.5" x14ac:dyDescent="0.35">
      <c r="A229" s="417">
        <v>225</v>
      </c>
      <c r="B229" s="907"/>
      <c r="C229" s="420" t="s">
        <v>668</v>
      </c>
      <c r="D229" s="134">
        <f t="shared" si="9"/>
        <v>4</v>
      </c>
      <c r="E229" s="134">
        <v>4</v>
      </c>
      <c r="F229" s="134">
        <v>8</v>
      </c>
      <c r="G229" s="134"/>
      <c r="H229" s="134"/>
      <c r="I229" s="134"/>
      <c r="J229" s="134">
        <f t="shared" si="10"/>
        <v>104</v>
      </c>
      <c r="K229" s="134">
        <v>54</v>
      </c>
      <c r="L229" s="134">
        <v>158</v>
      </c>
    </row>
    <row r="230" spans="1:12" ht="15.5" x14ac:dyDescent="0.3">
      <c r="A230" s="417">
        <v>226</v>
      </c>
      <c r="B230" s="906" t="s">
        <v>669</v>
      </c>
      <c r="C230" s="907"/>
      <c r="D230" s="304">
        <f t="shared" si="9"/>
        <v>53</v>
      </c>
      <c r="E230" s="304">
        <v>34</v>
      </c>
      <c r="F230" s="304">
        <v>87</v>
      </c>
      <c r="G230" s="304"/>
      <c r="H230" s="304"/>
      <c r="I230" s="304"/>
      <c r="J230" s="304">
        <f t="shared" si="10"/>
        <v>1519</v>
      </c>
      <c r="K230" s="304">
        <v>1487</v>
      </c>
      <c r="L230" s="304">
        <v>3006</v>
      </c>
    </row>
    <row r="231" spans="1:12" ht="15.5" x14ac:dyDescent="0.35">
      <c r="A231" s="417">
        <v>227</v>
      </c>
      <c r="B231" s="419" t="s">
        <v>510</v>
      </c>
      <c r="C231" s="420" t="s">
        <v>670</v>
      </c>
      <c r="D231" s="134"/>
      <c r="E231" s="134"/>
      <c r="F231" s="134"/>
      <c r="G231" s="134"/>
      <c r="H231" s="134"/>
      <c r="I231" s="134"/>
      <c r="J231" s="134"/>
      <c r="K231" s="134">
        <v>3</v>
      </c>
      <c r="L231" s="134">
        <v>3</v>
      </c>
    </row>
    <row r="232" spans="1:12" ht="15.5" x14ac:dyDescent="0.3">
      <c r="A232" s="417">
        <v>228</v>
      </c>
      <c r="B232" s="906" t="s">
        <v>671</v>
      </c>
      <c r="C232" s="907"/>
      <c r="D232" s="304"/>
      <c r="E232" s="304"/>
      <c r="F232" s="304"/>
      <c r="G232" s="304"/>
      <c r="H232" s="304"/>
      <c r="I232" s="304"/>
      <c r="J232" s="304"/>
      <c r="K232" s="304">
        <v>3</v>
      </c>
      <c r="L232" s="304">
        <v>3</v>
      </c>
    </row>
    <row r="233" spans="1:12" ht="31" x14ac:dyDescent="0.35">
      <c r="A233" s="417">
        <v>229</v>
      </c>
      <c r="B233" s="906" t="s">
        <v>72</v>
      </c>
      <c r="C233" s="420" t="s">
        <v>672</v>
      </c>
      <c r="D233" s="134"/>
      <c r="E233" s="134"/>
      <c r="F233" s="134"/>
      <c r="G233" s="134"/>
      <c r="H233" s="134"/>
      <c r="I233" s="134"/>
      <c r="J233" s="134">
        <f t="shared" si="10"/>
        <v>1211</v>
      </c>
      <c r="K233" s="134">
        <v>416</v>
      </c>
      <c r="L233" s="134">
        <v>1627</v>
      </c>
    </row>
    <row r="234" spans="1:12" ht="15.5" x14ac:dyDescent="0.35">
      <c r="A234" s="417">
        <v>230</v>
      </c>
      <c r="B234" s="907"/>
      <c r="C234" s="420" t="s">
        <v>481</v>
      </c>
      <c r="D234" s="134">
        <f t="shared" si="9"/>
        <v>48</v>
      </c>
      <c r="E234" s="134">
        <v>62</v>
      </c>
      <c r="F234" s="134">
        <v>110</v>
      </c>
      <c r="G234" s="134"/>
      <c r="H234" s="134">
        <v>5</v>
      </c>
      <c r="I234" s="134">
        <v>5</v>
      </c>
      <c r="J234" s="134">
        <f t="shared" si="10"/>
        <v>873</v>
      </c>
      <c r="K234" s="134">
        <v>1974</v>
      </c>
      <c r="L234" s="134">
        <v>2847</v>
      </c>
    </row>
    <row r="235" spans="1:12" ht="15.5" x14ac:dyDescent="0.35">
      <c r="A235" s="417">
        <v>231</v>
      </c>
      <c r="B235" s="907"/>
      <c r="C235" s="420" t="s">
        <v>673</v>
      </c>
      <c r="D235" s="134">
        <f t="shared" si="9"/>
        <v>105</v>
      </c>
      <c r="E235" s="134">
        <v>180</v>
      </c>
      <c r="F235" s="134">
        <v>285</v>
      </c>
      <c r="G235" s="134"/>
      <c r="H235" s="134">
        <v>3</v>
      </c>
      <c r="I235" s="134">
        <v>3</v>
      </c>
      <c r="J235" s="134">
        <f t="shared" si="10"/>
        <v>3354</v>
      </c>
      <c r="K235" s="134">
        <v>7020</v>
      </c>
      <c r="L235" s="134">
        <v>10374</v>
      </c>
    </row>
    <row r="236" spans="1:12" ht="15.5" x14ac:dyDescent="0.35">
      <c r="A236" s="417">
        <v>232</v>
      </c>
      <c r="B236" s="907"/>
      <c r="C236" s="420" t="s">
        <v>630</v>
      </c>
      <c r="D236" s="134">
        <f t="shared" si="9"/>
        <v>102</v>
      </c>
      <c r="E236" s="134">
        <v>151</v>
      </c>
      <c r="F236" s="134">
        <v>253</v>
      </c>
      <c r="G236" s="134"/>
      <c r="H236" s="134">
        <v>6</v>
      </c>
      <c r="I236" s="134">
        <v>6</v>
      </c>
      <c r="J236" s="134">
        <f t="shared" si="10"/>
        <v>2241</v>
      </c>
      <c r="K236" s="134">
        <v>5598</v>
      </c>
      <c r="L236" s="134">
        <v>7839</v>
      </c>
    </row>
    <row r="237" spans="1:12" ht="15.5" x14ac:dyDescent="0.35">
      <c r="A237" s="417">
        <v>233</v>
      </c>
      <c r="B237" s="907"/>
      <c r="C237" s="420" t="s">
        <v>674</v>
      </c>
      <c r="D237" s="134">
        <f t="shared" si="9"/>
        <v>260</v>
      </c>
      <c r="E237" s="134">
        <v>299</v>
      </c>
      <c r="F237" s="134">
        <v>559</v>
      </c>
      <c r="G237" s="134">
        <f t="shared" si="11"/>
        <v>3</v>
      </c>
      <c r="H237" s="134">
        <v>8</v>
      </c>
      <c r="I237" s="134">
        <v>11</v>
      </c>
      <c r="J237" s="134">
        <f t="shared" si="10"/>
        <v>7056</v>
      </c>
      <c r="K237" s="134">
        <v>20399</v>
      </c>
      <c r="L237" s="134">
        <v>27455</v>
      </c>
    </row>
    <row r="238" spans="1:12" ht="15.5" x14ac:dyDescent="0.35">
      <c r="A238" s="417">
        <v>234</v>
      </c>
      <c r="B238" s="907"/>
      <c r="C238" s="420" t="s">
        <v>675</v>
      </c>
      <c r="D238" s="134">
        <f t="shared" si="9"/>
        <v>810</v>
      </c>
      <c r="E238" s="134">
        <v>774</v>
      </c>
      <c r="F238" s="134">
        <v>1584</v>
      </c>
      <c r="G238" s="134">
        <f t="shared" si="11"/>
        <v>2</v>
      </c>
      <c r="H238" s="134">
        <v>2</v>
      </c>
      <c r="I238" s="134">
        <v>4</v>
      </c>
      <c r="J238" s="134">
        <f t="shared" si="10"/>
        <v>30188</v>
      </c>
      <c r="K238" s="134">
        <v>37679</v>
      </c>
      <c r="L238" s="134">
        <v>67867</v>
      </c>
    </row>
    <row r="239" spans="1:12" ht="15.5" x14ac:dyDescent="0.35">
      <c r="A239" s="417">
        <v>235</v>
      </c>
      <c r="B239" s="907"/>
      <c r="C239" s="420" t="s">
        <v>590</v>
      </c>
      <c r="D239" s="134"/>
      <c r="E239" s="134"/>
      <c r="F239" s="134"/>
      <c r="G239" s="134"/>
      <c r="H239" s="134"/>
      <c r="I239" s="134"/>
      <c r="J239" s="134">
        <f t="shared" si="10"/>
        <v>184</v>
      </c>
      <c r="K239" s="134">
        <v>173</v>
      </c>
      <c r="L239" s="134">
        <v>357</v>
      </c>
    </row>
    <row r="240" spans="1:12" ht="15.5" x14ac:dyDescent="0.35">
      <c r="A240" s="417">
        <v>236</v>
      </c>
      <c r="B240" s="907"/>
      <c r="C240" s="420" t="s">
        <v>592</v>
      </c>
      <c r="D240" s="134"/>
      <c r="E240" s="134"/>
      <c r="F240" s="134"/>
      <c r="G240" s="134"/>
      <c r="H240" s="134"/>
      <c r="I240" s="134"/>
      <c r="J240" s="134">
        <f t="shared" si="10"/>
        <v>160</v>
      </c>
      <c r="K240" s="134">
        <v>287</v>
      </c>
      <c r="L240" s="134">
        <v>447</v>
      </c>
    </row>
    <row r="241" spans="1:12" ht="15.5" x14ac:dyDescent="0.35">
      <c r="A241" s="417">
        <v>237</v>
      </c>
      <c r="B241" s="907"/>
      <c r="C241" s="420" t="s">
        <v>676</v>
      </c>
      <c r="D241" s="134"/>
      <c r="E241" s="134"/>
      <c r="F241" s="134"/>
      <c r="G241" s="134"/>
      <c r="H241" s="134"/>
      <c r="I241" s="134"/>
      <c r="J241" s="134">
        <f t="shared" si="10"/>
        <v>5</v>
      </c>
      <c r="K241" s="134">
        <v>8</v>
      </c>
      <c r="L241" s="134">
        <v>13</v>
      </c>
    </row>
    <row r="242" spans="1:12" ht="15.5" x14ac:dyDescent="0.35">
      <c r="A242" s="417">
        <v>238</v>
      </c>
      <c r="B242" s="907"/>
      <c r="C242" s="420" t="s">
        <v>677</v>
      </c>
      <c r="D242" s="134">
        <f t="shared" si="9"/>
        <v>28</v>
      </c>
      <c r="E242" s="134">
        <v>21</v>
      </c>
      <c r="F242" s="134">
        <v>49</v>
      </c>
      <c r="G242" s="134"/>
      <c r="H242" s="134"/>
      <c r="I242" s="134"/>
      <c r="J242" s="134">
        <f t="shared" si="10"/>
        <v>666</v>
      </c>
      <c r="K242" s="134">
        <v>515</v>
      </c>
      <c r="L242" s="134">
        <v>1181</v>
      </c>
    </row>
    <row r="243" spans="1:12" ht="15.5" x14ac:dyDescent="0.35">
      <c r="A243" s="417">
        <v>239</v>
      </c>
      <c r="B243" s="907"/>
      <c r="C243" s="420" t="s">
        <v>678</v>
      </c>
      <c r="D243" s="134">
        <f t="shared" si="9"/>
        <v>113</v>
      </c>
      <c r="E243" s="134">
        <v>118</v>
      </c>
      <c r="F243" s="134">
        <v>231</v>
      </c>
      <c r="G243" s="134">
        <f t="shared" si="11"/>
        <v>1</v>
      </c>
      <c r="H243" s="134">
        <v>1</v>
      </c>
      <c r="I243" s="134">
        <v>2</v>
      </c>
      <c r="J243" s="134">
        <f t="shared" si="10"/>
        <v>1841</v>
      </c>
      <c r="K243" s="134">
        <v>2481</v>
      </c>
      <c r="L243" s="134">
        <v>4322</v>
      </c>
    </row>
    <row r="244" spans="1:12" ht="15.5" x14ac:dyDescent="0.35">
      <c r="A244" s="417">
        <v>240</v>
      </c>
      <c r="B244" s="907"/>
      <c r="C244" s="420" t="s">
        <v>679</v>
      </c>
      <c r="D244" s="134">
        <f t="shared" si="9"/>
        <v>19</v>
      </c>
      <c r="E244" s="134">
        <v>31</v>
      </c>
      <c r="F244" s="134">
        <v>50</v>
      </c>
      <c r="G244" s="134"/>
      <c r="H244" s="134"/>
      <c r="I244" s="134"/>
      <c r="J244" s="134">
        <f t="shared" si="10"/>
        <v>154</v>
      </c>
      <c r="K244" s="134">
        <v>389</v>
      </c>
      <c r="L244" s="134">
        <v>543</v>
      </c>
    </row>
    <row r="245" spans="1:12" ht="15.5" x14ac:dyDescent="0.35">
      <c r="A245" s="417">
        <v>241</v>
      </c>
      <c r="B245" s="907"/>
      <c r="C245" s="420" t="s">
        <v>680</v>
      </c>
      <c r="D245" s="134">
        <f t="shared" si="9"/>
        <v>149</v>
      </c>
      <c r="E245" s="134">
        <v>75</v>
      </c>
      <c r="F245" s="134">
        <v>224</v>
      </c>
      <c r="G245" s="134">
        <f t="shared" si="11"/>
        <v>4</v>
      </c>
      <c r="H245" s="134">
        <v>1</v>
      </c>
      <c r="I245" s="134">
        <v>5</v>
      </c>
      <c r="J245" s="134">
        <f t="shared" si="10"/>
        <v>2069</v>
      </c>
      <c r="K245" s="134">
        <v>2076</v>
      </c>
      <c r="L245" s="134">
        <v>4145</v>
      </c>
    </row>
    <row r="246" spans="1:12" ht="15.5" x14ac:dyDescent="0.35">
      <c r="A246" s="417">
        <v>242</v>
      </c>
      <c r="B246" s="907"/>
      <c r="C246" s="420" t="s">
        <v>681</v>
      </c>
      <c r="D246" s="134">
        <f t="shared" si="9"/>
        <v>42</v>
      </c>
      <c r="E246" s="134">
        <v>7</v>
      </c>
      <c r="F246" s="134">
        <v>49</v>
      </c>
      <c r="G246" s="134"/>
      <c r="H246" s="134"/>
      <c r="I246" s="134"/>
      <c r="J246" s="134">
        <f t="shared" si="10"/>
        <v>204</v>
      </c>
      <c r="K246" s="134">
        <v>183</v>
      </c>
      <c r="L246" s="134">
        <v>387</v>
      </c>
    </row>
    <row r="247" spans="1:12" ht="15.5" x14ac:dyDescent="0.35">
      <c r="A247" s="417">
        <v>243</v>
      </c>
      <c r="B247" s="907"/>
      <c r="C247" s="420" t="s">
        <v>682</v>
      </c>
      <c r="D247" s="134">
        <f t="shared" si="9"/>
        <v>119</v>
      </c>
      <c r="E247" s="134">
        <v>189</v>
      </c>
      <c r="F247" s="134">
        <v>308</v>
      </c>
      <c r="G247" s="134"/>
      <c r="H247" s="134">
        <v>8</v>
      </c>
      <c r="I247" s="134">
        <v>8</v>
      </c>
      <c r="J247" s="134">
        <f t="shared" si="10"/>
        <v>2544</v>
      </c>
      <c r="K247" s="134">
        <v>6248</v>
      </c>
      <c r="L247" s="134">
        <v>8792</v>
      </c>
    </row>
    <row r="248" spans="1:12" ht="15.5" x14ac:dyDescent="0.35">
      <c r="A248" s="417">
        <v>244</v>
      </c>
      <c r="B248" s="907"/>
      <c r="C248" s="420" t="s">
        <v>683</v>
      </c>
      <c r="D248" s="134">
        <f t="shared" si="9"/>
        <v>567</v>
      </c>
      <c r="E248" s="134">
        <v>449</v>
      </c>
      <c r="F248" s="134">
        <v>1016</v>
      </c>
      <c r="G248" s="134">
        <f t="shared" si="11"/>
        <v>3</v>
      </c>
      <c r="H248" s="134">
        <v>20</v>
      </c>
      <c r="I248" s="134">
        <v>23</v>
      </c>
      <c r="J248" s="134">
        <f t="shared" si="10"/>
        <v>21067</v>
      </c>
      <c r="K248" s="134">
        <v>33997</v>
      </c>
      <c r="L248" s="134">
        <v>55064</v>
      </c>
    </row>
    <row r="249" spans="1:12" ht="15.5" x14ac:dyDescent="0.35">
      <c r="A249" s="417">
        <v>245</v>
      </c>
      <c r="B249" s="907"/>
      <c r="C249" s="420" t="s">
        <v>639</v>
      </c>
      <c r="D249" s="134">
        <f t="shared" si="9"/>
        <v>42</v>
      </c>
      <c r="E249" s="134">
        <v>64</v>
      </c>
      <c r="F249" s="134">
        <v>106</v>
      </c>
      <c r="G249" s="134">
        <f t="shared" si="11"/>
        <v>1</v>
      </c>
      <c r="H249" s="134">
        <v>3</v>
      </c>
      <c r="I249" s="134">
        <v>4</v>
      </c>
      <c r="J249" s="134">
        <f t="shared" si="10"/>
        <v>2526</v>
      </c>
      <c r="K249" s="134">
        <v>6959</v>
      </c>
      <c r="L249" s="134">
        <v>9485</v>
      </c>
    </row>
    <row r="250" spans="1:12" ht="15.5" x14ac:dyDescent="0.35">
      <c r="A250" s="417">
        <v>246</v>
      </c>
      <c r="B250" s="907"/>
      <c r="C250" s="420" t="s">
        <v>684</v>
      </c>
      <c r="D250" s="134">
        <f t="shared" si="9"/>
        <v>758</v>
      </c>
      <c r="E250" s="134">
        <v>657</v>
      </c>
      <c r="F250" s="134">
        <v>1415</v>
      </c>
      <c r="G250" s="134">
        <f t="shared" si="11"/>
        <v>4</v>
      </c>
      <c r="H250" s="134">
        <v>4</v>
      </c>
      <c r="I250" s="134">
        <v>8</v>
      </c>
      <c r="J250" s="134">
        <f t="shared" si="10"/>
        <v>14585</v>
      </c>
      <c r="K250" s="134">
        <v>22682</v>
      </c>
      <c r="L250" s="134">
        <v>37267</v>
      </c>
    </row>
    <row r="251" spans="1:12" ht="15.5" x14ac:dyDescent="0.35">
      <c r="A251" s="417">
        <v>247</v>
      </c>
      <c r="B251" s="907"/>
      <c r="C251" s="420" t="s">
        <v>685</v>
      </c>
      <c r="D251" s="134">
        <f t="shared" si="9"/>
        <v>732</v>
      </c>
      <c r="E251" s="134">
        <v>546</v>
      </c>
      <c r="F251" s="134">
        <v>1278</v>
      </c>
      <c r="G251" s="134">
        <f t="shared" si="11"/>
        <v>5</v>
      </c>
      <c r="H251" s="134">
        <v>8</v>
      </c>
      <c r="I251" s="134">
        <v>13</v>
      </c>
      <c r="J251" s="134">
        <f t="shared" si="10"/>
        <v>15032</v>
      </c>
      <c r="K251" s="134">
        <v>19601</v>
      </c>
      <c r="L251" s="134">
        <v>34633</v>
      </c>
    </row>
    <row r="252" spans="1:12" ht="15.5" x14ac:dyDescent="0.35">
      <c r="A252" s="417">
        <v>248</v>
      </c>
      <c r="B252" s="907"/>
      <c r="C252" s="420" t="s">
        <v>72</v>
      </c>
      <c r="D252" s="134">
        <f t="shared" si="9"/>
        <v>20</v>
      </c>
      <c r="E252" s="134">
        <v>23</v>
      </c>
      <c r="F252" s="134">
        <v>43</v>
      </c>
      <c r="G252" s="134"/>
      <c r="H252" s="134"/>
      <c r="I252" s="134"/>
      <c r="J252" s="134">
        <f t="shared" si="10"/>
        <v>104</v>
      </c>
      <c r="K252" s="134">
        <v>145</v>
      </c>
      <c r="L252" s="134">
        <v>249</v>
      </c>
    </row>
    <row r="253" spans="1:12" ht="15.5" x14ac:dyDescent="0.35">
      <c r="A253" s="417">
        <v>249</v>
      </c>
      <c r="B253" s="907"/>
      <c r="C253" s="420" t="s">
        <v>530</v>
      </c>
      <c r="D253" s="134">
        <f t="shared" si="9"/>
        <v>49</v>
      </c>
      <c r="E253" s="134">
        <v>50</v>
      </c>
      <c r="F253" s="134">
        <v>99</v>
      </c>
      <c r="G253" s="134"/>
      <c r="H253" s="134"/>
      <c r="I253" s="134"/>
      <c r="J253" s="134">
        <f t="shared" si="10"/>
        <v>2081</v>
      </c>
      <c r="K253" s="134">
        <v>3125</v>
      </c>
      <c r="L253" s="134">
        <v>5206</v>
      </c>
    </row>
    <row r="254" spans="1:12" ht="15.5" x14ac:dyDescent="0.35">
      <c r="A254" s="417">
        <v>250</v>
      </c>
      <c r="B254" s="907"/>
      <c r="C254" s="420" t="s">
        <v>686</v>
      </c>
      <c r="D254" s="134">
        <f t="shared" si="9"/>
        <v>236</v>
      </c>
      <c r="E254" s="134">
        <v>316</v>
      </c>
      <c r="F254" s="134">
        <v>552</v>
      </c>
      <c r="G254" s="134">
        <f t="shared" si="11"/>
        <v>2</v>
      </c>
      <c r="H254" s="134">
        <v>5</v>
      </c>
      <c r="I254" s="134">
        <v>7</v>
      </c>
      <c r="J254" s="134">
        <f t="shared" si="10"/>
        <v>9075</v>
      </c>
      <c r="K254" s="134">
        <v>25323</v>
      </c>
      <c r="L254" s="134">
        <v>34398</v>
      </c>
    </row>
    <row r="255" spans="1:12" ht="15.5" x14ac:dyDescent="0.3">
      <c r="A255" s="417">
        <v>251</v>
      </c>
      <c r="B255" s="906" t="s">
        <v>687</v>
      </c>
      <c r="C255" s="907"/>
      <c r="D255" s="304">
        <f t="shared" si="9"/>
        <v>4199</v>
      </c>
      <c r="E255" s="304">
        <v>4012</v>
      </c>
      <c r="F255" s="304">
        <v>8211</v>
      </c>
      <c r="G255" s="304">
        <f t="shared" si="11"/>
        <v>25</v>
      </c>
      <c r="H255" s="304">
        <v>74</v>
      </c>
      <c r="I255" s="304">
        <v>99</v>
      </c>
      <c r="J255" s="304">
        <f t="shared" si="10"/>
        <v>117220</v>
      </c>
      <c r="K255" s="304">
        <v>197278</v>
      </c>
      <c r="L255" s="304">
        <v>314498</v>
      </c>
    </row>
    <row r="256" spans="1:12" ht="15.5" x14ac:dyDescent="0.35">
      <c r="A256" s="417">
        <v>252</v>
      </c>
      <c r="B256" s="906" t="s">
        <v>73</v>
      </c>
      <c r="C256" s="420" t="s">
        <v>688</v>
      </c>
      <c r="D256" s="134">
        <f t="shared" si="9"/>
        <v>33</v>
      </c>
      <c r="E256" s="134">
        <v>30</v>
      </c>
      <c r="F256" s="134">
        <v>63</v>
      </c>
      <c r="G256" s="134"/>
      <c r="H256" s="134"/>
      <c r="I256" s="134"/>
      <c r="J256" s="134">
        <f t="shared" si="10"/>
        <v>351</v>
      </c>
      <c r="K256" s="134">
        <v>508</v>
      </c>
      <c r="L256" s="134">
        <v>859</v>
      </c>
    </row>
    <row r="257" spans="1:12" ht="15.5" x14ac:dyDescent="0.35">
      <c r="A257" s="417">
        <v>253</v>
      </c>
      <c r="B257" s="907"/>
      <c r="C257" s="420" t="s">
        <v>689</v>
      </c>
      <c r="D257" s="134">
        <f t="shared" si="9"/>
        <v>296</v>
      </c>
      <c r="E257" s="134">
        <v>273</v>
      </c>
      <c r="F257" s="134">
        <v>569</v>
      </c>
      <c r="G257" s="134">
        <f t="shared" si="11"/>
        <v>4</v>
      </c>
      <c r="H257" s="134">
        <v>8</v>
      </c>
      <c r="I257" s="134">
        <v>12</v>
      </c>
      <c r="J257" s="134">
        <f t="shared" si="10"/>
        <v>14968</v>
      </c>
      <c r="K257" s="134">
        <v>24790</v>
      </c>
      <c r="L257" s="134">
        <v>39758</v>
      </c>
    </row>
    <row r="258" spans="1:12" ht="15.5" x14ac:dyDescent="0.35">
      <c r="A258" s="417">
        <v>254</v>
      </c>
      <c r="B258" s="907"/>
      <c r="C258" s="420" t="s">
        <v>690</v>
      </c>
      <c r="D258" s="134">
        <f t="shared" si="9"/>
        <v>240</v>
      </c>
      <c r="E258" s="134">
        <v>120</v>
      </c>
      <c r="F258" s="134">
        <v>360</v>
      </c>
      <c r="G258" s="134">
        <f t="shared" si="11"/>
        <v>2</v>
      </c>
      <c r="H258" s="134">
        <v>2</v>
      </c>
      <c r="I258" s="134">
        <v>4</v>
      </c>
      <c r="J258" s="134">
        <f t="shared" si="10"/>
        <v>13266</v>
      </c>
      <c r="K258" s="134">
        <v>17712</v>
      </c>
      <c r="L258" s="134">
        <v>30978</v>
      </c>
    </row>
    <row r="259" spans="1:12" ht="15.5" x14ac:dyDescent="0.35">
      <c r="A259" s="417">
        <v>255</v>
      </c>
      <c r="B259" s="907"/>
      <c r="C259" s="420" t="s">
        <v>691</v>
      </c>
      <c r="D259" s="134">
        <f t="shared" si="9"/>
        <v>381</v>
      </c>
      <c r="E259" s="134">
        <v>303</v>
      </c>
      <c r="F259" s="134">
        <v>684</v>
      </c>
      <c r="G259" s="134">
        <f t="shared" si="11"/>
        <v>21</v>
      </c>
      <c r="H259" s="134">
        <v>9</v>
      </c>
      <c r="I259" s="134">
        <v>30</v>
      </c>
      <c r="J259" s="134">
        <f t="shared" si="10"/>
        <v>31844</v>
      </c>
      <c r="K259" s="134">
        <v>40375</v>
      </c>
      <c r="L259" s="134">
        <v>72219</v>
      </c>
    </row>
    <row r="260" spans="1:12" ht="31" x14ac:dyDescent="0.35">
      <c r="A260" s="417">
        <v>256</v>
      </c>
      <c r="B260" s="907"/>
      <c r="C260" s="420" t="s">
        <v>603</v>
      </c>
      <c r="D260" s="134">
        <f t="shared" si="9"/>
        <v>120</v>
      </c>
      <c r="E260" s="134">
        <v>128</v>
      </c>
      <c r="F260" s="134">
        <v>248</v>
      </c>
      <c r="G260" s="134"/>
      <c r="H260" s="134"/>
      <c r="I260" s="134"/>
      <c r="J260" s="134"/>
      <c r="K260" s="134"/>
      <c r="L260" s="134"/>
    </row>
    <row r="261" spans="1:12" ht="15.5" x14ac:dyDescent="0.35">
      <c r="A261" s="417">
        <v>257</v>
      </c>
      <c r="B261" s="907"/>
      <c r="C261" s="420" t="s">
        <v>683</v>
      </c>
      <c r="D261" s="134">
        <f t="shared" ref="D261:D280" si="12">F261-E261</f>
        <v>2</v>
      </c>
      <c r="E261" s="134">
        <v>1</v>
      </c>
      <c r="F261" s="134">
        <v>3</v>
      </c>
      <c r="G261" s="134"/>
      <c r="H261" s="134"/>
      <c r="I261" s="134"/>
      <c r="J261" s="134">
        <f t="shared" ref="J261:J280" si="13">L261-K261</f>
        <v>174</v>
      </c>
      <c r="K261" s="134">
        <v>239</v>
      </c>
      <c r="L261" s="134">
        <v>413</v>
      </c>
    </row>
    <row r="262" spans="1:12" ht="15.5" x14ac:dyDescent="0.35">
      <c r="A262" s="417">
        <v>258</v>
      </c>
      <c r="B262" s="907"/>
      <c r="C262" s="420" t="s">
        <v>581</v>
      </c>
      <c r="D262" s="134"/>
      <c r="E262" s="134"/>
      <c r="F262" s="134"/>
      <c r="G262" s="134"/>
      <c r="H262" s="134"/>
      <c r="I262" s="134"/>
      <c r="J262" s="134">
        <f t="shared" si="13"/>
        <v>4</v>
      </c>
      <c r="K262" s="134">
        <v>7</v>
      </c>
      <c r="L262" s="134">
        <v>11</v>
      </c>
    </row>
    <row r="263" spans="1:12" ht="15.5" x14ac:dyDescent="0.35">
      <c r="A263" s="417">
        <v>259</v>
      </c>
      <c r="B263" s="907"/>
      <c r="C263" s="420" t="s">
        <v>692</v>
      </c>
      <c r="D263" s="134">
        <f t="shared" si="12"/>
        <v>360</v>
      </c>
      <c r="E263" s="134">
        <v>562</v>
      </c>
      <c r="F263" s="134">
        <v>922</v>
      </c>
      <c r="G263" s="134">
        <f t="shared" ref="G263:G280" si="14">I263-H263</f>
        <v>5</v>
      </c>
      <c r="H263" s="134">
        <v>16</v>
      </c>
      <c r="I263" s="134">
        <v>21</v>
      </c>
      <c r="J263" s="134">
        <f t="shared" si="13"/>
        <v>9118</v>
      </c>
      <c r="K263" s="134">
        <v>18753</v>
      </c>
      <c r="L263" s="134">
        <v>27871</v>
      </c>
    </row>
    <row r="264" spans="1:12" ht="15.5" x14ac:dyDescent="0.35">
      <c r="A264" s="417">
        <v>260</v>
      </c>
      <c r="B264" s="907"/>
      <c r="C264" s="420" t="s">
        <v>693</v>
      </c>
      <c r="D264" s="134">
        <f t="shared" si="12"/>
        <v>151</v>
      </c>
      <c r="E264" s="134">
        <v>146</v>
      </c>
      <c r="F264" s="134">
        <v>297</v>
      </c>
      <c r="G264" s="134">
        <f t="shared" si="14"/>
        <v>5</v>
      </c>
      <c r="H264" s="134">
        <v>19</v>
      </c>
      <c r="I264" s="134">
        <v>24</v>
      </c>
      <c r="J264" s="134">
        <f t="shared" si="13"/>
        <v>1672</v>
      </c>
      <c r="K264" s="134">
        <v>2419</v>
      </c>
      <c r="L264" s="134">
        <v>4091</v>
      </c>
    </row>
    <row r="265" spans="1:12" ht="15.5" x14ac:dyDescent="0.35">
      <c r="A265" s="417">
        <v>261</v>
      </c>
      <c r="B265" s="907"/>
      <c r="C265" s="420" t="s">
        <v>694</v>
      </c>
      <c r="D265" s="134">
        <f t="shared" si="12"/>
        <v>275</v>
      </c>
      <c r="E265" s="134">
        <v>182</v>
      </c>
      <c r="F265" s="134">
        <v>457</v>
      </c>
      <c r="G265" s="134">
        <f t="shared" si="14"/>
        <v>11</v>
      </c>
      <c r="H265" s="134"/>
      <c r="I265" s="134">
        <v>11</v>
      </c>
      <c r="J265" s="134">
        <f t="shared" si="13"/>
        <v>36432</v>
      </c>
      <c r="K265" s="134">
        <v>49714</v>
      </c>
      <c r="L265" s="134">
        <v>86146</v>
      </c>
    </row>
    <row r="266" spans="1:12" ht="15.5" x14ac:dyDescent="0.35">
      <c r="A266" s="417">
        <v>262</v>
      </c>
      <c r="B266" s="907"/>
      <c r="C266" s="420" t="s">
        <v>695</v>
      </c>
      <c r="D266" s="134">
        <f t="shared" si="12"/>
        <v>20</v>
      </c>
      <c r="E266" s="134">
        <v>13</v>
      </c>
      <c r="F266" s="134">
        <v>33</v>
      </c>
      <c r="G266" s="134"/>
      <c r="H266" s="134"/>
      <c r="I266" s="134"/>
      <c r="J266" s="134">
        <f t="shared" si="13"/>
        <v>25</v>
      </c>
      <c r="K266" s="134">
        <v>17</v>
      </c>
      <c r="L266" s="134">
        <v>42</v>
      </c>
    </row>
    <row r="267" spans="1:12" ht="15.5" x14ac:dyDescent="0.35">
      <c r="A267" s="417">
        <v>263</v>
      </c>
      <c r="B267" s="907"/>
      <c r="C267" s="420" t="s">
        <v>661</v>
      </c>
      <c r="D267" s="134">
        <f t="shared" si="12"/>
        <v>84</v>
      </c>
      <c r="E267" s="134">
        <v>201</v>
      </c>
      <c r="F267" s="134">
        <v>285</v>
      </c>
      <c r="G267" s="134">
        <f t="shared" si="14"/>
        <v>26</v>
      </c>
      <c r="H267" s="134">
        <v>146</v>
      </c>
      <c r="I267" s="134">
        <v>172</v>
      </c>
      <c r="J267" s="134">
        <f t="shared" si="13"/>
        <v>3557</v>
      </c>
      <c r="K267" s="134">
        <v>11202</v>
      </c>
      <c r="L267" s="134">
        <v>14759</v>
      </c>
    </row>
    <row r="268" spans="1:12" ht="15.5" x14ac:dyDescent="0.35">
      <c r="A268" s="417">
        <v>264</v>
      </c>
      <c r="B268" s="907"/>
      <c r="C268" s="420" t="s">
        <v>696</v>
      </c>
      <c r="D268" s="134">
        <f t="shared" si="12"/>
        <v>60</v>
      </c>
      <c r="E268" s="134">
        <v>22</v>
      </c>
      <c r="F268" s="134">
        <v>82</v>
      </c>
      <c r="G268" s="134"/>
      <c r="H268" s="134"/>
      <c r="I268" s="134"/>
      <c r="J268" s="134">
        <f t="shared" si="13"/>
        <v>5423</v>
      </c>
      <c r="K268" s="134">
        <v>4263</v>
      </c>
      <c r="L268" s="134">
        <v>9686</v>
      </c>
    </row>
    <row r="269" spans="1:12" ht="15.5" x14ac:dyDescent="0.35">
      <c r="A269" s="417">
        <v>265</v>
      </c>
      <c r="B269" s="907"/>
      <c r="C269" s="420" t="s">
        <v>697</v>
      </c>
      <c r="D269" s="134"/>
      <c r="E269" s="134"/>
      <c r="F269" s="134"/>
      <c r="G269" s="134"/>
      <c r="H269" s="134"/>
      <c r="I269" s="134"/>
      <c r="J269" s="134"/>
      <c r="K269" s="134"/>
      <c r="L269" s="134"/>
    </row>
    <row r="270" spans="1:12" ht="15.5" x14ac:dyDescent="0.35">
      <c r="A270" s="417">
        <v>266</v>
      </c>
      <c r="B270" s="907"/>
      <c r="C270" s="420" t="s">
        <v>522</v>
      </c>
      <c r="D270" s="134">
        <f t="shared" si="12"/>
        <v>178</v>
      </c>
      <c r="E270" s="134">
        <v>236</v>
      </c>
      <c r="F270" s="134">
        <v>414</v>
      </c>
      <c r="G270" s="134">
        <f t="shared" si="14"/>
        <v>1</v>
      </c>
      <c r="H270" s="134">
        <v>1</v>
      </c>
      <c r="I270" s="134">
        <v>2</v>
      </c>
      <c r="J270" s="134">
        <f t="shared" si="13"/>
        <v>22506</v>
      </c>
      <c r="K270" s="134">
        <v>45086</v>
      </c>
      <c r="L270" s="134">
        <v>67592</v>
      </c>
    </row>
    <row r="271" spans="1:12" ht="15.5" x14ac:dyDescent="0.35">
      <c r="A271" s="417">
        <v>267</v>
      </c>
      <c r="B271" s="907"/>
      <c r="C271" s="420" t="s">
        <v>530</v>
      </c>
      <c r="D271" s="134">
        <f t="shared" si="12"/>
        <v>2</v>
      </c>
      <c r="E271" s="134">
        <v>2</v>
      </c>
      <c r="F271" s="134">
        <v>4</v>
      </c>
      <c r="G271" s="134"/>
      <c r="H271" s="134"/>
      <c r="I271" s="134"/>
      <c r="J271" s="134">
        <f t="shared" si="13"/>
        <v>27</v>
      </c>
      <c r="K271" s="134">
        <v>39</v>
      </c>
      <c r="L271" s="134">
        <v>66</v>
      </c>
    </row>
    <row r="272" spans="1:12" ht="15.5" x14ac:dyDescent="0.3">
      <c r="A272" s="417">
        <v>268</v>
      </c>
      <c r="B272" s="906" t="s">
        <v>698</v>
      </c>
      <c r="C272" s="907"/>
      <c r="D272" s="304">
        <f t="shared" si="12"/>
        <v>2202</v>
      </c>
      <c r="E272" s="304">
        <v>2219</v>
      </c>
      <c r="F272" s="304">
        <v>4421</v>
      </c>
      <c r="G272" s="304">
        <f t="shared" si="14"/>
        <v>75</v>
      </c>
      <c r="H272" s="304">
        <v>201</v>
      </c>
      <c r="I272" s="304">
        <v>276</v>
      </c>
      <c r="J272" s="304">
        <f t="shared" si="13"/>
        <v>139367</v>
      </c>
      <c r="K272" s="304">
        <v>215124</v>
      </c>
      <c r="L272" s="304">
        <v>354491</v>
      </c>
    </row>
    <row r="273" spans="1:12" ht="15.5" x14ac:dyDescent="0.35">
      <c r="A273" s="417">
        <v>269</v>
      </c>
      <c r="B273" s="419" t="s">
        <v>513</v>
      </c>
      <c r="C273" s="420" t="s">
        <v>513</v>
      </c>
      <c r="D273" s="134">
        <f t="shared" si="12"/>
        <v>100</v>
      </c>
      <c r="E273" s="134">
        <v>97</v>
      </c>
      <c r="F273" s="134">
        <v>197</v>
      </c>
      <c r="G273" s="134">
        <f t="shared" si="14"/>
        <v>25</v>
      </c>
      <c r="H273" s="134">
        <v>64</v>
      </c>
      <c r="I273" s="134">
        <v>89</v>
      </c>
      <c r="J273" s="134">
        <f t="shared" si="13"/>
        <v>10348</v>
      </c>
      <c r="K273" s="134">
        <v>14297</v>
      </c>
      <c r="L273" s="134">
        <v>24645</v>
      </c>
    </row>
    <row r="274" spans="1:12" ht="15.5" x14ac:dyDescent="0.3">
      <c r="A274" s="417">
        <v>270</v>
      </c>
      <c r="B274" s="906" t="s">
        <v>699</v>
      </c>
      <c r="C274" s="907"/>
      <c r="D274" s="304">
        <f t="shared" si="12"/>
        <v>100</v>
      </c>
      <c r="E274" s="304">
        <v>97</v>
      </c>
      <c r="F274" s="304">
        <v>197</v>
      </c>
      <c r="G274" s="304">
        <f t="shared" si="14"/>
        <v>25</v>
      </c>
      <c r="H274" s="304">
        <v>64</v>
      </c>
      <c r="I274" s="304">
        <v>89</v>
      </c>
      <c r="J274" s="304">
        <f t="shared" si="13"/>
        <v>10348</v>
      </c>
      <c r="K274" s="304">
        <v>14297</v>
      </c>
      <c r="L274" s="304">
        <v>24645</v>
      </c>
    </row>
    <row r="275" spans="1:12" ht="15.5" x14ac:dyDescent="0.35">
      <c r="A275" s="417">
        <v>271</v>
      </c>
      <c r="B275" s="906" t="s">
        <v>76</v>
      </c>
      <c r="C275" s="420" t="s">
        <v>700</v>
      </c>
      <c r="D275" s="134"/>
      <c r="E275" s="134">
        <v>4</v>
      </c>
      <c r="F275" s="134">
        <v>4</v>
      </c>
      <c r="G275" s="134"/>
      <c r="H275" s="134"/>
      <c r="I275" s="134"/>
      <c r="J275" s="134">
        <f t="shared" si="13"/>
        <v>13</v>
      </c>
      <c r="K275" s="134">
        <v>1</v>
      </c>
      <c r="L275" s="134">
        <v>14</v>
      </c>
    </row>
    <row r="276" spans="1:12" ht="31" x14ac:dyDescent="0.35">
      <c r="A276" s="417">
        <v>272</v>
      </c>
      <c r="B276" s="907"/>
      <c r="C276" s="420" t="s">
        <v>76</v>
      </c>
      <c r="D276" s="134">
        <f t="shared" si="12"/>
        <v>221</v>
      </c>
      <c r="E276" s="134">
        <v>198</v>
      </c>
      <c r="F276" s="134">
        <v>419</v>
      </c>
      <c r="G276" s="134"/>
      <c r="H276" s="134"/>
      <c r="I276" s="134"/>
      <c r="J276" s="134">
        <f t="shared" si="13"/>
        <v>798</v>
      </c>
      <c r="K276" s="134">
        <v>700</v>
      </c>
      <c r="L276" s="134">
        <v>1498</v>
      </c>
    </row>
    <row r="277" spans="1:12" ht="15.5" x14ac:dyDescent="0.3">
      <c r="A277" s="417">
        <v>273</v>
      </c>
      <c r="B277" s="906" t="s">
        <v>701</v>
      </c>
      <c r="C277" s="907"/>
      <c r="D277" s="304">
        <f t="shared" si="12"/>
        <v>221</v>
      </c>
      <c r="E277" s="304">
        <v>202</v>
      </c>
      <c r="F277" s="304">
        <v>423</v>
      </c>
      <c r="G277" s="304"/>
      <c r="H277" s="304"/>
      <c r="I277" s="304"/>
      <c r="J277" s="304">
        <f t="shared" si="13"/>
        <v>811</v>
      </c>
      <c r="K277" s="304">
        <v>701</v>
      </c>
      <c r="L277" s="304">
        <v>1512</v>
      </c>
    </row>
    <row r="278" spans="1:12" ht="15.5" x14ac:dyDescent="0.35">
      <c r="A278" s="417">
        <v>274</v>
      </c>
      <c r="B278" s="419" t="s">
        <v>515</v>
      </c>
      <c r="C278" s="420" t="s">
        <v>515</v>
      </c>
      <c r="D278" s="134">
        <f t="shared" si="12"/>
        <v>11</v>
      </c>
      <c r="E278" s="134">
        <v>20</v>
      </c>
      <c r="F278" s="134">
        <v>31</v>
      </c>
      <c r="G278" s="134"/>
      <c r="H278" s="134"/>
      <c r="I278" s="134"/>
      <c r="J278" s="134">
        <f t="shared" si="13"/>
        <v>358</v>
      </c>
      <c r="K278" s="134">
        <v>5029</v>
      </c>
      <c r="L278" s="134">
        <v>5387</v>
      </c>
    </row>
    <row r="279" spans="1:12" ht="15.5" x14ac:dyDescent="0.3">
      <c r="A279" s="417">
        <v>275</v>
      </c>
      <c r="B279" s="906" t="s">
        <v>702</v>
      </c>
      <c r="C279" s="907"/>
      <c r="D279" s="304">
        <f t="shared" si="12"/>
        <v>11</v>
      </c>
      <c r="E279" s="304">
        <v>20</v>
      </c>
      <c r="F279" s="304">
        <v>31</v>
      </c>
      <c r="G279" s="304"/>
      <c r="H279" s="304"/>
      <c r="I279" s="304"/>
      <c r="J279" s="304">
        <f t="shared" si="13"/>
        <v>358</v>
      </c>
      <c r="K279" s="304">
        <v>5029</v>
      </c>
      <c r="L279" s="304">
        <v>5387</v>
      </c>
    </row>
    <row r="280" spans="1:12" ht="15" x14ac:dyDescent="0.3">
      <c r="A280" s="908" t="s">
        <v>12</v>
      </c>
      <c r="B280" s="909"/>
      <c r="C280" s="910"/>
      <c r="D280" s="304">
        <f t="shared" si="12"/>
        <v>19860</v>
      </c>
      <c r="E280" s="304">
        <v>17741</v>
      </c>
      <c r="F280" s="304">
        <v>37601</v>
      </c>
      <c r="G280" s="304">
        <f t="shared" si="14"/>
        <v>235</v>
      </c>
      <c r="H280" s="304">
        <v>597</v>
      </c>
      <c r="I280" s="304">
        <v>832</v>
      </c>
      <c r="J280" s="304">
        <f t="shared" si="13"/>
        <v>804086</v>
      </c>
      <c r="K280" s="304">
        <v>1111669</v>
      </c>
      <c r="L280" s="304">
        <v>1915755</v>
      </c>
    </row>
  </sheetData>
  <mergeCells count="79">
    <mergeCell ref="B277:C277"/>
    <mergeCell ref="B279:C279"/>
    <mergeCell ref="A280:C280"/>
    <mergeCell ref="B233:B254"/>
    <mergeCell ref="B255:C255"/>
    <mergeCell ref="B256:B271"/>
    <mergeCell ref="B272:C272"/>
    <mergeCell ref="B274:C274"/>
    <mergeCell ref="B275:B276"/>
    <mergeCell ref="B232:C232"/>
    <mergeCell ref="B207:C207"/>
    <mergeCell ref="B208:B211"/>
    <mergeCell ref="B212:C212"/>
    <mergeCell ref="B214:C214"/>
    <mergeCell ref="B216:C216"/>
    <mergeCell ref="B217:B218"/>
    <mergeCell ref="B219:C219"/>
    <mergeCell ref="B221:C221"/>
    <mergeCell ref="B223:C223"/>
    <mergeCell ref="B224:B229"/>
    <mergeCell ref="B230:C230"/>
    <mergeCell ref="B205:C205"/>
    <mergeCell ref="B99:C99"/>
    <mergeCell ref="B100:B111"/>
    <mergeCell ref="B112:C112"/>
    <mergeCell ref="B114:C114"/>
    <mergeCell ref="B115:B120"/>
    <mergeCell ref="B121:C121"/>
    <mergeCell ref="B123:C123"/>
    <mergeCell ref="B156:C156"/>
    <mergeCell ref="B157:B204"/>
    <mergeCell ref="B124:B128"/>
    <mergeCell ref="B129:C129"/>
    <mergeCell ref="B131:C131"/>
    <mergeCell ref="B133:C133"/>
    <mergeCell ref="B134:B153"/>
    <mergeCell ref="B154:C154"/>
    <mergeCell ref="B97:B98"/>
    <mergeCell ref="B64:C64"/>
    <mergeCell ref="B65:B68"/>
    <mergeCell ref="B69:C69"/>
    <mergeCell ref="B71:C71"/>
    <mergeCell ref="B72:B75"/>
    <mergeCell ref="B76:C76"/>
    <mergeCell ref="B78:C78"/>
    <mergeCell ref="B92:B95"/>
    <mergeCell ref="B96:C96"/>
    <mergeCell ref="B79:B80"/>
    <mergeCell ref="B81:C81"/>
    <mergeCell ref="B82:B86"/>
    <mergeCell ref="B87:C87"/>
    <mergeCell ref="B89:C89"/>
    <mergeCell ref="B91:C91"/>
    <mergeCell ref="B42:B63"/>
    <mergeCell ref="B9:C9"/>
    <mergeCell ref="B11:C11"/>
    <mergeCell ref="B12:B13"/>
    <mergeCell ref="B14:C14"/>
    <mergeCell ref="B15:B17"/>
    <mergeCell ref="B18:C18"/>
    <mergeCell ref="B19:B22"/>
    <mergeCell ref="B41:C41"/>
    <mergeCell ref="B34:C34"/>
    <mergeCell ref="B35:B36"/>
    <mergeCell ref="B37:C37"/>
    <mergeCell ref="B39:C39"/>
    <mergeCell ref="B5:B8"/>
    <mergeCell ref="B27:C27"/>
    <mergeCell ref="B29:C29"/>
    <mergeCell ref="B30:B31"/>
    <mergeCell ref="B32:C32"/>
    <mergeCell ref="B23:C23"/>
    <mergeCell ref="B25:C25"/>
    <mergeCell ref="B1:L1"/>
    <mergeCell ref="A2:A3"/>
    <mergeCell ref="B2:C3"/>
    <mergeCell ref="D2:F2"/>
    <mergeCell ref="G2:I2"/>
    <mergeCell ref="J2:L2"/>
  </mergeCells>
  <pageMargins left="0.27559055118110237" right="0.15748031496062992" top="0.39370078740157483" bottom="0.39370078740157483" header="0.31496062992125984" footer="0.19685039370078741"/>
  <pageSetup paperSize="9" scale="65" firstPageNumber="105" orientation="portrait" r:id="rId1"/>
  <headerFooter>
    <oddFooter>&amp;L&amp;"Arial,Italic"&amp;9AISHE 2023-24&amp;RT-37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3E28-00A4-4DA0-ACE9-288E0E48629C}">
  <sheetPr>
    <pageSetUpPr fitToPage="1"/>
  </sheetPr>
  <dimension ref="A1:K41"/>
  <sheetViews>
    <sheetView showZeros="0" view="pageBreakPreview" topLeftCell="A32" zoomScaleSheetLayoutView="100" workbookViewId="0">
      <selection activeCell="H18" sqref="H18"/>
    </sheetView>
  </sheetViews>
  <sheetFormatPr defaultColWidth="8.54296875" defaultRowHeight="14" x14ac:dyDescent="0.3"/>
  <cols>
    <col min="1" max="1" width="5.453125" style="422" customWidth="1"/>
    <col min="2" max="2" width="21.54296875" style="422" customWidth="1"/>
    <col min="3" max="4" width="13.1796875" style="422" bestFit="1" customWidth="1"/>
    <col min="5" max="5" width="14.26953125" style="422" bestFit="1" customWidth="1"/>
    <col min="6" max="8" width="13.1796875" style="422" bestFit="1" customWidth="1"/>
    <col min="9" max="10" width="11.26953125" style="422" bestFit="1" customWidth="1"/>
    <col min="11" max="11" width="13.1796875" style="422" bestFit="1" customWidth="1"/>
    <col min="12" max="16384" width="8.54296875" style="422"/>
  </cols>
  <sheetData>
    <row r="1" spans="1:11" ht="25.5" customHeight="1" x14ac:dyDescent="0.3">
      <c r="A1" s="912" t="s">
        <v>950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</row>
    <row r="2" spans="1:11" x14ac:dyDescent="0.3">
      <c r="A2" s="914" t="s">
        <v>882</v>
      </c>
      <c r="B2" s="914" t="s">
        <v>1</v>
      </c>
      <c r="C2" s="916" t="s">
        <v>949</v>
      </c>
      <c r="D2" s="916"/>
      <c r="E2" s="916"/>
      <c r="F2" s="916" t="s">
        <v>883</v>
      </c>
      <c r="G2" s="916"/>
      <c r="H2" s="916"/>
      <c r="I2" s="916" t="s">
        <v>884</v>
      </c>
      <c r="J2" s="916"/>
      <c r="K2" s="917"/>
    </row>
    <row r="3" spans="1:11" x14ac:dyDescent="0.3">
      <c r="A3" s="915"/>
      <c r="B3" s="915"/>
      <c r="C3" s="424" t="s">
        <v>103</v>
      </c>
      <c r="D3" s="424" t="s">
        <v>104</v>
      </c>
      <c r="E3" s="424" t="s">
        <v>89</v>
      </c>
      <c r="F3" s="424" t="s">
        <v>103</v>
      </c>
      <c r="G3" s="424" t="s">
        <v>104</v>
      </c>
      <c r="H3" s="424" t="s">
        <v>89</v>
      </c>
      <c r="I3" s="424" t="s">
        <v>103</v>
      </c>
      <c r="J3" s="424" t="s">
        <v>104</v>
      </c>
      <c r="K3" s="423" t="s">
        <v>89</v>
      </c>
    </row>
    <row r="4" spans="1:11" x14ac:dyDescent="0.3">
      <c r="A4" s="448">
        <v>1</v>
      </c>
      <c r="B4" s="448">
        <v>2</v>
      </c>
      <c r="C4" s="448">
        <v>3</v>
      </c>
      <c r="D4" s="448">
        <v>4</v>
      </c>
      <c r="E4" s="448">
        <v>5</v>
      </c>
      <c r="F4" s="448">
        <v>6</v>
      </c>
      <c r="G4" s="448">
        <v>7</v>
      </c>
      <c r="H4" s="448">
        <v>8</v>
      </c>
      <c r="I4" s="448">
        <v>9</v>
      </c>
      <c r="J4" s="448">
        <v>10</v>
      </c>
      <c r="K4" s="448">
        <v>11</v>
      </c>
    </row>
    <row r="5" spans="1:11" ht="25.5" customHeight="1" x14ac:dyDescent="0.3">
      <c r="A5" s="417">
        <v>1</v>
      </c>
      <c r="B5" s="572" t="s">
        <v>56</v>
      </c>
      <c r="C5" s="573">
        <v>27784</v>
      </c>
      <c r="D5" s="573">
        <v>24950</v>
      </c>
      <c r="E5" s="573">
        <v>52734</v>
      </c>
      <c r="F5" s="573">
        <v>0</v>
      </c>
      <c r="G5" s="573">
        <v>0</v>
      </c>
      <c r="H5" s="573">
        <v>0</v>
      </c>
      <c r="I5" s="573">
        <v>1950</v>
      </c>
      <c r="J5" s="573">
        <v>1817</v>
      </c>
      <c r="K5" s="573">
        <v>3767</v>
      </c>
    </row>
    <row r="6" spans="1:11" ht="25.5" customHeight="1" x14ac:dyDescent="0.3">
      <c r="A6" s="417">
        <v>2</v>
      </c>
      <c r="B6" s="572" t="s">
        <v>13</v>
      </c>
      <c r="C6" s="573">
        <v>2617000</v>
      </c>
      <c r="D6" s="573">
        <v>2460800</v>
      </c>
      <c r="E6" s="573">
        <v>5077400</v>
      </c>
      <c r="F6" s="573">
        <v>479722</v>
      </c>
      <c r="G6" s="573">
        <v>459578</v>
      </c>
      <c r="H6" s="573">
        <v>939300</v>
      </c>
      <c r="I6" s="573">
        <v>134749</v>
      </c>
      <c r="J6" s="573">
        <v>142701</v>
      </c>
      <c r="K6" s="573">
        <v>277451</v>
      </c>
    </row>
    <row r="7" spans="1:11" ht="25.5" customHeight="1" x14ac:dyDescent="0.3">
      <c r="A7" s="417">
        <v>3</v>
      </c>
      <c r="B7" s="572" t="s">
        <v>14</v>
      </c>
      <c r="C7" s="573">
        <v>90542</v>
      </c>
      <c r="D7" s="573">
        <v>85916</v>
      </c>
      <c r="E7" s="573">
        <v>176458</v>
      </c>
      <c r="F7" s="573">
        <v>0</v>
      </c>
      <c r="G7" s="573">
        <v>0</v>
      </c>
      <c r="H7" s="573">
        <v>0</v>
      </c>
      <c r="I7" s="573">
        <v>58382</v>
      </c>
      <c r="J7" s="573">
        <v>61830</v>
      </c>
      <c r="K7" s="573">
        <v>120212</v>
      </c>
    </row>
    <row r="8" spans="1:11" ht="25.5" customHeight="1" x14ac:dyDescent="0.3">
      <c r="A8" s="417">
        <v>4</v>
      </c>
      <c r="B8" s="572" t="s">
        <v>15</v>
      </c>
      <c r="C8" s="573">
        <v>2054600</v>
      </c>
      <c r="D8" s="573">
        <v>1959400</v>
      </c>
      <c r="E8" s="573">
        <v>4013800</v>
      </c>
      <c r="F8" s="573">
        <v>160582</v>
      </c>
      <c r="G8" s="573">
        <v>142952</v>
      </c>
      <c r="H8" s="573">
        <v>303534</v>
      </c>
      <c r="I8" s="573">
        <v>250951</v>
      </c>
      <c r="J8" s="573">
        <v>252346</v>
      </c>
      <c r="K8" s="573">
        <v>503296</v>
      </c>
    </row>
    <row r="9" spans="1:11" ht="25.5" customHeight="1" x14ac:dyDescent="0.3">
      <c r="A9" s="417">
        <v>5</v>
      </c>
      <c r="B9" s="572" t="s">
        <v>16</v>
      </c>
      <c r="C9" s="573">
        <v>8200200</v>
      </c>
      <c r="D9" s="573">
        <v>7429600</v>
      </c>
      <c r="E9" s="573">
        <v>15629600</v>
      </c>
      <c r="F9" s="573">
        <v>1186160</v>
      </c>
      <c r="G9" s="573">
        <v>1163152</v>
      </c>
      <c r="H9" s="573">
        <v>2349312</v>
      </c>
      <c r="I9" s="573">
        <v>97143</v>
      </c>
      <c r="J9" s="573">
        <v>94761</v>
      </c>
      <c r="K9" s="573">
        <v>191904</v>
      </c>
    </row>
    <row r="10" spans="1:11" ht="25.5" customHeight="1" x14ac:dyDescent="0.3">
      <c r="A10" s="417">
        <v>6</v>
      </c>
      <c r="B10" s="572" t="s">
        <v>17</v>
      </c>
      <c r="C10" s="573">
        <v>102872</v>
      </c>
      <c r="D10" s="573">
        <v>76151</v>
      </c>
      <c r="E10" s="573">
        <v>179024</v>
      </c>
      <c r="F10" s="573">
        <v>18937</v>
      </c>
      <c r="G10" s="573">
        <v>15748</v>
      </c>
      <c r="H10" s="573">
        <v>34685</v>
      </c>
      <c r="I10" s="573">
        <v>0</v>
      </c>
      <c r="J10" s="573">
        <v>0</v>
      </c>
      <c r="K10" s="573">
        <v>0</v>
      </c>
    </row>
    <row r="11" spans="1:11" ht="25.5" customHeight="1" x14ac:dyDescent="0.3">
      <c r="A11" s="417">
        <v>7</v>
      </c>
      <c r="B11" s="572" t="s">
        <v>18</v>
      </c>
      <c r="C11" s="573">
        <v>1675800</v>
      </c>
      <c r="D11" s="573">
        <v>1639000</v>
      </c>
      <c r="E11" s="573">
        <v>3315200</v>
      </c>
      <c r="F11" s="573">
        <v>225185</v>
      </c>
      <c r="G11" s="573">
        <v>216854</v>
      </c>
      <c r="H11" s="573">
        <v>442038</v>
      </c>
      <c r="I11" s="573">
        <v>481478</v>
      </c>
      <c r="J11" s="573">
        <v>500831</v>
      </c>
      <c r="K11" s="573">
        <v>982309</v>
      </c>
    </row>
    <row r="12" spans="1:11" ht="25.5" customHeight="1" x14ac:dyDescent="0.3">
      <c r="A12" s="417">
        <v>8</v>
      </c>
      <c r="B12" s="572" t="s">
        <v>19</v>
      </c>
      <c r="C12" s="573">
        <v>1205200</v>
      </c>
      <c r="D12" s="573">
        <v>1128200</v>
      </c>
      <c r="E12" s="573">
        <v>2332200</v>
      </c>
      <c r="F12" s="573">
        <v>220771</v>
      </c>
      <c r="G12" s="573">
        <v>216582</v>
      </c>
      <c r="H12" s="573">
        <v>437352</v>
      </c>
      <c r="I12" s="573">
        <v>0</v>
      </c>
      <c r="J12" s="573">
        <v>0</v>
      </c>
      <c r="K12" s="573">
        <v>0</v>
      </c>
    </row>
    <row r="13" spans="1:11" ht="25.5" customHeight="1" x14ac:dyDescent="0.3">
      <c r="A13" s="417">
        <v>9</v>
      </c>
      <c r="B13" s="572" t="s">
        <v>20</v>
      </c>
      <c r="C13" s="573">
        <v>103752</v>
      </c>
      <c r="D13" s="573">
        <v>87134</v>
      </c>
      <c r="E13" s="573">
        <v>190887</v>
      </c>
      <c r="F13" s="573">
        <v>1911</v>
      </c>
      <c r="G13" s="573">
        <v>1821</v>
      </c>
      <c r="H13" s="573">
        <v>3732</v>
      </c>
      <c r="I13" s="573">
        <v>9370</v>
      </c>
      <c r="J13" s="573">
        <v>9087</v>
      </c>
      <c r="K13" s="573">
        <v>18457</v>
      </c>
    </row>
    <row r="14" spans="1:11" ht="25.5" customHeight="1" x14ac:dyDescent="0.3">
      <c r="A14" s="417">
        <v>10</v>
      </c>
      <c r="B14" s="572" t="s">
        <v>21</v>
      </c>
      <c r="C14" s="573">
        <v>3951400</v>
      </c>
      <c r="D14" s="573">
        <v>3445600</v>
      </c>
      <c r="E14" s="573">
        <v>7398200</v>
      </c>
      <c r="F14" s="573">
        <v>279680</v>
      </c>
      <c r="G14" s="573">
        <v>245278</v>
      </c>
      <c r="H14" s="573">
        <v>524958</v>
      </c>
      <c r="I14" s="573">
        <v>504023</v>
      </c>
      <c r="J14" s="573">
        <v>486131</v>
      </c>
      <c r="K14" s="573">
        <v>990155</v>
      </c>
    </row>
    <row r="15" spans="1:11" ht="25.5" customHeight="1" x14ac:dyDescent="0.3">
      <c r="A15" s="417">
        <v>11</v>
      </c>
      <c r="B15" s="572" t="s">
        <v>22</v>
      </c>
      <c r="C15" s="573">
        <v>1760000</v>
      </c>
      <c r="D15" s="573">
        <v>1505400</v>
      </c>
      <c r="E15" s="573">
        <v>3266400</v>
      </c>
      <c r="F15" s="573">
        <v>374573</v>
      </c>
      <c r="G15" s="573">
        <v>317183</v>
      </c>
      <c r="H15" s="573">
        <v>691756</v>
      </c>
      <c r="I15" s="573">
        <v>0</v>
      </c>
      <c r="J15" s="573">
        <v>0</v>
      </c>
      <c r="K15" s="573">
        <v>0</v>
      </c>
    </row>
    <row r="16" spans="1:11" ht="25.5" customHeight="1" x14ac:dyDescent="0.3">
      <c r="A16" s="417">
        <v>12</v>
      </c>
      <c r="B16" s="572" t="s">
        <v>23</v>
      </c>
      <c r="C16" s="573">
        <v>386800</v>
      </c>
      <c r="D16" s="573">
        <v>339000</v>
      </c>
      <c r="E16" s="573">
        <v>724800</v>
      </c>
      <c r="F16" s="573">
        <v>99658</v>
      </c>
      <c r="G16" s="573">
        <v>89496</v>
      </c>
      <c r="H16" s="573">
        <v>189153</v>
      </c>
      <c r="I16" s="573">
        <v>21903</v>
      </c>
      <c r="J16" s="573">
        <v>20470</v>
      </c>
      <c r="K16" s="573">
        <v>42373</v>
      </c>
    </row>
    <row r="17" spans="1:11" ht="25.5" customHeight="1" x14ac:dyDescent="0.3">
      <c r="A17" s="417">
        <v>13</v>
      </c>
      <c r="B17" s="572" t="s">
        <v>24</v>
      </c>
      <c r="C17" s="573">
        <v>871200</v>
      </c>
      <c r="D17" s="573">
        <v>770400</v>
      </c>
      <c r="E17" s="573">
        <v>1642200</v>
      </c>
      <c r="F17" s="573">
        <v>71275</v>
      </c>
      <c r="G17" s="573">
        <v>62501</v>
      </c>
      <c r="H17" s="573">
        <v>133776</v>
      </c>
      <c r="I17" s="573">
        <v>82393</v>
      </c>
      <c r="J17" s="573">
        <v>72367</v>
      </c>
      <c r="K17" s="573">
        <v>154759</v>
      </c>
    </row>
    <row r="18" spans="1:11" ht="25.5" customHeight="1" x14ac:dyDescent="0.3">
      <c r="A18" s="417">
        <v>14</v>
      </c>
      <c r="B18" s="572" t="s">
        <v>25</v>
      </c>
      <c r="C18" s="573">
        <v>2422000</v>
      </c>
      <c r="D18" s="573">
        <v>2323200</v>
      </c>
      <c r="E18" s="573">
        <v>4745200</v>
      </c>
      <c r="F18" s="573">
        <v>289215</v>
      </c>
      <c r="G18" s="573">
        <v>274263</v>
      </c>
      <c r="H18" s="573">
        <v>563478</v>
      </c>
      <c r="I18" s="573">
        <v>586757</v>
      </c>
      <c r="J18" s="573">
        <v>630681</v>
      </c>
      <c r="K18" s="573">
        <v>1217438</v>
      </c>
    </row>
    <row r="19" spans="1:11" ht="25.5" customHeight="1" x14ac:dyDescent="0.3">
      <c r="A19" s="417">
        <v>15</v>
      </c>
      <c r="B19" s="572" t="s">
        <v>26</v>
      </c>
      <c r="C19" s="573">
        <v>3400200</v>
      </c>
      <c r="D19" s="573">
        <v>3184400</v>
      </c>
      <c r="E19" s="573">
        <v>6583200</v>
      </c>
      <c r="F19" s="573">
        <v>602731</v>
      </c>
      <c r="G19" s="573">
        <v>579501</v>
      </c>
      <c r="H19" s="573">
        <v>1182232</v>
      </c>
      <c r="I19" s="573">
        <v>245156</v>
      </c>
      <c r="J19" s="573">
        <v>231898</v>
      </c>
      <c r="K19" s="573">
        <v>477054</v>
      </c>
    </row>
    <row r="20" spans="1:11" ht="25.5" customHeight="1" x14ac:dyDescent="0.3">
      <c r="A20" s="417">
        <v>16</v>
      </c>
      <c r="B20" s="572" t="s">
        <v>27</v>
      </c>
      <c r="C20" s="573">
        <v>1597200</v>
      </c>
      <c r="D20" s="573">
        <v>1505800</v>
      </c>
      <c r="E20" s="573">
        <v>3102600</v>
      </c>
      <c r="F20" s="573">
        <v>144782</v>
      </c>
      <c r="G20" s="573">
        <v>136213</v>
      </c>
      <c r="H20" s="573">
        <v>280995</v>
      </c>
      <c r="I20" s="573">
        <v>24270</v>
      </c>
      <c r="J20" s="573">
        <v>24284</v>
      </c>
      <c r="K20" s="573">
        <v>48554</v>
      </c>
    </row>
    <row r="21" spans="1:11" ht="25.5" customHeight="1" x14ac:dyDescent="0.3">
      <c r="A21" s="417">
        <v>17</v>
      </c>
      <c r="B21" s="572" t="s">
        <v>28</v>
      </c>
      <c r="C21" s="573">
        <v>22172</v>
      </c>
      <c r="D21" s="573">
        <v>17998</v>
      </c>
      <c r="E21" s="573">
        <v>40170</v>
      </c>
      <c r="F21" s="573">
        <v>93</v>
      </c>
      <c r="G21" s="573">
        <v>6</v>
      </c>
      <c r="H21" s="573">
        <v>100</v>
      </c>
      <c r="I21" s="573">
        <v>15937</v>
      </c>
      <c r="J21" s="573">
        <v>16508</v>
      </c>
      <c r="K21" s="573">
        <v>32445</v>
      </c>
    </row>
    <row r="22" spans="1:11" ht="25.5" customHeight="1" x14ac:dyDescent="0.3">
      <c r="A22" s="417">
        <v>18</v>
      </c>
      <c r="B22" s="572" t="s">
        <v>82</v>
      </c>
      <c r="C22" s="573">
        <v>4408</v>
      </c>
      <c r="D22" s="573">
        <v>3940</v>
      </c>
      <c r="E22" s="573">
        <v>8349</v>
      </c>
      <c r="F22" s="573">
        <v>0</v>
      </c>
      <c r="G22" s="573">
        <v>0</v>
      </c>
      <c r="H22" s="573">
        <v>0</v>
      </c>
      <c r="I22" s="573">
        <v>4005</v>
      </c>
      <c r="J22" s="573">
        <v>3865</v>
      </c>
      <c r="K22" s="573">
        <v>7870</v>
      </c>
    </row>
    <row r="23" spans="1:11" ht="25.5" customHeight="1" x14ac:dyDescent="0.3">
      <c r="A23" s="417">
        <v>19</v>
      </c>
      <c r="B23" s="572" t="s">
        <v>948</v>
      </c>
      <c r="C23" s="573">
        <v>4984800</v>
      </c>
      <c r="D23" s="573">
        <v>4577400</v>
      </c>
      <c r="E23" s="573">
        <v>9562400</v>
      </c>
      <c r="F23" s="573">
        <v>817181</v>
      </c>
      <c r="G23" s="573">
        <v>718153</v>
      </c>
      <c r="H23" s="573">
        <v>1535334</v>
      </c>
      <c r="I23" s="573">
        <v>912350</v>
      </c>
      <c r="J23" s="573">
        <v>955229</v>
      </c>
      <c r="K23" s="573">
        <v>1867580</v>
      </c>
    </row>
    <row r="24" spans="1:11" ht="25.5" customHeight="1" x14ac:dyDescent="0.3">
      <c r="A24" s="417">
        <v>20</v>
      </c>
      <c r="B24" s="572" t="s">
        <v>30</v>
      </c>
      <c r="C24" s="573">
        <v>6736200</v>
      </c>
      <c r="D24" s="573">
        <v>6032000</v>
      </c>
      <c r="E24" s="573">
        <v>12769400</v>
      </c>
      <c r="F24" s="573">
        <v>820720</v>
      </c>
      <c r="G24" s="573">
        <v>759412</v>
      </c>
      <c r="H24" s="573">
        <v>1580132</v>
      </c>
      <c r="I24" s="573">
        <v>587249</v>
      </c>
      <c r="J24" s="573">
        <v>590130</v>
      </c>
      <c r="K24" s="573">
        <v>1177380</v>
      </c>
    </row>
    <row r="25" spans="1:11" ht="25.5" customHeight="1" x14ac:dyDescent="0.3">
      <c r="A25" s="417">
        <v>21</v>
      </c>
      <c r="B25" s="572" t="s">
        <v>31</v>
      </c>
      <c r="C25" s="573">
        <v>186263</v>
      </c>
      <c r="D25" s="573">
        <v>179449</v>
      </c>
      <c r="E25" s="573">
        <v>365713</v>
      </c>
      <c r="F25" s="573">
        <v>6444</v>
      </c>
      <c r="G25" s="573">
        <v>6107</v>
      </c>
      <c r="H25" s="573">
        <v>12551</v>
      </c>
      <c r="I25" s="573">
        <v>101144</v>
      </c>
      <c r="J25" s="573">
        <v>94101</v>
      </c>
      <c r="K25" s="573">
        <v>195245</v>
      </c>
    </row>
    <row r="26" spans="1:11" ht="25.5" customHeight="1" x14ac:dyDescent="0.3">
      <c r="A26" s="417">
        <v>22</v>
      </c>
      <c r="B26" s="572" t="s">
        <v>32</v>
      </c>
      <c r="C26" s="573">
        <v>190509</v>
      </c>
      <c r="D26" s="573">
        <v>187102</v>
      </c>
      <c r="E26" s="573">
        <v>377611</v>
      </c>
      <c r="F26" s="573">
        <v>1283</v>
      </c>
      <c r="G26" s="573">
        <v>1090</v>
      </c>
      <c r="H26" s="573">
        <v>2373</v>
      </c>
      <c r="I26" s="573">
        <v>161273</v>
      </c>
      <c r="J26" s="573">
        <v>162940</v>
      </c>
      <c r="K26" s="573">
        <v>324213</v>
      </c>
    </row>
    <row r="27" spans="1:11" ht="25.5" customHeight="1" x14ac:dyDescent="0.3">
      <c r="A27" s="417">
        <v>23</v>
      </c>
      <c r="B27" s="572" t="s">
        <v>33</v>
      </c>
      <c r="C27" s="573">
        <v>73268</v>
      </c>
      <c r="D27" s="573">
        <v>70604</v>
      </c>
      <c r="E27" s="573">
        <v>143872</v>
      </c>
      <c r="F27" s="573">
        <v>122</v>
      </c>
      <c r="G27" s="573">
        <v>66</v>
      </c>
      <c r="H27" s="573">
        <v>188</v>
      </c>
      <c r="I27" s="573">
        <v>68140</v>
      </c>
      <c r="J27" s="573">
        <v>67524</v>
      </c>
      <c r="K27" s="573">
        <v>135664</v>
      </c>
    </row>
    <row r="28" spans="1:11" ht="25.5" customHeight="1" x14ac:dyDescent="0.3">
      <c r="A28" s="417">
        <v>24</v>
      </c>
      <c r="B28" s="572" t="s">
        <v>34</v>
      </c>
      <c r="C28" s="573">
        <v>141399</v>
      </c>
      <c r="D28" s="573">
        <v>129757</v>
      </c>
      <c r="E28" s="573">
        <v>271157</v>
      </c>
      <c r="F28" s="573">
        <v>0</v>
      </c>
      <c r="G28" s="573">
        <v>0</v>
      </c>
      <c r="H28" s="573">
        <v>0</v>
      </c>
      <c r="I28" s="573">
        <v>120667</v>
      </c>
      <c r="J28" s="573">
        <v>115477</v>
      </c>
      <c r="K28" s="573">
        <v>236144</v>
      </c>
    </row>
    <row r="29" spans="1:11" ht="25.5" customHeight="1" x14ac:dyDescent="0.3">
      <c r="A29" s="417">
        <v>25</v>
      </c>
      <c r="B29" s="572" t="s">
        <v>35</v>
      </c>
      <c r="C29" s="573">
        <v>2433000</v>
      </c>
      <c r="D29" s="573">
        <v>2337000</v>
      </c>
      <c r="E29" s="573">
        <v>4770600</v>
      </c>
      <c r="F29" s="573">
        <v>428135</v>
      </c>
      <c r="G29" s="573">
        <v>412040</v>
      </c>
      <c r="H29" s="573">
        <v>840175</v>
      </c>
      <c r="I29" s="573">
        <v>505154</v>
      </c>
      <c r="J29" s="573">
        <v>529076</v>
      </c>
      <c r="K29" s="573">
        <v>1034230</v>
      </c>
    </row>
    <row r="30" spans="1:11" ht="25.5" customHeight="1" x14ac:dyDescent="0.3">
      <c r="A30" s="417">
        <v>26</v>
      </c>
      <c r="B30" s="572" t="s">
        <v>36</v>
      </c>
      <c r="C30" s="573">
        <v>77700</v>
      </c>
      <c r="D30" s="573">
        <v>82761</v>
      </c>
      <c r="E30" s="573">
        <v>160461</v>
      </c>
      <c r="F30" s="573">
        <v>13543</v>
      </c>
      <c r="G30" s="573">
        <v>14584</v>
      </c>
      <c r="H30" s="573">
        <v>28127</v>
      </c>
      <c r="I30" s="573">
        <v>0</v>
      </c>
      <c r="J30" s="573">
        <v>0</v>
      </c>
      <c r="K30" s="573">
        <v>0</v>
      </c>
    </row>
    <row r="31" spans="1:11" ht="25.5" customHeight="1" x14ac:dyDescent="0.3">
      <c r="A31" s="417">
        <v>27</v>
      </c>
      <c r="B31" s="572" t="s">
        <v>37</v>
      </c>
      <c r="C31" s="573">
        <v>1661400</v>
      </c>
      <c r="D31" s="573">
        <v>1368800</v>
      </c>
      <c r="E31" s="573">
        <v>3030200</v>
      </c>
      <c r="F31" s="573">
        <v>552079</v>
      </c>
      <c r="G31" s="573">
        <v>464235</v>
      </c>
      <c r="H31" s="573">
        <v>1016314</v>
      </c>
      <c r="I31" s="573">
        <v>0</v>
      </c>
      <c r="J31" s="573">
        <v>0</v>
      </c>
      <c r="K31" s="573">
        <v>0</v>
      </c>
    </row>
    <row r="32" spans="1:11" ht="25.5" customHeight="1" x14ac:dyDescent="0.3">
      <c r="A32" s="417">
        <v>28</v>
      </c>
      <c r="B32" s="572" t="s">
        <v>38</v>
      </c>
      <c r="C32" s="573">
        <v>4850200</v>
      </c>
      <c r="D32" s="573">
        <v>4427200</v>
      </c>
      <c r="E32" s="573">
        <v>9276600</v>
      </c>
      <c r="F32" s="573">
        <v>904153</v>
      </c>
      <c r="G32" s="573">
        <v>798634</v>
      </c>
      <c r="H32" s="573">
        <v>1702787</v>
      </c>
      <c r="I32" s="573">
        <v>600820</v>
      </c>
      <c r="J32" s="573">
        <v>585378</v>
      </c>
      <c r="K32" s="573">
        <v>1186198</v>
      </c>
    </row>
    <row r="33" spans="1:11" ht="25.5" customHeight="1" x14ac:dyDescent="0.3">
      <c r="A33" s="417">
        <v>29</v>
      </c>
      <c r="B33" s="572" t="s">
        <v>39</v>
      </c>
      <c r="C33" s="573">
        <v>45978</v>
      </c>
      <c r="D33" s="573">
        <v>40879</v>
      </c>
      <c r="E33" s="573">
        <v>86856</v>
      </c>
      <c r="F33" s="573">
        <v>2082</v>
      </c>
      <c r="G33" s="573">
        <v>2107</v>
      </c>
      <c r="H33" s="573">
        <v>4188</v>
      </c>
      <c r="I33" s="573">
        <v>14608</v>
      </c>
      <c r="J33" s="573">
        <v>14114</v>
      </c>
      <c r="K33" s="573">
        <v>28722</v>
      </c>
    </row>
    <row r="34" spans="1:11" ht="25.5" customHeight="1" x14ac:dyDescent="0.3">
      <c r="A34" s="417">
        <v>30</v>
      </c>
      <c r="B34" s="572" t="s">
        <v>947</v>
      </c>
      <c r="C34" s="573">
        <v>3522600</v>
      </c>
      <c r="D34" s="573">
        <v>3318000</v>
      </c>
      <c r="E34" s="573">
        <v>6841200</v>
      </c>
      <c r="F34" s="573">
        <v>763419</v>
      </c>
      <c r="G34" s="573">
        <v>736875</v>
      </c>
      <c r="H34" s="573">
        <v>1500294</v>
      </c>
      <c r="I34" s="573">
        <v>39125</v>
      </c>
      <c r="J34" s="573">
        <v>38812</v>
      </c>
      <c r="K34" s="573">
        <v>77937</v>
      </c>
    </row>
    <row r="35" spans="1:11" ht="25.5" customHeight="1" x14ac:dyDescent="0.3">
      <c r="A35" s="417">
        <v>31</v>
      </c>
      <c r="B35" s="572" t="s">
        <v>41</v>
      </c>
      <c r="C35" s="573">
        <v>1978400</v>
      </c>
      <c r="D35" s="573">
        <v>1857200</v>
      </c>
      <c r="E35" s="573">
        <v>3836600</v>
      </c>
      <c r="F35" s="573">
        <v>321650</v>
      </c>
      <c r="G35" s="573">
        <v>301482</v>
      </c>
      <c r="H35" s="573">
        <v>623133</v>
      </c>
      <c r="I35" s="573">
        <v>177344</v>
      </c>
      <c r="J35" s="573">
        <v>170244</v>
      </c>
      <c r="K35" s="573">
        <v>347588</v>
      </c>
    </row>
    <row r="36" spans="1:11" ht="30.75" customHeight="1" x14ac:dyDescent="0.3">
      <c r="A36" s="417">
        <v>32</v>
      </c>
      <c r="B36" s="572" t="s">
        <v>58</v>
      </c>
      <c r="C36" s="573">
        <v>81711</v>
      </c>
      <c r="D36" s="573">
        <v>38065</v>
      </c>
      <c r="E36" s="573">
        <v>119776</v>
      </c>
      <c r="F36" s="573">
        <v>1109</v>
      </c>
      <c r="G36" s="573">
        <v>869</v>
      </c>
      <c r="H36" s="573">
        <v>1978</v>
      </c>
      <c r="I36" s="573">
        <v>14125</v>
      </c>
      <c r="J36" s="573">
        <v>14803</v>
      </c>
      <c r="K36" s="573">
        <v>28927</v>
      </c>
    </row>
    <row r="37" spans="1:11" ht="25.5" customHeight="1" x14ac:dyDescent="0.3">
      <c r="A37" s="417">
        <v>33</v>
      </c>
      <c r="B37" s="572" t="s">
        <v>42</v>
      </c>
      <c r="C37" s="573">
        <v>242257</v>
      </c>
      <c r="D37" s="573">
        <v>239492</v>
      </c>
      <c r="E37" s="573">
        <v>481749</v>
      </c>
      <c r="F37" s="573">
        <v>47090</v>
      </c>
      <c r="G37" s="573">
        <v>44411</v>
      </c>
      <c r="H37" s="573">
        <v>91501</v>
      </c>
      <c r="I37" s="573">
        <v>75672</v>
      </c>
      <c r="J37" s="573">
        <v>81115</v>
      </c>
      <c r="K37" s="573">
        <v>156786</v>
      </c>
    </row>
    <row r="38" spans="1:11" ht="25.5" customHeight="1" x14ac:dyDescent="0.3">
      <c r="A38" s="417">
        <v>34</v>
      </c>
      <c r="B38" s="572" t="s">
        <v>43</v>
      </c>
      <c r="C38" s="573">
        <v>14825000</v>
      </c>
      <c r="D38" s="573">
        <v>13167600</v>
      </c>
      <c r="E38" s="573">
        <v>27993800</v>
      </c>
      <c r="F38" s="573">
        <v>3023344</v>
      </c>
      <c r="G38" s="573">
        <v>2600277</v>
      </c>
      <c r="H38" s="573">
        <v>5623621</v>
      </c>
      <c r="I38" s="573">
        <v>71687</v>
      </c>
      <c r="J38" s="573">
        <v>71372</v>
      </c>
      <c r="K38" s="573">
        <v>143059</v>
      </c>
    </row>
    <row r="39" spans="1:11" ht="25.5" customHeight="1" x14ac:dyDescent="0.3">
      <c r="A39" s="417">
        <v>35</v>
      </c>
      <c r="B39" s="572" t="s">
        <v>44</v>
      </c>
      <c r="C39" s="573">
        <v>697400</v>
      </c>
      <c r="D39" s="573">
        <v>626400</v>
      </c>
      <c r="E39" s="573">
        <v>1321800</v>
      </c>
      <c r="F39" s="573">
        <v>132065</v>
      </c>
      <c r="G39" s="573">
        <v>118296</v>
      </c>
      <c r="H39" s="573">
        <v>250361</v>
      </c>
      <c r="I39" s="573">
        <v>21452</v>
      </c>
      <c r="J39" s="573">
        <v>20456</v>
      </c>
      <c r="K39" s="573">
        <v>41909</v>
      </c>
    </row>
    <row r="40" spans="1:11" ht="25.5" customHeight="1" x14ac:dyDescent="0.3">
      <c r="A40" s="417">
        <v>36</v>
      </c>
      <c r="B40" s="572" t="s">
        <v>45</v>
      </c>
      <c r="C40" s="573">
        <v>5116600</v>
      </c>
      <c r="D40" s="573">
        <v>4875600</v>
      </c>
      <c r="E40" s="573">
        <v>9992600</v>
      </c>
      <c r="F40" s="573">
        <v>1108872</v>
      </c>
      <c r="G40" s="573">
        <v>1082793</v>
      </c>
      <c r="H40" s="573">
        <v>2191664</v>
      </c>
      <c r="I40" s="573">
        <v>299683</v>
      </c>
      <c r="J40" s="573">
        <v>304094</v>
      </c>
      <c r="K40" s="573">
        <v>603777</v>
      </c>
    </row>
    <row r="41" spans="1:11" s="571" customFormat="1" ht="26.25" customHeight="1" x14ac:dyDescent="0.3">
      <c r="A41" s="911" t="s">
        <v>46</v>
      </c>
      <c r="B41" s="911"/>
      <c r="C41" s="574">
        <v>78337800</v>
      </c>
      <c r="D41" s="574">
        <v>71542200</v>
      </c>
      <c r="E41" s="574">
        <v>149879000</v>
      </c>
      <c r="F41" s="574">
        <v>13098566</v>
      </c>
      <c r="G41" s="574">
        <v>11982556</v>
      </c>
      <c r="H41" s="574">
        <v>25081122</v>
      </c>
      <c r="I41" s="574">
        <v>6288961</v>
      </c>
      <c r="J41" s="574">
        <v>6364443</v>
      </c>
      <c r="K41" s="574">
        <v>12653404</v>
      </c>
    </row>
  </sheetData>
  <mergeCells count="7">
    <mergeCell ref="A41:B41"/>
    <mergeCell ref="A1:K1"/>
    <mergeCell ref="A2:A3"/>
    <mergeCell ref="B2:B3"/>
    <mergeCell ref="C2:E2"/>
    <mergeCell ref="F2:H2"/>
    <mergeCell ref="I2:K2"/>
  </mergeCells>
  <pageMargins left="0.59055118110236227" right="0.35433070866141736" top="0.39370078740157483" bottom="0.39370078740157483" header="0.31496062992125984" footer="0.19685039370078741"/>
  <pageSetup paperSize="9" scale="65" orientation="portrait" r:id="rId1"/>
  <headerFooter>
    <oddFooter>&amp;L&amp;"Arial,Italic"&amp;9AISHE 2023-24&amp;RT-38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6F22-D6A9-4F0A-8388-C9B0F38902D5}">
  <dimension ref="A1:AL117"/>
  <sheetViews>
    <sheetView showZeros="0" view="pageBreakPreview" topLeftCell="H18" zoomScale="99" zoomScaleNormal="100" zoomScaleSheetLayoutView="99" workbookViewId="0">
      <selection activeCell="H18" sqref="H18"/>
    </sheetView>
  </sheetViews>
  <sheetFormatPr defaultColWidth="9.453125" defaultRowHeight="14" x14ac:dyDescent="0.35"/>
  <cols>
    <col min="1" max="1" width="3.81640625" style="435" bestFit="1" customWidth="1"/>
    <col min="2" max="2" width="20.81640625" style="425" customWidth="1"/>
    <col min="3" max="29" width="11.7265625" style="425" customWidth="1"/>
    <col min="30" max="35" width="17.54296875" style="425" customWidth="1"/>
    <col min="36" max="16384" width="9.453125" style="425"/>
  </cols>
  <sheetData>
    <row r="1" spans="1:35" s="435" customFormat="1" ht="44.25" customHeight="1" x14ac:dyDescent="0.35">
      <c r="B1" s="436"/>
      <c r="C1" s="920" t="s">
        <v>1019</v>
      </c>
      <c r="D1" s="920"/>
      <c r="E1" s="920"/>
      <c r="F1" s="920"/>
      <c r="G1" s="920"/>
      <c r="H1" s="920"/>
      <c r="I1" s="920"/>
      <c r="J1" s="920"/>
      <c r="K1" s="920"/>
      <c r="L1" s="920" t="str">
        <f>C1</f>
        <v>Table 39. States/UTs-Wise Enrolment by Type in University Teaching Departments and Constituent Units/Off-Campus Centers (Based on Actual Responses)</v>
      </c>
      <c r="M1" s="920"/>
      <c r="N1" s="920"/>
      <c r="O1" s="920"/>
      <c r="P1" s="920"/>
      <c r="Q1" s="920"/>
      <c r="R1" s="920"/>
      <c r="S1" s="920"/>
      <c r="T1" s="920"/>
      <c r="U1" s="920" t="str">
        <f>C1</f>
        <v>Table 39. States/UTs-Wise Enrolment by Type in University Teaching Departments and Constituent Units/Off-Campus Centers (Based on Actual Responses)</v>
      </c>
      <c r="V1" s="920"/>
      <c r="W1" s="920"/>
      <c r="X1" s="920"/>
      <c r="Y1" s="920"/>
      <c r="Z1" s="920"/>
      <c r="AA1" s="920"/>
      <c r="AB1" s="920"/>
      <c r="AC1" s="920"/>
      <c r="AD1" s="920" t="str">
        <f>C1</f>
        <v>Table 39. States/UTs-Wise Enrolment by Type in University Teaching Departments and Constituent Units/Off-Campus Centers (Based on Actual Responses)</v>
      </c>
      <c r="AE1" s="920"/>
      <c r="AF1" s="920"/>
      <c r="AG1" s="920"/>
      <c r="AH1" s="920"/>
      <c r="AI1" s="920"/>
    </row>
    <row r="2" spans="1:35" s="434" customFormat="1" ht="39.75" customHeight="1" x14ac:dyDescent="0.35">
      <c r="A2" s="923" t="s">
        <v>94</v>
      </c>
      <c r="B2" s="925" t="s">
        <v>938</v>
      </c>
      <c r="C2" s="918" t="s">
        <v>908</v>
      </c>
      <c r="D2" s="918"/>
      <c r="E2" s="918"/>
      <c r="F2" s="918" t="s">
        <v>909</v>
      </c>
      <c r="G2" s="918"/>
      <c r="H2" s="918"/>
      <c r="I2" s="919" t="s">
        <v>910</v>
      </c>
      <c r="J2" s="919"/>
      <c r="K2" s="919"/>
      <c r="L2" s="919" t="s">
        <v>914</v>
      </c>
      <c r="M2" s="919"/>
      <c r="N2" s="919"/>
      <c r="O2" s="918" t="s">
        <v>911</v>
      </c>
      <c r="P2" s="918"/>
      <c r="Q2" s="918"/>
      <c r="R2" s="918" t="s">
        <v>912</v>
      </c>
      <c r="S2" s="918"/>
      <c r="T2" s="918"/>
      <c r="U2" s="918" t="s">
        <v>913</v>
      </c>
      <c r="V2" s="918"/>
      <c r="W2" s="918"/>
      <c r="X2" s="919" t="s">
        <v>915</v>
      </c>
      <c r="Y2" s="919"/>
      <c r="Z2" s="919"/>
      <c r="AA2" s="919" t="s">
        <v>916</v>
      </c>
      <c r="AB2" s="919"/>
      <c r="AC2" s="919"/>
      <c r="AD2" s="919" t="s">
        <v>917</v>
      </c>
      <c r="AE2" s="919"/>
      <c r="AF2" s="919"/>
      <c r="AG2" s="918" t="s">
        <v>12</v>
      </c>
      <c r="AH2" s="918"/>
      <c r="AI2" s="918"/>
    </row>
    <row r="3" spans="1:35" s="433" customFormat="1" ht="18.75" customHeight="1" x14ac:dyDescent="0.35">
      <c r="A3" s="924"/>
      <c r="B3" s="925"/>
      <c r="C3" s="554" t="s">
        <v>103</v>
      </c>
      <c r="D3" s="554" t="s">
        <v>104</v>
      </c>
      <c r="E3" s="554" t="s">
        <v>89</v>
      </c>
      <c r="F3" s="554" t="s">
        <v>103</v>
      </c>
      <c r="G3" s="554" t="s">
        <v>104</v>
      </c>
      <c r="H3" s="554" t="s">
        <v>89</v>
      </c>
      <c r="I3" s="554" t="s">
        <v>103</v>
      </c>
      <c r="J3" s="554" t="s">
        <v>104</v>
      </c>
      <c r="K3" s="554" t="s">
        <v>89</v>
      </c>
      <c r="L3" s="554" t="s">
        <v>103</v>
      </c>
      <c r="M3" s="554" t="s">
        <v>104</v>
      </c>
      <c r="N3" s="554" t="s">
        <v>89</v>
      </c>
      <c r="O3" s="554" t="s">
        <v>103</v>
      </c>
      <c r="P3" s="554" t="s">
        <v>104</v>
      </c>
      <c r="Q3" s="554" t="s">
        <v>89</v>
      </c>
      <c r="R3" s="554" t="s">
        <v>103</v>
      </c>
      <c r="S3" s="554" t="s">
        <v>104</v>
      </c>
      <c r="T3" s="554" t="s">
        <v>89</v>
      </c>
      <c r="U3" s="554" t="s">
        <v>103</v>
      </c>
      <c r="V3" s="554" t="s">
        <v>104</v>
      </c>
      <c r="W3" s="554" t="s">
        <v>89</v>
      </c>
      <c r="X3" s="554" t="s">
        <v>103</v>
      </c>
      <c r="Y3" s="554" t="s">
        <v>104</v>
      </c>
      <c r="Z3" s="554" t="s">
        <v>89</v>
      </c>
      <c r="AA3" s="554" t="s">
        <v>103</v>
      </c>
      <c r="AB3" s="554" t="s">
        <v>104</v>
      </c>
      <c r="AC3" s="554" t="s">
        <v>89</v>
      </c>
      <c r="AD3" s="554" t="s">
        <v>103</v>
      </c>
      <c r="AE3" s="554" t="s">
        <v>104</v>
      </c>
      <c r="AF3" s="554" t="s">
        <v>89</v>
      </c>
      <c r="AG3" s="554" t="s">
        <v>103</v>
      </c>
      <c r="AH3" s="554" t="s">
        <v>104</v>
      </c>
      <c r="AI3" s="554" t="s">
        <v>89</v>
      </c>
    </row>
    <row r="4" spans="1:35" s="452" customFormat="1" ht="10" customHeight="1" x14ac:dyDescent="0.35">
      <c r="A4" s="451">
        <v>1</v>
      </c>
      <c r="B4" s="451">
        <v>2</v>
      </c>
      <c r="C4" s="451">
        <v>3</v>
      </c>
      <c r="D4" s="451">
        <v>4</v>
      </c>
      <c r="E4" s="451">
        <v>5</v>
      </c>
      <c r="F4" s="451">
        <v>6</v>
      </c>
      <c r="G4" s="451">
        <v>7</v>
      </c>
      <c r="H4" s="451">
        <v>8</v>
      </c>
      <c r="I4" s="451">
        <v>9</v>
      </c>
      <c r="J4" s="451">
        <v>10</v>
      </c>
      <c r="K4" s="451">
        <v>11</v>
      </c>
      <c r="L4" s="451">
        <v>12</v>
      </c>
      <c r="M4" s="451">
        <v>13</v>
      </c>
      <c r="N4" s="451">
        <v>14</v>
      </c>
      <c r="O4" s="451">
        <v>15</v>
      </c>
      <c r="P4" s="451">
        <v>16</v>
      </c>
      <c r="Q4" s="451">
        <v>17</v>
      </c>
      <c r="R4" s="451">
        <v>18</v>
      </c>
      <c r="S4" s="451">
        <v>19</v>
      </c>
      <c r="T4" s="451">
        <v>20</v>
      </c>
      <c r="U4" s="451">
        <v>21</v>
      </c>
      <c r="V4" s="451">
        <v>22</v>
      </c>
      <c r="W4" s="451">
        <v>23</v>
      </c>
      <c r="X4" s="451">
        <v>24</v>
      </c>
      <c r="Y4" s="451">
        <v>25</v>
      </c>
      <c r="Z4" s="451">
        <v>26</v>
      </c>
      <c r="AA4" s="451">
        <v>27</v>
      </c>
      <c r="AB4" s="451">
        <v>28</v>
      </c>
      <c r="AC4" s="451">
        <v>29</v>
      </c>
      <c r="AD4" s="451">
        <v>30</v>
      </c>
      <c r="AE4" s="451">
        <v>31</v>
      </c>
      <c r="AF4" s="451">
        <v>32</v>
      </c>
      <c r="AG4" s="451">
        <v>33</v>
      </c>
      <c r="AH4" s="451">
        <v>34</v>
      </c>
      <c r="AI4" s="451">
        <v>35</v>
      </c>
    </row>
    <row r="5" spans="1:35" ht="31.5" customHeight="1" x14ac:dyDescent="0.35">
      <c r="A5" s="380">
        <v>1</v>
      </c>
      <c r="B5" s="249" t="s">
        <v>56</v>
      </c>
      <c r="C5" s="430"/>
      <c r="D5" s="430"/>
      <c r="E5" s="430"/>
      <c r="F5" s="430">
        <v>2145</v>
      </c>
      <c r="G5" s="430">
        <v>2235</v>
      </c>
      <c r="H5" s="430">
        <v>4380</v>
      </c>
      <c r="I5" s="430"/>
      <c r="J5" s="430"/>
      <c r="K5" s="430"/>
      <c r="L5" s="430"/>
      <c r="M5" s="430"/>
      <c r="N5" s="430"/>
      <c r="O5" s="430"/>
      <c r="P5" s="430"/>
      <c r="Q5" s="430"/>
      <c r="R5" s="430"/>
      <c r="S5" s="430"/>
      <c r="T5" s="430"/>
      <c r="U5" s="430"/>
      <c r="V5" s="430"/>
      <c r="W5" s="430"/>
      <c r="X5" s="430"/>
      <c r="Y5" s="430"/>
      <c r="Z5" s="430"/>
      <c r="AA5" s="430"/>
      <c r="AB5" s="430"/>
      <c r="AC5" s="430"/>
      <c r="AD5" s="430"/>
      <c r="AE5" s="430"/>
      <c r="AF5" s="430"/>
      <c r="AG5" s="430">
        <v>2145</v>
      </c>
      <c r="AH5" s="430">
        <v>2235</v>
      </c>
      <c r="AI5" s="430">
        <v>4380</v>
      </c>
    </row>
    <row r="6" spans="1:35" ht="27" customHeight="1" x14ac:dyDescent="0.35">
      <c r="A6" s="380">
        <v>2</v>
      </c>
      <c r="B6" s="431" t="s">
        <v>13</v>
      </c>
      <c r="C6" s="430">
        <v>1451</v>
      </c>
      <c r="D6" s="430">
        <v>1168</v>
      </c>
      <c r="E6" s="430">
        <v>2619</v>
      </c>
      <c r="F6" s="430">
        <v>6010</v>
      </c>
      <c r="G6" s="430">
        <v>2074</v>
      </c>
      <c r="H6" s="430">
        <v>8084</v>
      </c>
      <c r="I6" s="430">
        <v>6784</v>
      </c>
      <c r="J6" s="430">
        <v>2768</v>
      </c>
      <c r="K6" s="430">
        <v>9552</v>
      </c>
      <c r="L6" s="430">
        <v>349</v>
      </c>
      <c r="M6" s="430">
        <v>2037</v>
      </c>
      <c r="N6" s="430">
        <v>2386</v>
      </c>
      <c r="O6" s="430">
        <v>120060</v>
      </c>
      <c r="P6" s="430">
        <v>102840</v>
      </c>
      <c r="Q6" s="430">
        <v>222900</v>
      </c>
      <c r="R6" s="430">
        <v>18277</v>
      </c>
      <c r="S6" s="430">
        <v>19547</v>
      </c>
      <c r="T6" s="430">
        <v>37824</v>
      </c>
      <c r="U6" s="430">
        <v>21464</v>
      </c>
      <c r="V6" s="430">
        <v>12466</v>
      </c>
      <c r="W6" s="430">
        <v>33930</v>
      </c>
      <c r="X6" s="430"/>
      <c r="Y6" s="430"/>
      <c r="Z6" s="430"/>
      <c r="AA6" s="430"/>
      <c r="AB6" s="430"/>
      <c r="AC6" s="430"/>
      <c r="AD6" s="430">
        <v>35730</v>
      </c>
      <c r="AE6" s="430">
        <v>25452</v>
      </c>
      <c r="AF6" s="430">
        <v>61182</v>
      </c>
      <c r="AG6" s="430">
        <v>210125</v>
      </c>
      <c r="AH6" s="430">
        <v>168352</v>
      </c>
      <c r="AI6" s="430">
        <v>378477</v>
      </c>
    </row>
    <row r="7" spans="1:35" ht="27" customHeight="1" x14ac:dyDescent="0.35">
      <c r="A7" s="380">
        <v>3</v>
      </c>
      <c r="B7" s="431" t="s">
        <v>14</v>
      </c>
      <c r="C7" s="430">
        <v>2456</v>
      </c>
      <c r="D7" s="430">
        <v>2755</v>
      </c>
      <c r="E7" s="430">
        <v>5211</v>
      </c>
      <c r="F7" s="430">
        <v>2827</v>
      </c>
      <c r="G7" s="430">
        <v>4398</v>
      </c>
      <c r="H7" s="430">
        <v>7225</v>
      </c>
      <c r="I7" s="430">
        <v>829</v>
      </c>
      <c r="J7" s="430">
        <v>245</v>
      </c>
      <c r="K7" s="430">
        <v>1074</v>
      </c>
      <c r="L7" s="430"/>
      <c r="M7" s="430"/>
      <c r="N7" s="430"/>
      <c r="O7" s="430">
        <v>37</v>
      </c>
      <c r="P7" s="430">
        <v>63</v>
      </c>
      <c r="Q7" s="430">
        <v>100</v>
      </c>
      <c r="R7" s="430"/>
      <c r="S7" s="430"/>
      <c r="T7" s="430"/>
      <c r="U7" s="430">
        <v>9599</v>
      </c>
      <c r="V7" s="430">
        <v>6064</v>
      </c>
      <c r="W7" s="430">
        <v>15663</v>
      </c>
      <c r="X7" s="430">
        <v>1633</v>
      </c>
      <c r="Y7" s="430">
        <v>804</v>
      </c>
      <c r="Z7" s="430">
        <v>2437</v>
      </c>
      <c r="AA7" s="430"/>
      <c r="AB7" s="430"/>
      <c r="AC7" s="430"/>
      <c r="AD7" s="430"/>
      <c r="AE7" s="430"/>
      <c r="AF7" s="430"/>
      <c r="AG7" s="430">
        <v>17381</v>
      </c>
      <c r="AH7" s="430">
        <v>14329</v>
      </c>
      <c r="AI7" s="430">
        <v>31710</v>
      </c>
    </row>
    <row r="8" spans="1:35" ht="27" customHeight="1" x14ac:dyDescent="0.35">
      <c r="A8" s="380">
        <v>4</v>
      </c>
      <c r="B8" s="431" t="s">
        <v>15</v>
      </c>
      <c r="C8" s="430">
        <v>5523</v>
      </c>
      <c r="D8" s="430">
        <v>5237</v>
      </c>
      <c r="E8" s="430">
        <v>10760</v>
      </c>
      <c r="F8" s="430">
        <v>13177</v>
      </c>
      <c r="G8" s="430">
        <v>15933</v>
      </c>
      <c r="H8" s="430">
        <v>29110</v>
      </c>
      <c r="I8" s="430">
        <v>11700</v>
      </c>
      <c r="J8" s="430">
        <v>3657</v>
      </c>
      <c r="K8" s="430">
        <v>15357</v>
      </c>
      <c r="L8" s="430"/>
      <c r="M8" s="430"/>
      <c r="N8" s="430"/>
      <c r="O8" s="430">
        <v>16971</v>
      </c>
      <c r="P8" s="430">
        <v>24104</v>
      </c>
      <c r="Q8" s="430">
        <v>41075</v>
      </c>
      <c r="R8" s="430">
        <v>31189</v>
      </c>
      <c r="S8" s="430">
        <v>34755</v>
      </c>
      <c r="T8" s="430">
        <v>65944</v>
      </c>
      <c r="U8" s="430">
        <v>12511</v>
      </c>
      <c r="V8" s="430">
        <v>11802</v>
      </c>
      <c r="W8" s="430">
        <v>24313</v>
      </c>
      <c r="X8" s="430">
        <v>1415</v>
      </c>
      <c r="Y8" s="430">
        <v>475</v>
      </c>
      <c r="Z8" s="430">
        <v>1890</v>
      </c>
      <c r="AA8" s="430">
        <v>139</v>
      </c>
      <c r="AB8" s="430">
        <v>231</v>
      </c>
      <c r="AC8" s="430">
        <v>370</v>
      </c>
      <c r="AD8" s="430"/>
      <c r="AE8" s="430"/>
      <c r="AF8" s="430"/>
      <c r="AG8" s="430">
        <v>92625</v>
      </c>
      <c r="AH8" s="430">
        <v>96194</v>
      </c>
      <c r="AI8" s="430">
        <v>188819</v>
      </c>
    </row>
    <row r="9" spans="1:35" ht="27" customHeight="1" x14ac:dyDescent="0.35">
      <c r="A9" s="380">
        <v>5</v>
      </c>
      <c r="B9" s="431" t="s">
        <v>16</v>
      </c>
      <c r="C9" s="430">
        <v>3131</v>
      </c>
      <c r="D9" s="430">
        <v>2347</v>
      </c>
      <c r="E9" s="430">
        <v>5478</v>
      </c>
      <c r="F9" s="430">
        <v>87288</v>
      </c>
      <c r="G9" s="430">
        <v>68487</v>
      </c>
      <c r="H9" s="430">
        <v>155775</v>
      </c>
      <c r="I9" s="430">
        <v>8056</v>
      </c>
      <c r="J9" s="430">
        <v>3008</v>
      </c>
      <c r="K9" s="430">
        <v>11064</v>
      </c>
      <c r="L9" s="430">
        <v>542</v>
      </c>
      <c r="M9" s="430">
        <v>784</v>
      </c>
      <c r="N9" s="430">
        <v>1326</v>
      </c>
      <c r="O9" s="430">
        <v>44777</v>
      </c>
      <c r="P9" s="430">
        <v>40823</v>
      </c>
      <c r="Q9" s="430">
        <v>85600</v>
      </c>
      <c r="R9" s="430">
        <v>5872</v>
      </c>
      <c r="S9" s="430">
        <v>4972</v>
      </c>
      <c r="T9" s="430">
        <v>10844</v>
      </c>
      <c r="U9" s="430">
        <v>15026</v>
      </c>
      <c r="V9" s="430">
        <v>7619</v>
      </c>
      <c r="W9" s="430">
        <v>22645</v>
      </c>
      <c r="X9" s="430"/>
      <c r="Y9" s="430"/>
      <c r="Z9" s="430"/>
      <c r="AA9" s="430"/>
      <c r="AB9" s="430"/>
      <c r="AC9" s="430"/>
      <c r="AD9" s="430">
        <v>714</v>
      </c>
      <c r="AE9" s="430">
        <v>290</v>
      </c>
      <c r="AF9" s="430">
        <v>1004</v>
      </c>
      <c r="AG9" s="430">
        <v>165406</v>
      </c>
      <c r="AH9" s="430">
        <v>128330</v>
      </c>
      <c r="AI9" s="430">
        <v>293736</v>
      </c>
    </row>
    <row r="10" spans="1:35" ht="27" customHeight="1" x14ac:dyDescent="0.35">
      <c r="A10" s="380">
        <v>6</v>
      </c>
      <c r="B10" s="431" t="s">
        <v>17</v>
      </c>
      <c r="C10" s="430"/>
      <c r="D10" s="430"/>
      <c r="E10" s="430"/>
      <c r="F10" s="430">
        <v>10230</v>
      </c>
      <c r="G10" s="430">
        <v>9242</v>
      </c>
      <c r="H10" s="430">
        <v>19472</v>
      </c>
      <c r="I10" s="430">
        <v>508</v>
      </c>
      <c r="J10" s="430">
        <v>593</v>
      </c>
      <c r="K10" s="430">
        <v>1101</v>
      </c>
      <c r="L10" s="430"/>
      <c r="M10" s="430"/>
      <c r="N10" s="430"/>
      <c r="O10" s="430">
        <v>14752</v>
      </c>
      <c r="P10" s="430">
        <v>14293</v>
      </c>
      <c r="Q10" s="430">
        <v>29045</v>
      </c>
      <c r="R10" s="430"/>
      <c r="S10" s="430"/>
      <c r="T10" s="430"/>
      <c r="U10" s="430"/>
      <c r="V10" s="430"/>
      <c r="W10" s="430"/>
      <c r="X10" s="430">
        <v>2664</v>
      </c>
      <c r="Y10" s="430">
        <v>486</v>
      </c>
      <c r="Z10" s="430">
        <v>3150</v>
      </c>
      <c r="AA10" s="430"/>
      <c r="AB10" s="430"/>
      <c r="AC10" s="430"/>
      <c r="AD10" s="430"/>
      <c r="AE10" s="430"/>
      <c r="AF10" s="430"/>
      <c r="AG10" s="430">
        <v>28154</v>
      </c>
      <c r="AH10" s="430">
        <v>24614</v>
      </c>
      <c r="AI10" s="430">
        <v>52768</v>
      </c>
    </row>
    <row r="11" spans="1:35" ht="27" customHeight="1" x14ac:dyDescent="0.35">
      <c r="A11" s="380">
        <v>7</v>
      </c>
      <c r="B11" s="431" t="s">
        <v>18</v>
      </c>
      <c r="C11" s="432">
        <v>6294</v>
      </c>
      <c r="D11" s="430">
        <v>4165</v>
      </c>
      <c r="E11" s="430">
        <v>10459</v>
      </c>
      <c r="F11" s="430">
        <v>4026</v>
      </c>
      <c r="G11" s="430">
        <v>3042</v>
      </c>
      <c r="H11" s="430">
        <v>7068</v>
      </c>
      <c r="I11" s="430">
        <v>5730</v>
      </c>
      <c r="J11" s="430">
        <v>2418</v>
      </c>
      <c r="K11" s="430">
        <v>8148</v>
      </c>
      <c r="L11" s="430"/>
      <c r="M11" s="430"/>
      <c r="N11" s="430"/>
      <c r="O11" s="430">
        <v>106455</v>
      </c>
      <c r="P11" s="430">
        <v>119387</v>
      </c>
      <c r="Q11" s="430">
        <v>225842</v>
      </c>
      <c r="R11" s="430">
        <v>12315</v>
      </c>
      <c r="S11" s="430">
        <v>11332</v>
      </c>
      <c r="T11" s="430">
        <v>23647</v>
      </c>
      <c r="U11" s="430">
        <v>22686</v>
      </c>
      <c r="V11" s="430">
        <v>14640</v>
      </c>
      <c r="W11" s="430">
        <v>37326</v>
      </c>
      <c r="X11" s="430"/>
      <c r="Y11" s="430"/>
      <c r="Z11" s="430"/>
      <c r="AA11" s="430"/>
      <c r="AB11" s="430"/>
      <c r="AC11" s="430"/>
      <c r="AD11" s="430"/>
      <c r="AE11" s="430"/>
      <c r="AF11" s="430"/>
      <c r="AG11" s="430">
        <v>157506</v>
      </c>
      <c r="AH11" s="430">
        <v>154984</v>
      </c>
      <c r="AI11" s="430">
        <v>312490</v>
      </c>
    </row>
    <row r="12" spans="1:35" ht="27" customHeight="1" x14ac:dyDescent="0.35">
      <c r="A12" s="380">
        <v>8</v>
      </c>
      <c r="B12" s="431" t="s">
        <v>19</v>
      </c>
      <c r="C12" s="430">
        <v>241821</v>
      </c>
      <c r="D12" s="430">
        <v>248699</v>
      </c>
      <c r="E12" s="430">
        <v>490520</v>
      </c>
      <c r="F12" s="430">
        <v>159068</v>
      </c>
      <c r="G12" s="430">
        <v>171102</v>
      </c>
      <c r="H12" s="430">
        <v>330170</v>
      </c>
      <c r="I12" s="430">
        <v>10133</v>
      </c>
      <c r="J12" s="430">
        <v>5381</v>
      </c>
      <c r="K12" s="430">
        <v>15514</v>
      </c>
      <c r="L12" s="430"/>
      <c r="M12" s="430"/>
      <c r="N12" s="430"/>
      <c r="O12" s="430">
        <v>39340</v>
      </c>
      <c r="P12" s="430">
        <v>14699</v>
      </c>
      <c r="Q12" s="430">
        <v>54039</v>
      </c>
      <c r="R12" s="430"/>
      <c r="S12" s="430"/>
      <c r="T12" s="430"/>
      <c r="U12" s="430"/>
      <c r="V12" s="430"/>
      <c r="W12" s="430"/>
      <c r="X12" s="430">
        <v>2853</v>
      </c>
      <c r="Y12" s="430">
        <v>1794</v>
      </c>
      <c r="Z12" s="430">
        <v>4647</v>
      </c>
      <c r="AA12" s="430">
        <v>6191</v>
      </c>
      <c r="AB12" s="430">
        <v>4992</v>
      </c>
      <c r="AC12" s="430">
        <v>11183</v>
      </c>
      <c r="AD12" s="430">
        <v>1626</v>
      </c>
      <c r="AE12" s="430">
        <v>1146</v>
      </c>
      <c r="AF12" s="430">
        <v>2772</v>
      </c>
      <c r="AG12" s="430">
        <v>461032</v>
      </c>
      <c r="AH12" s="430">
        <v>447813</v>
      </c>
      <c r="AI12" s="430">
        <v>908845</v>
      </c>
    </row>
    <row r="13" spans="1:35" ht="27" customHeight="1" x14ac:dyDescent="0.35">
      <c r="A13" s="380">
        <v>9</v>
      </c>
      <c r="B13" s="431" t="s">
        <v>20</v>
      </c>
      <c r="C13" s="430"/>
      <c r="D13" s="430"/>
      <c r="E13" s="430"/>
      <c r="F13" s="430">
        <v>2851</v>
      </c>
      <c r="G13" s="430">
        <v>2243</v>
      </c>
      <c r="H13" s="430">
        <v>5094</v>
      </c>
      <c r="I13" s="430">
        <v>1366</v>
      </c>
      <c r="J13" s="430">
        <v>606</v>
      </c>
      <c r="K13" s="430">
        <v>1972</v>
      </c>
      <c r="L13" s="430"/>
      <c r="M13" s="430"/>
      <c r="N13" s="430"/>
      <c r="O13" s="430">
        <v>1094</v>
      </c>
      <c r="P13" s="430">
        <v>2160</v>
      </c>
      <c r="Q13" s="430">
        <v>3254</v>
      </c>
      <c r="R13" s="430"/>
      <c r="S13" s="430"/>
      <c r="T13" s="430"/>
      <c r="U13" s="430">
        <v>32</v>
      </c>
      <c r="V13" s="430">
        <v>25</v>
      </c>
      <c r="W13" s="430">
        <v>57</v>
      </c>
      <c r="X13" s="430"/>
      <c r="Y13" s="430"/>
      <c r="Z13" s="430"/>
      <c r="AA13" s="430"/>
      <c r="AB13" s="430"/>
      <c r="AC13" s="430"/>
      <c r="AD13" s="430">
        <v>3836</v>
      </c>
      <c r="AE13" s="430">
        <v>752</v>
      </c>
      <c r="AF13" s="430">
        <v>4588</v>
      </c>
      <c r="AG13" s="430">
        <v>9179</v>
      </c>
      <c r="AH13" s="430">
        <v>5786</v>
      </c>
      <c r="AI13" s="430">
        <v>14965</v>
      </c>
    </row>
    <row r="14" spans="1:35" ht="27" customHeight="1" x14ac:dyDescent="0.35">
      <c r="A14" s="380">
        <v>10</v>
      </c>
      <c r="B14" s="431" t="s">
        <v>21</v>
      </c>
      <c r="C14" s="430">
        <v>1288</v>
      </c>
      <c r="D14" s="430">
        <v>631</v>
      </c>
      <c r="E14" s="430">
        <v>1919</v>
      </c>
      <c r="F14" s="430">
        <v>7223</v>
      </c>
      <c r="G14" s="430">
        <v>6099</v>
      </c>
      <c r="H14" s="430">
        <v>13322</v>
      </c>
      <c r="I14" s="430">
        <v>12142</v>
      </c>
      <c r="J14" s="430">
        <v>6397</v>
      </c>
      <c r="K14" s="430">
        <v>18539</v>
      </c>
      <c r="L14" s="430"/>
      <c r="M14" s="430"/>
      <c r="N14" s="430"/>
      <c r="O14" s="430">
        <v>75742</v>
      </c>
      <c r="P14" s="430">
        <v>77996</v>
      </c>
      <c r="Q14" s="430">
        <v>153738</v>
      </c>
      <c r="R14" s="430">
        <v>39681</v>
      </c>
      <c r="S14" s="430">
        <v>38812</v>
      </c>
      <c r="T14" s="430">
        <v>78493</v>
      </c>
      <c r="U14" s="430">
        <v>208326</v>
      </c>
      <c r="V14" s="430">
        <v>119487</v>
      </c>
      <c r="W14" s="430">
        <v>327813</v>
      </c>
      <c r="X14" s="430">
        <v>47</v>
      </c>
      <c r="Y14" s="430">
        <v>16</v>
      </c>
      <c r="Z14" s="430">
        <v>63</v>
      </c>
      <c r="AA14" s="430">
        <v>1143</v>
      </c>
      <c r="AB14" s="430">
        <v>1003</v>
      </c>
      <c r="AC14" s="430">
        <v>2146</v>
      </c>
      <c r="AD14" s="430">
        <v>1674</v>
      </c>
      <c r="AE14" s="430">
        <v>2628</v>
      </c>
      <c r="AF14" s="430">
        <v>4302</v>
      </c>
      <c r="AG14" s="430">
        <v>347266</v>
      </c>
      <c r="AH14" s="430">
        <v>253069</v>
      </c>
      <c r="AI14" s="430">
        <v>600335</v>
      </c>
    </row>
    <row r="15" spans="1:35" ht="27" customHeight="1" x14ac:dyDescent="0.35">
      <c r="A15" s="380">
        <v>11</v>
      </c>
      <c r="B15" s="431" t="s">
        <v>22</v>
      </c>
      <c r="C15" s="430">
        <v>2069</v>
      </c>
      <c r="D15" s="430">
        <v>1590</v>
      </c>
      <c r="E15" s="430">
        <v>3659</v>
      </c>
      <c r="F15" s="430">
        <v>49221</v>
      </c>
      <c r="G15" s="430">
        <v>46093</v>
      </c>
      <c r="H15" s="430">
        <v>95314</v>
      </c>
      <c r="I15" s="430">
        <v>6288</v>
      </c>
      <c r="J15" s="430">
        <v>2881</v>
      </c>
      <c r="K15" s="430">
        <v>9169</v>
      </c>
      <c r="L15" s="430"/>
      <c r="M15" s="430"/>
      <c r="N15" s="430"/>
      <c r="O15" s="430">
        <v>68956</v>
      </c>
      <c r="P15" s="430">
        <v>92065</v>
      </c>
      <c r="Q15" s="430">
        <v>161021</v>
      </c>
      <c r="R15" s="430"/>
      <c r="S15" s="430"/>
      <c r="T15" s="430"/>
      <c r="U15" s="430">
        <v>51699</v>
      </c>
      <c r="V15" s="430">
        <v>36418</v>
      </c>
      <c r="W15" s="430">
        <v>88117</v>
      </c>
      <c r="X15" s="430">
        <v>1108</v>
      </c>
      <c r="Y15" s="430">
        <v>704</v>
      </c>
      <c r="Z15" s="430">
        <v>1812</v>
      </c>
      <c r="AA15" s="430"/>
      <c r="AB15" s="430"/>
      <c r="AC15" s="430"/>
      <c r="AD15" s="430">
        <v>15901</v>
      </c>
      <c r="AE15" s="430">
        <v>10485</v>
      </c>
      <c r="AF15" s="430">
        <v>26386</v>
      </c>
      <c r="AG15" s="430">
        <v>195242</v>
      </c>
      <c r="AH15" s="430">
        <v>190236</v>
      </c>
      <c r="AI15" s="430">
        <v>385478</v>
      </c>
    </row>
    <row r="16" spans="1:35" ht="27" customHeight="1" x14ac:dyDescent="0.35">
      <c r="A16" s="380">
        <v>12</v>
      </c>
      <c r="B16" s="431" t="s">
        <v>23</v>
      </c>
      <c r="C16" s="430">
        <v>893</v>
      </c>
      <c r="D16" s="430">
        <v>863</v>
      </c>
      <c r="E16" s="430">
        <v>1756</v>
      </c>
      <c r="F16" s="430">
        <v>28026</v>
      </c>
      <c r="G16" s="430">
        <v>25467</v>
      </c>
      <c r="H16" s="430">
        <v>53493</v>
      </c>
      <c r="I16" s="430">
        <v>6900</v>
      </c>
      <c r="J16" s="430">
        <v>2363</v>
      </c>
      <c r="K16" s="430">
        <v>9263</v>
      </c>
      <c r="L16" s="430"/>
      <c r="M16" s="430"/>
      <c r="N16" s="430"/>
      <c r="O16" s="430">
        <v>11741</v>
      </c>
      <c r="P16" s="430">
        <v>13457</v>
      </c>
      <c r="Q16" s="430">
        <v>25198</v>
      </c>
      <c r="R16" s="430"/>
      <c r="S16" s="430"/>
      <c r="T16" s="430"/>
      <c r="U16" s="430">
        <v>19639</v>
      </c>
      <c r="V16" s="430">
        <v>12449</v>
      </c>
      <c r="W16" s="430">
        <v>32088</v>
      </c>
      <c r="X16" s="430"/>
      <c r="Y16" s="430"/>
      <c r="Z16" s="430"/>
      <c r="AA16" s="430"/>
      <c r="AB16" s="430"/>
      <c r="AC16" s="430"/>
      <c r="AD16" s="430"/>
      <c r="AE16" s="430"/>
      <c r="AF16" s="430"/>
      <c r="AG16" s="430">
        <v>67199</v>
      </c>
      <c r="AH16" s="430">
        <v>54599</v>
      </c>
      <c r="AI16" s="430">
        <v>121798</v>
      </c>
    </row>
    <row r="17" spans="1:35" ht="27" customHeight="1" x14ac:dyDescent="0.35">
      <c r="A17" s="380">
        <v>13</v>
      </c>
      <c r="B17" s="431" t="s">
        <v>24</v>
      </c>
      <c r="C17" s="430">
        <v>3256</v>
      </c>
      <c r="D17" s="430">
        <v>2761</v>
      </c>
      <c r="E17" s="430">
        <v>6017</v>
      </c>
      <c r="F17" s="430">
        <v>40742</v>
      </c>
      <c r="G17" s="430">
        <v>45938</v>
      </c>
      <c r="H17" s="430">
        <v>86680</v>
      </c>
      <c r="I17" s="430">
        <v>5108</v>
      </c>
      <c r="J17" s="430">
        <v>1860</v>
      </c>
      <c r="K17" s="430">
        <v>6968</v>
      </c>
      <c r="L17" s="430">
        <v>760</v>
      </c>
      <c r="M17" s="430">
        <v>568</v>
      </c>
      <c r="N17" s="430">
        <v>1328</v>
      </c>
      <c r="O17" s="430">
        <v>18767</v>
      </c>
      <c r="P17" s="430">
        <v>28901</v>
      </c>
      <c r="Q17" s="430">
        <v>47668</v>
      </c>
      <c r="R17" s="430"/>
      <c r="S17" s="430"/>
      <c r="T17" s="430"/>
      <c r="U17" s="430"/>
      <c r="V17" s="430"/>
      <c r="W17" s="430"/>
      <c r="X17" s="430"/>
      <c r="Y17" s="430"/>
      <c r="Z17" s="430"/>
      <c r="AA17" s="430"/>
      <c r="AB17" s="430"/>
      <c r="AC17" s="430"/>
      <c r="AD17" s="430"/>
      <c r="AE17" s="430"/>
      <c r="AF17" s="430"/>
      <c r="AG17" s="430">
        <v>68633</v>
      </c>
      <c r="AH17" s="430">
        <v>80028</v>
      </c>
      <c r="AI17" s="430">
        <v>148661</v>
      </c>
    </row>
    <row r="18" spans="1:35" ht="27" customHeight="1" x14ac:dyDescent="0.35">
      <c r="A18" s="380">
        <v>14</v>
      </c>
      <c r="B18" s="431" t="s">
        <v>25</v>
      </c>
      <c r="C18" s="430">
        <v>1630</v>
      </c>
      <c r="D18" s="430">
        <v>1319</v>
      </c>
      <c r="E18" s="430">
        <v>2949</v>
      </c>
      <c r="F18" s="430">
        <v>25653</v>
      </c>
      <c r="G18" s="430">
        <v>21064</v>
      </c>
      <c r="H18" s="430">
        <v>46717</v>
      </c>
      <c r="I18" s="430">
        <v>10017</v>
      </c>
      <c r="J18" s="430">
        <v>2819</v>
      </c>
      <c r="K18" s="430">
        <v>12836</v>
      </c>
      <c r="L18" s="430"/>
      <c r="M18" s="430"/>
      <c r="N18" s="430"/>
      <c r="O18" s="430">
        <v>18669</v>
      </c>
      <c r="P18" s="430">
        <v>31052</v>
      </c>
      <c r="Q18" s="430">
        <v>49721</v>
      </c>
      <c r="R18" s="430"/>
      <c r="S18" s="430"/>
      <c r="T18" s="430"/>
      <c r="U18" s="430">
        <v>41469</v>
      </c>
      <c r="V18" s="430">
        <v>26211</v>
      </c>
      <c r="W18" s="430">
        <v>67680</v>
      </c>
      <c r="X18" s="430"/>
      <c r="Y18" s="430"/>
      <c r="Z18" s="430"/>
      <c r="AA18" s="430"/>
      <c r="AB18" s="430"/>
      <c r="AC18" s="430"/>
      <c r="AD18" s="430">
        <v>6472</v>
      </c>
      <c r="AE18" s="430">
        <v>3051</v>
      </c>
      <c r="AF18" s="430">
        <v>9523</v>
      </c>
      <c r="AG18" s="430">
        <v>103910</v>
      </c>
      <c r="AH18" s="430">
        <v>85516</v>
      </c>
      <c r="AI18" s="430">
        <v>189426</v>
      </c>
    </row>
    <row r="19" spans="1:35" ht="27" customHeight="1" x14ac:dyDescent="0.35">
      <c r="A19" s="380">
        <v>15</v>
      </c>
      <c r="B19" s="431" t="s">
        <v>26</v>
      </c>
      <c r="C19" s="430">
        <v>1318</v>
      </c>
      <c r="D19" s="430">
        <v>1211</v>
      </c>
      <c r="E19" s="430">
        <v>2529</v>
      </c>
      <c r="F19" s="430">
        <v>7912</v>
      </c>
      <c r="G19" s="430">
        <v>8035</v>
      </c>
      <c r="H19" s="430">
        <v>15947</v>
      </c>
      <c r="I19" s="430">
        <v>22492</v>
      </c>
      <c r="J19" s="430">
        <v>18486</v>
      </c>
      <c r="K19" s="430">
        <v>40978</v>
      </c>
      <c r="L19" s="430"/>
      <c r="M19" s="430"/>
      <c r="N19" s="430"/>
      <c r="O19" s="430">
        <v>61453</v>
      </c>
      <c r="P19" s="430">
        <v>58120</v>
      </c>
      <c r="Q19" s="430">
        <v>119573</v>
      </c>
      <c r="R19" s="430">
        <v>30665</v>
      </c>
      <c r="S19" s="430">
        <v>44882</v>
      </c>
      <c r="T19" s="430">
        <v>75547</v>
      </c>
      <c r="U19" s="430">
        <v>77099</v>
      </c>
      <c r="V19" s="430">
        <v>55769</v>
      </c>
      <c r="W19" s="430">
        <v>132868</v>
      </c>
      <c r="X19" s="430">
        <v>3198</v>
      </c>
      <c r="Y19" s="430">
        <v>1381</v>
      </c>
      <c r="Z19" s="430">
        <v>4579</v>
      </c>
      <c r="AA19" s="430"/>
      <c r="AB19" s="430"/>
      <c r="AC19" s="430"/>
      <c r="AD19" s="430">
        <v>96656</v>
      </c>
      <c r="AE19" s="430">
        <v>84343</v>
      </c>
      <c r="AF19" s="430">
        <v>180999</v>
      </c>
      <c r="AG19" s="430">
        <v>300793</v>
      </c>
      <c r="AH19" s="430">
        <v>272227</v>
      </c>
      <c r="AI19" s="430">
        <v>573020</v>
      </c>
    </row>
    <row r="20" spans="1:35" ht="27" customHeight="1" x14ac:dyDescent="0.35">
      <c r="A20" s="380">
        <v>16</v>
      </c>
      <c r="B20" s="431" t="s">
        <v>27</v>
      </c>
      <c r="C20" s="430">
        <v>1540</v>
      </c>
      <c r="D20" s="430">
        <v>1754</v>
      </c>
      <c r="E20" s="430">
        <v>3294</v>
      </c>
      <c r="F20" s="430">
        <v>41524</v>
      </c>
      <c r="G20" s="430">
        <v>61782</v>
      </c>
      <c r="H20" s="430">
        <v>103306</v>
      </c>
      <c r="I20" s="430">
        <v>10187</v>
      </c>
      <c r="J20" s="430">
        <v>5705</v>
      </c>
      <c r="K20" s="430">
        <v>15892</v>
      </c>
      <c r="L20" s="430"/>
      <c r="M20" s="430"/>
      <c r="N20" s="430"/>
      <c r="O20" s="430">
        <v>67233</v>
      </c>
      <c r="P20" s="430">
        <v>91361</v>
      </c>
      <c r="Q20" s="430">
        <v>158594</v>
      </c>
      <c r="R20" s="430">
        <v>17393</v>
      </c>
      <c r="S20" s="430">
        <v>26263</v>
      </c>
      <c r="T20" s="430">
        <v>43656</v>
      </c>
      <c r="U20" s="430"/>
      <c r="V20" s="430"/>
      <c r="W20" s="430"/>
      <c r="X20" s="430">
        <v>1100</v>
      </c>
      <c r="Y20" s="430">
        <v>372</v>
      </c>
      <c r="Z20" s="430">
        <v>1472</v>
      </c>
      <c r="AA20" s="430"/>
      <c r="AB20" s="430"/>
      <c r="AC20" s="430"/>
      <c r="AD20" s="430">
        <v>247</v>
      </c>
      <c r="AE20" s="430">
        <v>315</v>
      </c>
      <c r="AF20" s="430">
        <v>562</v>
      </c>
      <c r="AG20" s="430">
        <v>139224</v>
      </c>
      <c r="AH20" s="430">
        <v>187552</v>
      </c>
      <c r="AI20" s="430">
        <v>326776</v>
      </c>
    </row>
    <row r="21" spans="1:35" ht="27" customHeight="1" x14ac:dyDescent="0.35">
      <c r="A21" s="380">
        <v>17</v>
      </c>
      <c r="B21" s="431" t="s">
        <v>28</v>
      </c>
      <c r="C21" s="430"/>
      <c r="D21" s="430"/>
      <c r="E21" s="430"/>
      <c r="F21" s="430"/>
      <c r="G21" s="430"/>
      <c r="H21" s="430"/>
      <c r="I21" s="430"/>
      <c r="J21" s="430"/>
      <c r="K21" s="430"/>
      <c r="L21" s="430"/>
      <c r="M21" s="430"/>
      <c r="N21" s="430"/>
      <c r="O21" s="430">
        <v>132</v>
      </c>
      <c r="P21" s="430">
        <v>267</v>
      </c>
      <c r="Q21" s="430">
        <v>399</v>
      </c>
      <c r="R21" s="430"/>
      <c r="S21" s="430"/>
      <c r="T21" s="430"/>
      <c r="U21" s="430"/>
      <c r="V21" s="430"/>
      <c r="W21" s="430"/>
      <c r="X21" s="430">
        <v>180</v>
      </c>
      <c r="Y21" s="430">
        <v>191</v>
      </c>
      <c r="Z21" s="430">
        <v>371</v>
      </c>
      <c r="AA21" s="430"/>
      <c r="AB21" s="430"/>
      <c r="AC21" s="430"/>
      <c r="AD21" s="430"/>
      <c r="AE21" s="430"/>
      <c r="AF21" s="430"/>
      <c r="AG21" s="430">
        <v>312</v>
      </c>
      <c r="AH21" s="430">
        <v>458</v>
      </c>
      <c r="AI21" s="430">
        <v>770</v>
      </c>
    </row>
    <row r="22" spans="1:35" ht="27" customHeight="1" x14ac:dyDescent="0.35">
      <c r="A22" s="380">
        <v>18</v>
      </c>
      <c r="B22" s="431" t="s">
        <v>29</v>
      </c>
      <c r="C22" s="430">
        <v>6357</v>
      </c>
      <c r="D22" s="430">
        <v>4742</v>
      </c>
      <c r="E22" s="430">
        <v>11099</v>
      </c>
      <c r="F22" s="430">
        <v>6680</v>
      </c>
      <c r="G22" s="430">
        <v>5025</v>
      </c>
      <c r="H22" s="430">
        <v>11705</v>
      </c>
      <c r="I22" s="430">
        <v>14626</v>
      </c>
      <c r="J22" s="430">
        <v>5906</v>
      </c>
      <c r="K22" s="430">
        <v>20532</v>
      </c>
      <c r="L22" s="430"/>
      <c r="M22" s="430"/>
      <c r="N22" s="430"/>
      <c r="O22" s="430">
        <v>195181</v>
      </c>
      <c r="P22" s="430">
        <v>164528</v>
      </c>
      <c r="Q22" s="430">
        <v>359709</v>
      </c>
      <c r="R22" s="430">
        <v>45063</v>
      </c>
      <c r="S22" s="430">
        <v>33491</v>
      </c>
      <c r="T22" s="430">
        <v>78554</v>
      </c>
      <c r="U22" s="430">
        <v>228031</v>
      </c>
      <c r="V22" s="430">
        <v>98702</v>
      </c>
      <c r="W22" s="430">
        <v>326733</v>
      </c>
      <c r="X22" s="430">
        <v>876</v>
      </c>
      <c r="Y22" s="430">
        <v>345</v>
      </c>
      <c r="Z22" s="430">
        <v>1221</v>
      </c>
      <c r="AA22" s="430"/>
      <c r="AB22" s="430"/>
      <c r="AC22" s="430"/>
      <c r="AD22" s="430"/>
      <c r="AE22" s="430"/>
      <c r="AF22" s="430"/>
      <c r="AG22" s="430">
        <v>496814</v>
      </c>
      <c r="AH22" s="430">
        <v>312739</v>
      </c>
      <c r="AI22" s="430">
        <v>809553</v>
      </c>
    </row>
    <row r="23" spans="1:35" ht="27" customHeight="1" x14ac:dyDescent="0.35">
      <c r="A23" s="380">
        <v>19</v>
      </c>
      <c r="B23" s="431" t="s">
        <v>30</v>
      </c>
      <c r="C23" s="430">
        <v>3305</v>
      </c>
      <c r="D23" s="430">
        <v>1021</v>
      </c>
      <c r="E23" s="430">
        <v>4326</v>
      </c>
      <c r="F23" s="430">
        <v>17093</v>
      </c>
      <c r="G23" s="430">
        <v>12242</v>
      </c>
      <c r="H23" s="430">
        <v>29335</v>
      </c>
      <c r="I23" s="430">
        <v>18251</v>
      </c>
      <c r="J23" s="430">
        <v>6672</v>
      </c>
      <c r="K23" s="430">
        <v>24923</v>
      </c>
      <c r="L23" s="430"/>
      <c r="M23" s="430"/>
      <c r="N23" s="430"/>
      <c r="O23" s="430">
        <v>88613</v>
      </c>
      <c r="P23" s="430">
        <v>80767</v>
      </c>
      <c r="Q23" s="430">
        <v>169380</v>
      </c>
      <c r="R23" s="430">
        <v>271058</v>
      </c>
      <c r="S23" s="430">
        <v>177564</v>
      </c>
      <c r="T23" s="430">
        <v>448622</v>
      </c>
      <c r="U23" s="430">
        <v>62846</v>
      </c>
      <c r="V23" s="430">
        <v>42062</v>
      </c>
      <c r="W23" s="430">
        <v>104908</v>
      </c>
      <c r="X23" s="430">
        <v>4085</v>
      </c>
      <c r="Y23" s="430">
        <v>2370</v>
      </c>
      <c r="Z23" s="430">
        <v>6455</v>
      </c>
      <c r="AA23" s="430">
        <v>2179</v>
      </c>
      <c r="AB23" s="430">
        <v>2621</v>
      </c>
      <c r="AC23" s="430">
        <v>4800</v>
      </c>
      <c r="AD23" s="430">
        <v>111900</v>
      </c>
      <c r="AE23" s="430">
        <v>103504</v>
      </c>
      <c r="AF23" s="430">
        <v>215404</v>
      </c>
      <c r="AG23" s="430">
        <v>579330</v>
      </c>
      <c r="AH23" s="430">
        <v>428823</v>
      </c>
      <c r="AI23" s="430">
        <v>1008153</v>
      </c>
    </row>
    <row r="24" spans="1:35" ht="27" customHeight="1" x14ac:dyDescent="0.35">
      <c r="A24" s="380">
        <v>20</v>
      </c>
      <c r="B24" s="431" t="s">
        <v>31</v>
      </c>
      <c r="C24" s="430">
        <v>4404</v>
      </c>
      <c r="D24" s="430">
        <v>4600</v>
      </c>
      <c r="E24" s="430">
        <v>9004</v>
      </c>
      <c r="F24" s="430">
        <v>2323</v>
      </c>
      <c r="G24" s="430">
        <v>2246</v>
      </c>
      <c r="H24" s="430">
        <v>4569</v>
      </c>
      <c r="I24" s="430">
        <v>1273</v>
      </c>
      <c r="J24" s="430">
        <v>310</v>
      </c>
      <c r="K24" s="430">
        <v>1583</v>
      </c>
      <c r="L24" s="430"/>
      <c r="M24" s="430"/>
      <c r="N24" s="430"/>
      <c r="O24" s="430">
        <v>1383</v>
      </c>
      <c r="P24" s="430">
        <v>1481</v>
      </c>
      <c r="Q24" s="430">
        <v>2864</v>
      </c>
      <c r="R24" s="430"/>
      <c r="S24" s="430"/>
      <c r="T24" s="430"/>
      <c r="U24" s="430">
        <v>2875</v>
      </c>
      <c r="V24" s="430">
        <v>1850</v>
      </c>
      <c r="W24" s="430">
        <v>4725</v>
      </c>
      <c r="X24" s="430"/>
      <c r="Y24" s="430"/>
      <c r="Z24" s="430"/>
      <c r="AA24" s="430"/>
      <c r="AB24" s="430"/>
      <c r="AC24" s="430"/>
      <c r="AD24" s="430"/>
      <c r="AE24" s="430"/>
      <c r="AF24" s="430"/>
      <c r="AG24" s="430">
        <v>12258</v>
      </c>
      <c r="AH24" s="430">
        <v>10487</v>
      </c>
      <c r="AI24" s="430">
        <v>22745</v>
      </c>
    </row>
    <row r="25" spans="1:35" ht="27" customHeight="1" x14ac:dyDescent="0.35">
      <c r="A25" s="380">
        <v>21</v>
      </c>
      <c r="B25" s="431" t="s">
        <v>32</v>
      </c>
      <c r="C25" s="430">
        <v>2096</v>
      </c>
      <c r="D25" s="430">
        <v>3079</v>
      </c>
      <c r="E25" s="430">
        <v>5175</v>
      </c>
      <c r="F25" s="430">
        <v>3008</v>
      </c>
      <c r="G25" s="430">
        <v>4544</v>
      </c>
      <c r="H25" s="430">
        <v>7552</v>
      </c>
      <c r="I25" s="430">
        <v>1384</v>
      </c>
      <c r="J25" s="430">
        <v>996</v>
      </c>
      <c r="K25" s="430">
        <v>2380</v>
      </c>
      <c r="L25" s="430"/>
      <c r="M25" s="430"/>
      <c r="N25" s="430"/>
      <c r="O25" s="430">
        <v>49</v>
      </c>
      <c r="P25" s="430">
        <v>70</v>
      </c>
      <c r="Q25" s="430">
        <v>119</v>
      </c>
      <c r="R25" s="430"/>
      <c r="S25" s="430"/>
      <c r="T25" s="430"/>
      <c r="U25" s="430">
        <v>6043</v>
      </c>
      <c r="V25" s="430">
        <v>7174</v>
      </c>
      <c r="W25" s="430">
        <v>13217</v>
      </c>
      <c r="X25" s="430"/>
      <c r="Y25" s="430"/>
      <c r="Z25" s="430"/>
      <c r="AA25" s="430"/>
      <c r="AB25" s="430"/>
      <c r="AC25" s="430"/>
      <c r="AD25" s="430"/>
      <c r="AE25" s="430"/>
      <c r="AF25" s="430"/>
      <c r="AG25" s="430">
        <v>12580</v>
      </c>
      <c r="AH25" s="430">
        <v>15863</v>
      </c>
      <c r="AI25" s="430">
        <v>28443</v>
      </c>
    </row>
    <row r="26" spans="1:35" ht="27" customHeight="1" x14ac:dyDescent="0.35">
      <c r="A26" s="380">
        <v>22</v>
      </c>
      <c r="B26" s="431" t="s">
        <v>33</v>
      </c>
      <c r="C26" s="430">
        <v>1977</v>
      </c>
      <c r="D26" s="430">
        <v>1915</v>
      </c>
      <c r="E26" s="430">
        <v>3892</v>
      </c>
      <c r="F26" s="430">
        <v>2701</v>
      </c>
      <c r="G26" s="430">
        <v>3390</v>
      </c>
      <c r="H26" s="430">
        <v>6091</v>
      </c>
      <c r="I26" s="430">
        <v>514</v>
      </c>
      <c r="J26" s="430">
        <v>154</v>
      </c>
      <c r="K26" s="430">
        <v>668</v>
      </c>
      <c r="L26" s="430"/>
      <c r="M26" s="430"/>
      <c r="N26" s="430"/>
      <c r="O26" s="430"/>
      <c r="P26" s="430"/>
      <c r="Q26" s="430"/>
      <c r="R26" s="430"/>
      <c r="S26" s="430"/>
      <c r="T26" s="430"/>
      <c r="U26" s="430">
        <v>297</v>
      </c>
      <c r="V26" s="430">
        <v>219</v>
      </c>
      <c r="W26" s="430">
        <v>516</v>
      </c>
      <c r="X26" s="430"/>
      <c r="Y26" s="430"/>
      <c r="Z26" s="430"/>
      <c r="AA26" s="430"/>
      <c r="AB26" s="430"/>
      <c r="AC26" s="430"/>
      <c r="AD26" s="430"/>
      <c r="AE26" s="430"/>
      <c r="AF26" s="430"/>
      <c r="AG26" s="430">
        <v>5489</v>
      </c>
      <c r="AH26" s="430">
        <v>5678</v>
      </c>
      <c r="AI26" s="430">
        <v>11167</v>
      </c>
    </row>
    <row r="27" spans="1:35" ht="27" customHeight="1" x14ac:dyDescent="0.35">
      <c r="A27" s="380">
        <v>23</v>
      </c>
      <c r="B27" s="431" t="s">
        <v>34</v>
      </c>
      <c r="C27" s="430">
        <v>1295</v>
      </c>
      <c r="D27" s="430">
        <v>1709</v>
      </c>
      <c r="E27" s="430">
        <v>3004</v>
      </c>
      <c r="F27" s="430">
        <v>1279</v>
      </c>
      <c r="G27" s="430">
        <v>2328</v>
      </c>
      <c r="H27" s="430">
        <v>3607</v>
      </c>
      <c r="I27" s="430">
        <v>732</v>
      </c>
      <c r="J27" s="430">
        <v>236</v>
      </c>
      <c r="K27" s="430">
        <v>968</v>
      </c>
      <c r="L27" s="430"/>
      <c r="M27" s="430"/>
      <c r="N27" s="430"/>
      <c r="O27" s="430"/>
      <c r="P27" s="430"/>
      <c r="Q27" s="430"/>
      <c r="R27" s="430"/>
      <c r="S27" s="430"/>
      <c r="T27" s="430"/>
      <c r="U27" s="430">
        <v>2661</v>
      </c>
      <c r="V27" s="430">
        <v>2494</v>
      </c>
      <c r="W27" s="430">
        <v>5155</v>
      </c>
      <c r="X27" s="430"/>
      <c r="Y27" s="430"/>
      <c r="Z27" s="430"/>
      <c r="AA27" s="430"/>
      <c r="AB27" s="430"/>
      <c r="AC27" s="430"/>
      <c r="AD27" s="430"/>
      <c r="AE27" s="430"/>
      <c r="AF27" s="430"/>
      <c r="AG27" s="430">
        <v>5967</v>
      </c>
      <c r="AH27" s="430">
        <v>6767</v>
      </c>
      <c r="AI27" s="430">
        <v>12734</v>
      </c>
    </row>
    <row r="28" spans="1:35" ht="27" customHeight="1" x14ac:dyDescent="0.35">
      <c r="A28" s="380">
        <v>24</v>
      </c>
      <c r="B28" s="431" t="s">
        <v>35</v>
      </c>
      <c r="C28" s="430">
        <v>991</v>
      </c>
      <c r="D28" s="430">
        <v>1364</v>
      </c>
      <c r="E28" s="430">
        <v>2355</v>
      </c>
      <c r="F28" s="430">
        <v>19249</v>
      </c>
      <c r="G28" s="430">
        <v>21110</v>
      </c>
      <c r="H28" s="430">
        <v>40359</v>
      </c>
      <c r="I28" s="430">
        <v>8983</v>
      </c>
      <c r="J28" s="430">
        <v>4422</v>
      </c>
      <c r="K28" s="430">
        <v>13405</v>
      </c>
      <c r="L28" s="430"/>
      <c r="M28" s="430"/>
      <c r="N28" s="430"/>
      <c r="O28" s="430">
        <v>30010</v>
      </c>
      <c r="P28" s="430">
        <v>31472</v>
      </c>
      <c r="Q28" s="430">
        <v>61482</v>
      </c>
      <c r="R28" s="430">
        <v>9593</v>
      </c>
      <c r="S28" s="430">
        <v>12675</v>
      </c>
      <c r="T28" s="430">
        <v>22268</v>
      </c>
      <c r="U28" s="430">
        <v>24165</v>
      </c>
      <c r="V28" s="430">
        <v>12602</v>
      </c>
      <c r="W28" s="430">
        <v>36767</v>
      </c>
      <c r="X28" s="430">
        <v>1108</v>
      </c>
      <c r="Y28" s="430">
        <v>410</v>
      </c>
      <c r="Z28" s="430">
        <v>1518</v>
      </c>
      <c r="AA28" s="430"/>
      <c r="AB28" s="430"/>
      <c r="AC28" s="430"/>
      <c r="AD28" s="430">
        <v>23127</v>
      </c>
      <c r="AE28" s="430">
        <v>22006</v>
      </c>
      <c r="AF28" s="430">
        <v>45133</v>
      </c>
      <c r="AG28" s="430">
        <v>117226</v>
      </c>
      <c r="AH28" s="430">
        <v>106061</v>
      </c>
      <c r="AI28" s="430">
        <v>223287</v>
      </c>
    </row>
    <row r="29" spans="1:35" ht="27" customHeight="1" x14ac:dyDescent="0.35">
      <c r="A29" s="380">
        <v>25</v>
      </c>
      <c r="B29" s="431" t="s">
        <v>36</v>
      </c>
      <c r="C29" s="430">
        <v>18089</v>
      </c>
      <c r="D29" s="430">
        <v>16476</v>
      </c>
      <c r="E29" s="430">
        <v>34565</v>
      </c>
      <c r="F29" s="430"/>
      <c r="G29" s="430"/>
      <c r="H29" s="430"/>
      <c r="I29" s="430">
        <v>2213</v>
      </c>
      <c r="J29" s="430">
        <v>1008</v>
      </c>
      <c r="K29" s="430">
        <v>3221</v>
      </c>
      <c r="L29" s="430"/>
      <c r="M29" s="430"/>
      <c r="N29" s="430"/>
      <c r="O29" s="430">
        <v>1950</v>
      </c>
      <c r="P29" s="430">
        <v>1148</v>
      </c>
      <c r="Q29" s="430">
        <v>3098</v>
      </c>
      <c r="R29" s="430"/>
      <c r="S29" s="430"/>
      <c r="T29" s="430"/>
      <c r="U29" s="430"/>
      <c r="V29" s="430"/>
      <c r="W29" s="430"/>
      <c r="X29" s="430"/>
      <c r="Y29" s="430"/>
      <c r="Z29" s="430"/>
      <c r="AA29" s="430"/>
      <c r="AB29" s="430"/>
      <c r="AC29" s="430"/>
      <c r="AD29" s="430">
        <v>5036</v>
      </c>
      <c r="AE29" s="430">
        <v>7093</v>
      </c>
      <c r="AF29" s="430">
        <v>12129</v>
      </c>
      <c r="AG29" s="430">
        <v>27288</v>
      </c>
      <c r="AH29" s="430">
        <v>25725</v>
      </c>
      <c r="AI29" s="430">
        <v>53013</v>
      </c>
    </row>
    <row r="30" spans="1:35" ht="27" customHeight="1" x14ac:dyDescent="0.35">
      <c r="A30" s="380">
        <v>26</v>
      </c>
      <c r="B30" s="431" t="s">
        <v>37</v>
      </c>
      <c r="C30" s="430">
        <v>1302</v>
      </c>
      <c r="D30" s="430">
        <v>1284</v>
      </c>
      <c r="E30" s="430">
        <v>2586</v>
      </c>
      <c r="F30" s="430">
        <v>6724</v>
      </c>
      <c r="G30" s="430">
        <v>12401</v>
      </c>
      <c r="H30" s="430">
        <v>19125</v>
      </c>
      <c r="I30" s="430">
        <v>6345</v>
      </c>
      <c r="J30" s="430">
        <v>3206</v>
      </c>
      <c r="K30" s="430">
        <v>9551</v>
      </c>
      <c r="L30" s="430"/>
      <c r="M30" s="430"/>
      <c r="N30" s="430"/>
      <c r="O30" s="430">
        <v>37873</v>
      </c>
      <c r="P30" s="430">
        <v>44984</v>
      </c>
      <c r="Q30" s="430">
        <v>82857</v>
      </c>
      <c r="R30" s="430">
        <v>2396</v>
      </c>
      <c r="S30" s="430">
        <v>3125</v>
      </c>
      <c r="T30" s="430">
        <v>5521</v>
      </c>
      <c r="U30" s="430">
        <v>134746</v>
      </c>
      <c r="V30" s="430">
        <v>83998</v>
      </c>
      <c r="W30" s="430">
        <v>218744</v>
      </c>
      <c r="X30" s="430">
        <v>2601</v>
      </c>
      <c r="Y30" s="430">
        <v>730</v>
      </c>
      <c r="Z30" s="430">
        <v>3331</v>
      </c>
      <c r="AA30" s="430"/>
      <c r="AB30" s="430"/>
      <c r="AC30" s="430"/>
      <c r="AD30" s="430">
        <v>7043</v>
      </c>
      <c r="AE30" s="430">
        <v>3371</v>
      </c>
      <c r="AF30" s="430">
        <v>10414</v>
      </c>
      <c r="AG30" s="430">
        <v>199030</v>
      </c>
      <c r="AH30" s="430">
        <v>153099</v>
      </c>
      <c r="AI30" s="430">
        <v>352129</v>
      </c>
    </row>
    <row r="31" spans="1:35" ht="27" customHeight="1" x14ac:dyDescent="0.35">
      <c r="A31" s="380">
        <v>27</v>
      </c>
      <c r="B31" s="431" t="s">
        <v>38</v>
      </c>
      <c r="C31" s="430">
        <v>2517</v>
      </c>
      <c r="D31" s="430">
        <v>1684</v>
      </c>
      <c r="E31" s="430">
        <v>4201</v>
      </c>
      <c r="F31" s="430">
        <v>13058</v>
      </c>
      <c r="G31" s="430">
        <v>8851</v>
      </c>
      <c r="H31" s="430">
        <v>21909</v>
      </c>
      <c r="I31" s="430">
        <v>10125</v>
      </c>
      <c r="J31" s="430">
        <v>4430</v>
      </c>
      <c r="K31" s="430">
        <v>14555</v>
      </c>
      <c r="L31" s="430">
        <v>1054</v>
      </c>
      <c r="M31" s="430">
        <v>1286</v>
      </c>
      <c r="N31" s="430">
        <v>2340</v>
      </c>
      <c r="O31" s="430">
        <v>153413</v>
      </c>
      <c r="P31" s="430">
        <v>111331</v>
      </c>
      <c r="Q31" s="430">
        <v>264744</v>
      </c>
      <c r="R31" s="430">
        <v>81797</v>
      </c>
      <c r="S31" s="430">
        <v>65943</v>
      </c>
      <c r="T31" s="430">
        <v>147740</v>
      </c>
      <c r="U31" s="430">
        <v>153766</v>
      </c>
      <c r="V31" s="430">
        <v>74528</v>
      </c>
      <c r="W31" s="430">
        <v>228294</v>
      </c>
      <c r="X31" s="430">
        <v>551</v>
      </c>
      <c r="Y31" s="430">
        <v>762</v>
      </c>
      <c r="Z31" s="430">
        <v>1313</v>
      </c>
      <c r="AA31" s="430"/>
      <c r="AB31" s="430"/>
      <c r="AC31" s="430"/>
      <c r="AD31" s="430">
        <v>22804</v>
      </c>
      <c r="AE31" s="430">
        <v>27147</v>
      </c>
      <c r="AF31" s="430">
        <v>49951</v>
      </c>
      <c r="AG31" s="430">
        <v>439085</v>
      </c>
      <c r="AH31" s="430">
        <v>295962</v>
      </c>
      <c r="AI31" s="430">
        <v>735047</v>
      </c>
    </row>
    <row r="32" spans="1:35" ht="27" customHeight="1" x14ac:dyDescent="0.35">
      <c r="A32" s="380">
        <v>28</v>
      </c>
      <c r="B32" s="431" t="s">
        <v>39</v>
      </c>
      <c r="C32" s="430">
        <v>506</v>
      </c>
      <c r="D32" s="430">
        <v>758</v>
      </c>
      <c r="E32" s="430">
        <v>1264</v>
      </c>
      <c r="F32" s="430">
        <v>1849</v>
      </c>
      <c r="G32" s="430">
        <v>3438</v>
      </c>
      <c r="H32" s="430">
        <v>5287</v>
      </c>
      <c r="I32" s="430">
        <v>534</v>
      </c>
      <c r="J32" s="430">
        <v>166</v>
      </c>
      <c r="K32" s="430">
        <v>700</v>
      </c>
      <c r="L32" s="430"/>
      <c r="M32" s="430"/>
      <c r="N32" s="430"/>
      <c r="O32" s="430">
        <v>29</v>
      </c>
      <c r="P32" s="430">
        <v>116</v>
      </c>
      <c r="Q32" s="430">
        <v>145</v>
      </c>
      <c r="R32" s="430"/>
      <c r="S32" s="430"/>
      <c r="T32" s="430"/>
      <c r="U32" s="430">
        <v>7509</v>
      </c>
      <c r="V32" s="430">
        <v>5951</v>
      </c>
      <c r="W32" s="430">
        <v>13460</v>
      </c>
      <c r="X32" s="430"/>
      <c r="Y32" s="430"/>
      <c r="Z32" s="430"/>
      <c r="AA32" s="430"/>
      <c r="AB32" s="430"/>
      <c r="AC32" s="430"/>
      <c r="AD32" s="430"/>
      <c r="AE32" s="430"/>
      <c r="AF32" s="430"/>
      <c r="AG32" s="430">
        <v>10427</v>
      </c>
      <c r="AH32" s="430">
        <v>10429</v>
      </c>
      <c r="AI32" s="430">
        <v>20856</v>
      </c>
    </row>
    <row r="33" spans="1:38" ht="27" customHeight="1" x14ac:dyDescent="0.35">
      <c r="A33" s="380">
        <v>29</v>
      </c>
      <c r="B33" s="431" t="s">
        <v>40</v>
      </c>
      <c r="C33" s="430">
        <v>4132</v>
      </c>
      <c r="D33" s="430">
        <v>1768</v>
      </c>
      <c r="E33" s="430">
        <v>5900</v>
      </c>
      <c r="F33" s="430">
        <v>5282</v>
      </c>
      <c r="G33" s="430">
        <v>4421</v>
      </c>
      <c r="H33" s="430">
        <v>9703</v>
      </c>
      <c r="I33" s="430">
        <v>36240</v>
      </c>
      <c r="J33" s="430">
        <v>14200</v>
      </c>
      <c r="K33" s="430">
        <v>50440</v>
      </c>
      <c r="L33" s="430"/>
      <c r="M33" s="430"/>
      <c r="N33" s="430"/>
      <c r="O33" s="430">
        <v>160155</v>
      </c>
      <c r="P33" s="430">
        <v>194133</v>
      </c>
      <c r="Q33" s="430">
        <v>354288</v>
      </c>
      <c r="R33" s="430">
        <v>11130</v>
      </c>
      <c r="S33" s="430">
        <v>17308</v>
      </c>
      <c r="T33" s="430">
        <v>28438</v>
      </c>
      <c r="U33" s="430">
        <v>5316</v>
      </c>
      <c r="V33" s="430">
        <v>3490</v>
      </c>
      <c r="W33" s="430">
        <v>8806</v>
      </c>
      <c r="X33" s="430">
        <v>175</v>
      </c>
      <c r="Y33" s="430">
        <v>68</v>
      </c>
      <c r="Z33" s="430">
        <v>243</v>
      </c>
      <c r="AA33" s="430">
        <v>1876</v>
      </c>
      <c r="AB33" s="430">
        <v>9540</v>
      </c>
      <c r="AC33" s="430">
        <v>11416</v>
      </c>
      <c r="AD33" s="430">
        <v>256814</v>
      </c>
      <c r="AE33" s="430">
        <v>143275</v>
      </c>
      <c r="AF33" s="430">
        <v>400089</v>
      </c>
      <c r="AG33" s="430">
        <v>481120</v>
      </c>
      <c r="AH33" s="430">
        <v>388203</v>
      </c>
      <c r="AI33" s="430">
        <v>869323</v>
      </c>
    </row>
    <row r="34" spans="1:38" ht="27" customHeight="1" x14ac:dyDescent="0.35">
      <c r="A34" s="380">
        <v>30</v>
      </c>
      <c r="B34" s="431" t="s">
        <v>41</v>
      </c>
      <c r="C34" s="430">
        <v>20298</v>
      </c>
      <c r="D34" s="430">
        <v>15480</v>
      </c>
      <c r="E34" s="430">
        <v>35778</v>
      </c>
      <c r="F34" s="430">
        <v>5422</v>
      </c>
      <c r="G34" s="430">
        <v>4226</v>
      </c>
      <c r="H34" s="430">
        <v>9648</v>
      </c>
      <c r="I34" s="430">
        <v>7869</v>
      </c>
      <c r="J34" s="430">
        <v>3061</v>
      </c>
      <c r="K34" s="430">
        <v>10930</v>
      </c>
      <c r="L34" s="430"/>
      <c r="M34" s="430"/>
      <c r="N34" s="430"/>
      <c r="O34" s="430">
        <v>87060</v>
      </c>
      <c r="P34" s="430">
        <v>103256</v>
      </c>
      <c r="Q34" s="430">
        <v>190316</v>
      </c>
      <c r="R34" s="430">
        <v>58369</v>
      </c>
      <c r="S34" s="430">
        <v>49892</v>
      </c>
      <c r="T34" s="430">
        <v>108261</v>
      </c>
      <c r="U34" s="430">
        <v>21439</v>
      </c>
      <c r="V34" s="430">
        <v>14861</v>
      </c>
      <c r="W34" s="430">
        <v>36300</v>
      </c>
      <c r="X34" s="430">
        <v>2024</v>
      </c>
      <c r="Y34" s="430">
        <v>1625</v>
      </c>
      <c r="Z34" s="430">
        <v>3649</v>
      </c>
      <c r="AA34" s="430">
        <v>165</v>
      </c>
      <c r="AB34" s="430">
        <v>215</v>
      </c>
      <c r="AC34" s="430">
        <v>380</v>
      </c>
      <c r="AD34" s="430">
        <v>18803</v>
      </c>
      <c r="AE34" s="430">
        <v>10297</v>
      </c>
      <c r="AF34" s="430">
        <v>29100</v>
      </c>
      <c r="AG34" s="430">
        <v>221449</v>
      </c>
      <c r="AH34" s="430">
        <v>202913</v>
      </c>
      <c r="AI34" s="430">
        <v>424362</v>
      </c>
    </row>
    <row r="35" spans="1:38" ht="30" customHeight="1" x14ac:dyDescent="0.35">
      <c r="A35" s="380">
        <v>31</v>
      </c>
      <c r="B35" s="249" t="s">
        <v>58</v>
      </c>
      <c r="C35" s="430"/>
      <c r="D35" s="430"/>
      <c r="E35" s="430"/>
      <c r="F35" s="430"/>
      <c r="G35" s="430"/>
      <c r="H35" s="430"/>
      <c r="I35" s="430">
        <v>316</v>
      </c>
      <c r="J35" s="430">
        <v>44</v>
      </c>
      <c r="K35" s="430">
        <v>360</v>
      </c>
      <c r="L35" s="430"/>
      <c r="M35" s="430"/>
      <c r="N35" s="430"/>
      <c r="O35" s="430">
        <v>53</v>
      </c>
      <c r="P35" s="430">
        <v>67</v>
      </c>
      <c r="Q35" s="430">
        <v>120</v>
      </c>
      <c r="R35" s="430"/>
      <c r="S35" s="430"/>
      <c r="T35" s="430"/>
      <c r="U35" s="430"/>
      <c r="V35" s="430"/>
      <c r="W35" s="430"/>
      <c r="X35" s="430"/>
      <c r="Y35" s="430"/>
      <c r="Z35" s="430"/>
      <c r="AA35" s="430"/>
      <c r="AB35" s="430"/>
      <c r="AC35" s="430"/>
      <c r="AD35" s="430"/>
      <c r="AE35" s="430"/>
      <c r="AF35" s="430"/>
      <c r="AG35" s="430">
        <v>369</v>
      </c>
      <c r="AH35" s="430">
        <v>111</v>
      </c>
      <c r="AI35" s="430">
        <v>480</v>
      </c>
    </row>
    <row r="36" spans="1:38" ht="27" customHeight="1" x14ac:dyDescent="0.35">
      <c r="A36" s="380">
        <v>32</v>
      </c>
      <c r="B36" s="431" t="s">
        <v>42</v>
      </c>
      <c r="C36" s="430">
        <v>2100</v>
      </c>
      <c r="D36" s="430">
        <v>2453</v>
      </c>
      <c r="E36" s="430">
        <v>4553</v>
      </c>
      <c r="F36" s="430">
        <v>3390</v>
      </c>
      <c r="G36" s="430">
        <v>3299</v>
      </c>
      <c r="H36" s="430">
        <v>6689</v>
      </c>
      <c r="I36" s="430">
        <v>3652</v>
      </c>
      <c r="J36" s="430">
        <v>1261</v>
      </c>
      <c r="K36" s="430">
        <v>4913</v>
      </c>
      <c r="L36" s="430"/>
      <c r="M36" s="430"/>
      <c r="N36" s="430"/>
      <c r="O36" s="430">
        <v>222</v>
      </c>
      <c r="P36" s="430">
        <v>237</v>
      </c>
      <c r="Q36" s="430">
        <v>459</v>
      </c>
      <c r="R36" s="430"/>
      <c r="S36" s="430"/>
      <c r="T36" s="430"/>
      <c r="U36" s="430">
        <v>3887</v>
      </c>
      <c r="V36" s="430">
        <v>3036</v>
      </c>
      <c r="W36" s="430">
        <v>6923</v>
      </c>
      <c r="X36" s="430"/>
      <c r="Y36" s="430"/>
      <c r="Z36" s="430"/>
      <c r="AA36" s="430"/>
      <c r="AB36" s="430"/>
      <c r="AC36" s="430"/>
      <c r="AD36" s="430"/>
      <c r="AE36" s="430"/>
      <c r="AF36" s="430"/>
      <c r="AG36" s="430">
        <v>13251</v>
      </c>
      <c r="AH36" s="430">
        <v>10286</v>
      </c>
      <c r="AI36" s="430">
        <v>23537</v>
      </c>
    </row>
    <row r="37" spans="1:38" ht="27" customHeight="1" x14ac:dyDescent="0.35">
      <c r="A37" s="380">
        <v>33</v>
      </c>
      <c r="B37" s="431" t="s">
        <v>43</v>
      </c>
      <c r="C37" s="430">
        <v>59555</v>
      </c>
      <c r="D37" s="430">
        <v>41055</v>
      </c>
      <c r="E37" s="430">
        <v>100610</v>
      </c>
      <c r="F37" s="430">
        <v>40883</v>
      </c>
      <c r="G37" s="430">
        <v>30324</v>
      </c>
      <c r="H37" s="430">
        <v>71207</v>
      </c>
      <c r="I37" s="430">
        <v>26751</v>
      </c>
      <c r="J37" s="430">
        <v>8818</v>
      </c>
      <c r="K37" s="430">
        <v>35569</v>
      </c>
      <c r="L37" s="430">
        <v>486</v>
      </c>
      <c r="M37" s="430">
        <v>432</v>
      </c>
      <c r="N37" s="430">
        <v>918</v>
      </c>
      <c r="O37" s="430">
        <v>94626</v>
      </c>
      <c r="P37" s="430">
        <v>67039</v>
      </c>
      <c r="Q37" s="430">
        <v>161665</v>
      </c>
      <c r="R37" s="430">
        <v>48210</v>
      </c>
      <c r="S37" s="430">
        <v>29364</v>
      </c>
      <c r="T37" s="430">
        <v>77574</v>
      </c>
      <c r="U37" s="430">
        <v>232537</v>
      </c>
      <c r="V37" s="430">
        <v>124094</v>
      </c>
      <c r="W37" s="430">
        <v>356631</v>
      </c>
      <c r="X37" s="430">
        <v>754</v>
      </c>
      <c r="Y37" s="430">
        <v>511</v>
      </c>
      <c r="Z37" s="430">
        <v>1265</v>
      </c>
      <c r="AA37" s="430">
        <v>9927</v>
      </c>
      <c r="AB37" s="430">
        <v>8507</v>
      </c>
      <c r="AC37" s="430">
        <v>18434</v>
      </c>
      <c r="AD37" s="430">
        <v>12683</v>
      </c>
      <c r="AE37" s="430">
        <v>7937</v>
      </c>
      <c r="AF37" s="430">
        <v>20620</v>
      </c>
      <c r="AG37" s="430">
        <v>526412</v>
      </c>
      <c r="AH37" s="430">
        <v>318081</v>
      </c>
      <c r="AI37" s="430">
        <v>844493</v>
      </c>
    </row>
    <row r="38" spans="1:38" ht="27" customHeight="1" x14ac:dyDescent="0.35">
      <c r="A38" s="380">
        <v>34</v>
      </c>
      <c r="B38" s="431" t="s">
        <v>44</v>
      </c>
      <c r="C38" s="430">
        <v>5594</v>
      </c>
      <c r="D38" s="430">
        <v>5545</v>
      </c>
      <c r="E38" s="430">
        <v>11139</v>
      </c>
      <c r="F38" s="430">
        <v>9701</v>
      </c>
      <c r="G38" s="430">
        <v>8009</v>
      </c>
      <c r="H38" s="430">
        <v>17710</v>
      </c>
      <c r="I38" s="430">
        <v>8535</v>
      </c>
      <c r="J38" s="430">
        <v>3380</v>
      </c>
      <c r="K38" s="430">
        <v>11915</v>
      </c>
      <c r="L38" s="430"/>
      <c r="M38" s="430"/>
      <c r="N38" s="430"/>
      <c r="O38" s="430">
        <v>15753</v>
      </c>
      <c r="P38" s="430">
        <v>20144</v>
      </c>
      <c r="Q38" s="430">
        <v>35897</v>
      </c>
      <c r="R38" s="430">
        <v>44380</v>
      </c>
      <c r="S38" s="430">
        <v>54858</v>
      </c>
      <c r="T38" s="430">
        <v>99238</v>
      </c>
      <c r="U38" s="430">
        <v>69082</v>
      </c>
      <c r="V38" s="430">
        <v>37225</v>
      </c>
      <c r="W38" s="430">
        <v>106307</v>
      </c>
      <c r="X38" s="430">
        <v>293</v>
      </c>
      <c r="Y38" s="430">
        <v>365</v>
      </c>
      <c r="Z38" s="430">
        <v>658</v>
      </c>
      <c r="AA38" s="430">
        <v>4963</v>
      </c>
      <c r="AB38" s="430">
        <v>1784</v>
      </c>
      <c r="AC38" s="430">
        <v>6747</v>
      </c>
      <c r="AD38" s="430">
        <v>7440</v>
      </c>
      <c r="AE38" s="430">
        <v>5683</v>
      </c>
      <c r="AF38" s="430">
        <v>13123</v>
      </c>
      <c r="AG38" s="430">
        <v>165741</v>
      </c>
      <c r="AH38" s="430">
        <v>136993</v>
      </c>
      <c r="AI38" s="430">
        <v>302734</v>
      </c>
    </row>
    <row r="39" spans="1:38" ht="27" customHeight="1" x14ac:dyDescent="0.35">
      <c r="A39" s="380">
        <v>35</v>
      </c>
      <c r="B39" s="431" t="s">
        <v>45</v>
      </c>
      <c r="C39" s="430">
        <v>4455</v>
      </c>
      <c r="D39" s="430">
        <v>4391</v>
      </c>
      <c r="E39" s="430">
        <v>8846</v>
      </c>
      <c r="F39" s="430">
        <v>25307</v>
      </c>
      <c r="G39" s="430">
        <v>27521</v>
      </c>
      <c r="H39" s="430">
        <v>52828</v>
      </c>
      <c r="I39" s="430">
        <v>24701</v>
      </c>
      <c r="J39" s="430">
        <v>8346</v>
      </c>
      <c r="K39" s="430">
        <v>33047</v>
      </c>
      <c r="L39" s="430"/>
      <c r="M39" s="430"/>
      <c r="N39" s="430"/>
      <c r="O39" s="430">
        <v>51544</v>
      </c>
      <c r="P39" s="430">
        <v>67214</v>
      </c>
      <c r="Q39" s="430">
        <v>118758</v>
      </c>
      <c r="R39" s="430">
        <v>162805</v>
      </c>
      <c r="S39" s="430">
        <v>134880</v>
      </c>
      <c r="T39" s="430">
        <v>297685</v>
      </c>
      <c r="U39" s="430">
        <v>43122</v>
      </c>
      <c r="V39" s="430">
        <v>26357</v>
      </c>
      <c r="W39" s="430">
        <v>69479</v>
      </c>
      <c r="X39" s="430">
        <v>783</v>
      </c>
      <c r="Y39" s="430">
        <v>304</v>
      </c>
      <c r="Z39" s="430">
        <v>1087</v>
      </c>
      <c r="AA39" s="430"/>
      <c r="AB39" s="430"/>
      <c r="AC39" s="430"/>
      <c r="AD39" s="430">
        <v>1643</v>
      </c>
      <c r="AE39" s="430">
        <v>1015</v>
      </c>
      <c r="AF39" s="430">
        <v>2658</v>
      </c>
      <c r="AG39" s="430">
        <v>314360</v>
      </c>
      <c r="AH39" s="430">
        <v>270028</v>
      </c>
      <c r="AI39" s="430">
        <v>584388</v>
      </c>
    </row>
    <row r="40" spans="1:38" s="428" customFormat="1" ht="27" customHeight="1" x14ac:dyDescent="0.35">
      <c r="A40" s="921" t="s">
        <v>46</v>
      </c>
      <c r="B40" s="922"/>
      <c r="C40" s="429">
        <v>411643</v>
      </c>
      <c r="D40" s="429">
        <v>383824</v>
      </c>
      <c r="E40" s="429">
        <v>795467</v>
      </c>
      <c r="F40" s="429">
        <v>651872</v>
      </c>
      <c r="G40" s="429">
        <v>646609</v>
      </c>
      <c r="H40" s="429">
        <v>1298481</v>
      </c>
      <c r="I40" s="429">
        <v>291284</v>
      </c>
      <c r="J40" s="429">
        <v>125803</v>
      </c>
      <c r="K40" s="429">
        <v>417087</v>
      </c>
      <c r="L40" s="429">
        <v>3191</v>
      </c>
      <c r="M40" s="429">
        <v>5107</v>
      </c>
      <c r="N40" s="429">
        <v>8298</v>
      </c>
      <c r="O40" s="429">
        <v>1584093</v>
      </c>
      <c r="P40" s="429">
        <v>1599575</v>
      </c>
      <c r="Q40" s="429">
        <v>3183668</v>
      </c>
      <c r="R40" s="429">
        <v>890193</v>
      </c>
      <c r="S40" s="429">
        <v>759663</v>
      </c>
      <c r="T40" s="429">
        <v>1649856</v>
      </c>
      <c r="U40" s="429">
        <v>1477872</v>
      </c>
      <c r="V40" s="429">
        <v>841593</v>
      </c>
      <c r="W40" s="429">
        <v>2319465</v>
      </c>
      <c r="X40" s="429">
        <v>27448</v>
      </c>
      <c r="Y40" s="429">
        <v>13713</v>
      </c>
      <c r="Z40" s="429">
        <v>41161</v>
      </c>
      <c r="AA40" s="429">
        <v>26583</v>
      </c>
      <c r="AB40" s="429">
        <v>28893</v>
      </c>
      <c r="AC40" s="429">
        <v>55476</v>
      </c>
      <c r="AD40" s="429">
        <v>630149</v>
      </c>
      <c r="AE40" s="429">
        <v>459790</v>
      </c>
      <c r="AF40" s="429">
        <v>1089939</v>
      </c>
      <c r="AG40" s="429">
        <v>5994328</v>
      </c>
      <c r="AH40" s="429">
        <v>4864570</v>
      </c>
      <c r="AI40" s="429">
        <v>10858898</v>
      </c>
      <c r="AJ40" s="425"/>
      <c r="AK40" s="425"/>
      <c r="AL40" s="425"/>
    </row>
    <row r="43" spans="1:38" s="427" customFormat="1" x14ac:dyDescent="0.35">
      <c r="A43" s="450"/>
    </row>
    <row r="81" spans="2:32" x14ac:dyDescent="0.35">
      <c r="B81" s="427"/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7"/>
      <c r="U81" s="427"/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</row>
    <row r="82" spans="2:32" x14ac:dyDescent="0.35">
      <c r="C82" s="426"/>
      <c r="D82" s="426"/>
      <c r="E82" s="426"/>
      <c r="F82" s="426"/>
      <c r="G82" s="426"/>
      <c r="H82" s="426"/>
      <c r="I82" s="426"/>
      <c r="J82" s="426"/>
      <c r="K82" s="426"/>
      <c r="L82" s="426"/>
      <c r="M82" s="426"/>
      <c r="N82" s="426"/>
      <c r="O82" s="426"/>
      <c r="P82" s="426"/>
      <c r="Q82" s="426"/>
      <c r="R82" s="426"/>
      <c r="S82" s="426"/>
      <c r="T82" s="426"/>
      <c r="U82" s="426"/>
      <c r="V82" s="426"/>
      <c r="W82" s="426"/>
      <c r="X82" s="426"/>
      <c r="Y82" s="426"/>
      <c r="Z82" s="426"/>
      <c r="AA82" s="426"/>
      <c r="AB82" s="426"/>
      <c r="AC82" s="426"/>
      <c r="AD82" s="426"/>
      <c r="AE82" s="426"/>
      <c r="AF82" s="426"/>
    </row>
    <row r="83" spans="2:32" x14ac:dyDescent="0.35">
      <c r="C83" s="426"/>
      <c r="D83" s="426"/>
      <c r="E83" s="426"/>
      <c r="F83" s="426"/>
      <c r="G83" s="426"/>
      <c r="H83" s="426"/>
      <c r="I83" s="426"/>
      <c r="J83" s="426"/>
      <c r="K83" s="426"/>
      <c r="L83" s="426"/>
      <c r="M83" s="426"/>
      <c r="N83" s="426"/>
      <c r="O83" s="426"/>
      <c r="P83" s="426"/>
      <c r="Q83" s="426"/>
      <c r="R83" s="426"/>
      <c r="S83" s="426"/>
      <c r="T83" s="426"/>
      <c r="U83" s="426"/>
      <c r="V83" s="426"/>
      <c r="W83" s="426"/>
      <c r="X83" s="426"/>
      <c r="Y83" s="426"/>
      <c r="Z83" s="426"/>
      <c r="AA83" s="426"/>
      <c r="AB83" s="426"/>
      <c r="AC83" s="426"/>
      <c r="AD83" s="426"/>
      <c r="AE83" s="426"/>
      <c r="AF83" s="426"/>
    </row>
    <row r="84" spans="2:32" x14ac:dyDescent="0.35">
      <c r="C84" s="426"/>
      <c r="D84" s="426"/>
      <c r="E84" s="426"/>
      <c r="F84" s="426"/>
      <c r="G84" s="426"/>
      <c r="H84" s="426"/>
      <c r="I84" s="426"/>
      <c r="J84" s="426"/>
      <c r="K84" s="426"/>
      <c r="L84" s="426"/>
      <c r="M84" s="426"/>
      <c r="N84" s="426"/>
      <c r="O84" s="426"/>
      <c r="P84" s="426"/>
      <c r="Q84" s="426"/>
      <c r="R84" s="426"/>
      <c r="S84" s="426"/>
      <c r="T84" s="426"/>
      <c r="U84" s="426"/>
      <c r="V84" s="426"/>
      <c r="W84" s="426"/>
      <c r="X84" s="426"/>
      <c r="Y84" s="426"/>
      <c r="Z84" s="426"/>
      <c r="AA84" s="426"/>
      <c r="AB84" s="426"/>
      <c r="AC84" s="426"/>
      <c r="AD84" s="426"/>
      <c r="AE84" s="426"/>
      <c r="AF84" s="426"/>
    </row>
    <row r="85" spans="2:32" x14ac:dyDescent="0.35">
      <c r="C85" s="426"/>
      <c r="D85" s="426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  <c r="P85" s="426"/>
      <c r="Q85" s="426"/>
      <c r="R85" s="426"/>
      <c r="S85" s="426"/>
      <c r="T85" s="426"/>
      <c r="U85" s="426"/>
      <c r="V85" s="426"/>
      <c r="W85" s="426"/>
      <c r="X85" s="426"/>
      <c r="Y85" s="426"/>
      <c r="Z85" s="426"/>
      <c r="AA85" s="426"/>
      <c r="AB85" s="426"/>
      <c r="AC85" s="426"/>
      <c r="AD85" s="426"/>
      <c r="AE85" s="426"/>
      <c r="AF85" s="426"/>
    </row>
    <row r="86" spans="2:32" x14ac:dyDescent="0.35">
      <c r="C86" s="426"/>
      <c r="D86" s="426"/>
      <c r="E86" s="426"/>
      <c r="F86" s="426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26"/>
      <c r="T86" s="426"/>
      <c r="U86" s="426"/>
      <c r="V86" s="426"/>
      <c r="W86" s="426"/>
      <c r="X86" s="426"/>
      <c r="Y86" s="426"/>
      <c r="Z86" s="426"/>
      <c r="AA86" s="426"/>
      <c r="AB86" s="426"/>
      <c r="AC86" s="426"/>
      <c r="AD86" s="426"/>
      <c r="AE86" s="426"/>
      <c r="AF86" s="426"/>
    </row>
    <row r="87" spans="2:32" x14ac:dyDescent="0.35">
      <c r="C87" s="426"/>
      <c r="D87" s="426"/>
      <c r="E87" s="426"/>
      <c r="F87" s="426"/>
      <c r="G87" s="426"/>
      <c r="H87" s="426"/>
      <c r="I87" s="426"/>
      <c r="J87" s="426"/>
      <c r="K87" s="426"/>
      <c r="L87" s="426"/>
      <c r="M87" s="426"/>
      <c r="N87" s="426"/>
      <c r="O87" s="426"/>
      <c r="P87" s="426"/>
      <c r="Q87" s="426"/>
      <c r="R87" s="426"/>
      <c r="S87" s="426"/>
      <c r="T87" s="426"/>
      <c r="U87" s="426"/>
      <c r="V87" s="426"/>
      <c r="W87" s="426"/>
      <c r="X87" s="426"/>
      <c r="Y87" s="426"/>
      <c r="Z87" s="426"/>
      <c r="AA87" s="426"/>
      <c r="AB87" s="426"/>
      <c r="AC87" s="426"/>
      <c r="AD87" s="426"/>
      <c r="AE87" s="426"/>
      <c r="AF87" s="426"/>
    </row>
    <row r="88" spans="2:32" x14ac:dyDescent="0.35">
      <c r="C88" s="426"/>
      <c r="D88" s="426"/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  <c r="V88" s="426"/>
      <c r="W88" s="426"/>
      <c r="X88" s="426"/>
      <c r="Y88" s="426"/>
      <c r="Z88" s="426"/>
      <c r="AA88" s="426"/>
      <c r="AB88" s="426"/>
      <c r="AC88" s="426"/>
      <c r="AD88" s="426"/>
      <c r="AE88" s="426"/>
      <c r="AF88" s="426"/>
    </row>
    <row r="89" spans="2:32" x14ac:dyDescent="0.35">
      <c r="C89" s="426"/>
      <c r="D89" s="426"/>
      <c r="E89" s="426"/>
      <c r="F89" s="426"/>
      <c r="G89" s="426"/>
      <c r="H89" s="426"/>
      <c r="I89" s="426"/>
      <c r="J89" s="426"/>
      <c r="K89" s="426"/>
      <c r="L89" s="426"/>
      <c r="M89" s="426"/>
      <c r="N89" s="426"/>
      <c r="O89" s="426"/>
      <c r="P89" s="426"/>
      <c r="Q89" s="426"/>
      <c r="R89" s="426"/>
      <c r="S89" s="426"/>
      <c r="T89" s="426"/>
      <c r="U89" s="426"/>
      <c r="V89" s="426"/>
      <c r="W89" s="426"/>
      <c r="X89" s="426"/>
      <c r="Y89" s="426"/>
      <c r="Z89" s="426"/>
      <c r="AA89" s="426"/>
      <c r="AB89" s="426"/>
      <c r="AC89" s="426"/>
      <c r="AD89" s="426"/>
      <c r="AE89" s="426"/>
      <c r="AF89" s="426"/>
    </row>
    <row r="90" spans="2:32" x14ac:dyDescent="0.35">
      <c r="C90" s="426"/>
      <c r="D90" s="426"/>
      <c r="E90" s="426"/>
      <c r="F90" s="426"/>
      <c r="G90" s="426"/>
      <c r="H90" s="426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/>
      <c r="U90" s="426"/>
      <c r="V90" s="426"/>
      <c r="W90" s="426"/>
      <c r="X90" s="426"/>
      <c r="Y90" s="426"/>
      <c r="Z90" s="426"/>
      <c r="AA90" s="426"/>
      <c r="AB90" s="426"/>
      <c r="AC90" s="426"/>
      <c r="AD90" s="426"/>
      <c r="AE90" s="426"/>
      <c r="AF90" s="426"/>
    </row>
    <row r="91" spans="2:32" x14ac:dyDescent="0.35">
      <c r="C91" s="426"/>
      <c r="D91" s="426"/>
      <c r="E91" s="426"/>
      <c r="F91" s="426"/>
      <c r="G91" s="426"/>
      <c r="H91" s="426"/>
      <c r="I91" s="426"/>
      <c r="J91" s="426"/>
      <c r="K91" s="426"/>
      <c r="L91" s="426"/>
      <c r="M91" s="426"/>
      <c r="N91" s="426"/>
      <c r="O91" s="426"/>
      <c r="P91" s="426"/>
      <c r="Q91" s="426"/>
      <c r="R91" s="426"/>
      <c r="S91" s="426"/>
      <c r="T91" s="426"/>
      <c r="U91" s="426"/>
      <c r="V91" s="426"/>
      <c r="W91" s="426"/>
      <c r="X91" s="426"/>
      <c r="Y91" s="426"/>
      <c r="Z91" s="426"/>
      <c r="AA91" s="426"/>
      <c r="AB91" s="426"/>
      <c r="AC91" s="426"/>
      <c r="AD91" s="426"/>
      <c r="AE91" s="426"/>
      <c r="AF91" s="426"/>
    </row>
    <row r="92" spans="2:32" x14ac:dyDescent="0.35">
      <c r="C92" s="426"/>
      <c r="D92" s="426"/>
      <c r="E92" s="426"/>
      <c r="F92" s="426"/>
      <c r="G92" s="426"/>
      <c r="H92" s="426"/>
      <c r="I92" s="426"/>
      <c r="J92" s="426"/>
      <c r="K92" s="426"/>
      <c r="L92" s="426"/>
      <c r="M92" s="426"/>
      <c r="N92" s="426"/>
      <c r="O92" s="426"/>
      <c r="P92" s="426"/>
      <c r="Q92" s="426"/>
      <c r="R92" s="426"/>
      <c r="S92" s="426"/>
      <c r="T92" s="426"/>
      <c r="U92" s="426"/>
      <c r="V92" s="426"/>
      <c r="W92" s="426"/>
      <c r="X92" s="426"/>
      <c r="Y92" s="426"/>
      <c r="Z92" s="426"/>
      <c r="AA92" s="426"/>
      <c r="AB92" s="426"/>
      <c r="AC92" s="426"/>
      <c r="AD92" s="426"/>
      <c r="AE92" s="426"/>
      <c r="AF92" s="426"/>
    </row>
    <row r="93" spans="2:32" x14ac:dyDescent="0.35">
      <c r="C93" s="426"/>
      <c r="D93" s="426"/>
      <c r="E93" s="426"/>
      <c r="F93" s="426"/>
      <c r="G93" s="426"/>
      <c r="H93" s="426"/>
      <c r="I93" s="426"/>
      <c r="J93" s="426"/>
      <c r="K93" s="426"/>
      <c r="L93" s="426"/>
      <c r="M93" s="426"/>
      <c r="N93" s="426"/>
      <c r="O93" s="426"/>
      <c r="P93" s="426"/>
      <c r="Q93" s="426"/>
      <c r="R93" s="426"/>
      <c r="S93" s="426"/>
      <c r="T93" s="426"/>
      <c r="U93" s="426"/>
      <c r="V93" s="426"/>
      <c r="W93" s="426"/>
      <c r="X93" s="426"/>
      <c r="Y93" s="426"/>
      <c r="Z93" s="426"/>
      <c r="AA93" s="426"/>
      <c r="AB93" s="426"/>
      <c r="AC93" s="426"/>
      <c r="AD93" s="426"/>
      <c r="AE93" s="426"/>
      <c r="AF93" s="426"/>
    </row>
    <row r="94" spans="2:32" x14ac:dyDescent="0.35">
      <c r="C94" s="426"/>
      <c r="D94" s="426"/>
      <c r="E94" s="426"/>
      <c r="F94" s="426"/>
      <c r="G94" s="426"/>
      <c r="H94" s="426"/>
      <c r="I94" s="426"/>
      <c r="J94" s="426"/>
      <c r="K94" s="426"/>
      <c r="L94" s="426"/>
      <c r="M94" s="426"/>
      <c r="N94" s="426"/>
      <c r="O94" s="426"/>
      <c r="P94" s="426"/>
      <c r="Q94" s="426"/>
      <c r="R94" s="426"/>
      <c r="S94" s="426"/>
      <c r="T94" s="426"/>
      <c r="U94" s="426"/>
      <c r="V94" s="426"/>
      <c r="W94" s="426"/>
      <c r="X94" s="426"/>
      <c r="Y94" s="426"/>
      <c r="Z94" s="426"/>
      <c r="AA94" s="426"/>
      <c r="AB94" s="426"/>
      <c r="AC94" s="426"/>
      <c r="AD94" s="426"/>
      <c r="AE94" s="426"/>
      <c r="AF94" s="426"/>
    </row>
    <row r="95" spans="2:32" x14ac:dyDescent="0.35">
      <c r="C95" s="426"/>
      <c r="D95" s="426"/>
      <c r="E95" s="426"/>
      <c r="F95" s="426"/>
      <c r="G95" s="426"/>
      <c r="H95" s="426"/>
      <c r="I95" s="426"/>
      <c r="J95" s="426"/>
      <c r="K95" s="426"/>
      <c r="L95" s="426"/>
      <c r="M95" s="426"/>
      <c r="N95" s="426"/>
      <c r="O95" s="426"/>
      <c r="P95" s="426"/>
      <c r="Q95" s="426"/>
      <c r="R95" s="426"/>
      <c r="S95" s="426"/>
      <c r="T95" s="426"/>
      <c r="U95" s="426"/>
      <c r="V95" s="426"/>
      <c r="W95" s="426"/>
      <c r="X95" s="426"/>
      <c r="Y95" s="426"/>
      <c r="Z95" s="426"/>
      <c r="AA95" s="426"/>
      <c r="AB95" s="426"/>
      <c r="AC95" s="426"/>
      <c r="AD95" s="426"/>
      <c r="AE95" s="426"/>
      <c r="AF95" s="426"/>
    </row>
    <row r="96" spans="2:32" x14ac:dyDescent="0.35">
      <c r="C96" s="426"/>
      <c r="D96" s="426"/>
      <c r="E96" s="426"/>
      <c r="F96" s="426"/>
      <c r="G96" s="426"/>
      <c r="H96" s="426"/>
      <c r="I96" s="426"/>
      <c r="J96" s="426"/>
      <c r="K96" s="426"/>
      <c r="L96" s="426"/>
      <c r="M96" s="426"/>
      <c r="N96" s="426"/>
      <c r="O96" s="426"/>
      <c r="P96" s="426"/>
      <c r="Q96" s="426"/>
      <c r="R96" s="426"/>
      <c r="S96" s="426"/>
      <c r="T96" s="426"/>
      <c r="U96" s="426"/>
      <c r="V96" s="426"/>
      <c r="W96" s="426"/>
      <c r="X96" s="426"/>
      <c r="Y96" s="426"/>
      <c r="Z96" s="426"/>
      <c r="AA96" s="426"/>
      <c r="AB96" s="426"/>
      <c r="AC96" s="426"/>
      <c r="AD96" s="426"/>
      <c r="AE96" s="426"/>
      <c r="AF96" s="426"/>
    </row>
    <row r="97" spans="3:32" x14ac:dyDescent="0.35">
      <c r="C97" s="426"/>
      <c r="D97" s="426"/>
      <c r="E97" s="426"/>
      <c r="F97" s="426"/>
      <c r="G97" s="426"/>
      <c r="H97" s="426"/>
      <c r="I97" s="426"/>
      <c r="J97" s="426"/>
      <c r="K97" s="426"/>
      <c r="L97" s="426"/>
      <c r="M97" s="426"/>
      <c r="N97" s="426"/>
      <c r="O97" s="426"/>
      <c r="P97" s="426"/>
      <c r="Q97" s="426"/>
      <c r="R97" s="426"/>
      <c r="S97" s="426"/>
      <c r="T97" s="426"/>
      <c r="U97" s="426"/>
      <c r="V97" s="426"/>
      <c r="W97" s="426"/>
      <c r="X97" s="426"/>
      <c r="Y97" s="426"/>
      <c r="Z97" s="426"/>
      <c r="AA97" s="426"/>
      <c r="AB97" s="426"/>
      <c r="AC97" s="426"/>
      <c r="AD97" s="426"/>
      <c r="AE97" s="426"/>
      <c r="AF97" s="426"/>
    </row>
    <row r="98" spans="3:32" x14ac:dyDescent="0.35">
      <c r="C98" s="426"/>
      <c r="D98" s="426"/>
      <c r="E98" s="426"/>
      <c r="F98" s="426"/>
      <c r="G98" s="426"/>
      <c r="H98" s="426"/>
      <c r="I98" s="426"/>
      <c r="J98" s="426"/>
      <c r="K98" s="426"/>
      <c r="L98" s="426"/>
      <c r="M98" s="426"/>
      <c r="N98" s="426"/>
      <c r="O98" s="426"/>
      <c r="P98" s="426"/>
      <c r="Q98" s="426"/>
      <c r="R98" s="426"/>
      <c r="S98" s="426"/>
      <c r="T98" s="426"/>
      <c r="U98" s="426"/>
      <c r="V98" s="426"/>
      <c r="W98" s="426"/>
      <c r="X98" s="426"/>
      <c r="Y98" s="426"/>
      <c r="Z98" s="426"/>
      <c r="AA98" s="426"/>
      <c r="AB98" s="426"/>
      <c r="AC98" s="426"/>
      <c r="AD98" s="426"/>
      <c r="AE98" s="426"/>
      <c r="AF98" s="426"/>
    </row>
    <row r="99" spans="3:32" x14ac:dyDescent="0.35">
      <c r="C99" s="426"/>
      <c r="D99" s="426"/>
      <c r="E99" s="426"/>
      <c r="F99" s="426"/>
      <c r="G99" s="426"/>
      <c r="H99" s="426"/>
      <c r="I99" s="426"/>
      <c r="J99" s="426"/>
      <c r="K99" s="426"/>
      <c r="L99" s="426"/>
      <c r="M99" s="426"/>
      <c r="N99" s="426"/>
      <c r="O99" s="426"/>
      <c r="P99" s="426"/>
      <c r="Q99" s="426"/>
      <c r="R99" s="426"/>
      <c r="S99" s="426"/>
      <c r="T99" s="426"/>
      <c r="U99" s="426"/>
      <c r="V99" s="426"/>
      <c r="W99" s="426"/>
      <c r="X99" s="426"/>
      <c r="Y99" s="426"/>
      <c r="Z99" s="426"/>
      <c r="AA99" s="426"/>
      <c r="AB99" s="426"/>
      <c r="AC99" s="426"/>
      <c r="AD99" s="426"/>
      <c r="AE99" s="426"/>
      <c r="AF99" s="426"/>
    </row>
    <row r="100" spans="3:32" x14ac:dyDescent="0.35"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6"/>
      <c r="Q100" s="426"/>
      <c r="R100" s="426"/>
      <c r="S100" s="426"/>
      <c r="T100" s="426"/>
      <c r="U100" s="426"/>
      <c r="V100" s="426"/>
      <c r="W100" s="426"/>
      <c r="X100" s="426"/>
      <c r="Y100" s="426"/>
      <c r="Z100" s="426"/>
      <c r="AA100" s="426"/>
      <c r="AB100" s="426"/>
      <c r="AC100" s="426"/>
      <c r="AD100" s="426"/>
      <c r="AE100" s="426"/>
      <c r="AF100" s="426"/>
    </row>
    <row r="101" spans="3:32" x14ac:dyDescent="0.35">
      <c r="C101" s="426"/>
      <c r="D101" s="426"/>
      <c r="E101" s="426"/>
      <c r="F101" s="426"/>
      <c r="G101" s="426"/>
      <c r="H101" s="426"/>
      <c r="I101" s="426"/>
      <c r="J101" s="426"/>
      <c r="K101" s="426"/>
      <c r="L101" s="426"/>
      <c r="M101" s="426"/>
      <c r="N101" s="426"/>
      <c r="O101" s="426"/>
      <c r="P101" s="426"/>
      <c r="Q101" s="426"/>
      <c r="R101" s="426"/>
      <c r="S101" s="426"/>
      <c r="T101" s="426"/>
      <c r="U101" s="426"/>
      <c r="V101" s="426"/>
      <c r="W101" s="426"/>
      <c r="X101" s="426"/>
      <c r="Y101" s="426"/>
      <c r="Z101" s="426"/>
      <c r="AA101" s="426"/>
      <c r="AB101" s="426"/>
      <c r="AC101" s="426"/>
      <c r="AD101" s="426"/>
      <c r="AE101" s="426"/>
      <c r="AF101" s="426"/>
    </row>
    <row r="102" spans="3:32" x14ac:dyDescent="0.35">
      <c r="C102" s="426"/>
      <c r="D102" s="426"/>
      <c r="E102" s="426"/>
      <c r="F102" s="426"/>
      <c r="G102" s="426"/>
      <c r="H102" s="426"/>
      <c r="I102" s="426"/>
      <c r="J102" s="426"/>
      <c r="K102" s="426"/>
      <c r="L102" s="426"/>
      <c r="M102" s="426"/>
      <c r="N102" s="426"/>
      <c r="O102" s="426"/>
      <c r="P102" s="426"/>
      <c r="Q102" s="426"/>
      <c r="R102" s="426"/>
      <c r="S102" s="426"/>
      <c r="T102" s="426"/>
      <c r="U102" s="426"/>
      <c r="V102" s="426"/>
      <c r="W102" s="426"/>
      <c r="X102" s="426"/>
      <c r="Y102" s="426"/>
      <c r="Z102" s="426"/>
      <c r="AA102" s="426"/>
      <c r="AB102" s="426"/>
      <c r="AC102" s="426"/>
      <c r="AD102" s="426"/>
      <c r="AE102" s="426"/>
      <c r="AF102" s="426"/>
    </row>
    <row r="103" spans="3:32" x14ac:dyDescent="0.35">
      <c r="C103" s="426"/>
      <c r="D103" s="426"/>
      <c r="E103" s="426"/>
      <c r="F103" s="426"/>
      <c r="G103" s="426"/>
      <c r="H103" s="426"/>
      <c r="I103" s="426"/>
      <c r="J103" s="426"/>
      <c r="K103" s="426"/>
      <c r="L103" s="426"/>
      <c r="M103" s="426"/>
      <c r="N103" s="426"/>
      <c r="O103" s="426"/>
      <c r="P103" s="426"/>
      <c r="Q103" s="426"/>
      <c r="R103" s="426"/>
      <c r="S103" s="426"/>
      <c r="T103" s="426"/>
      <c r="U103" s="426"/>
      <c r="V103" s="426"/>
      <c r="W103" s="426"/>
      <c r="X103" s="426"/>
      <c r="Y103" s="426"/>
      <c r="Z103" s="426"/>
      <c r="AA103" s="426"/>
      <c r="AB103" s="426"/>
      <c r="AC103" s="426"/>
      <c r="AD103" s="426"/>
      <c r="AE103" s="426"/>
      <c r="AF103" s="426"/>
    </row>
    <row r="104" spans="3:32" x14ac:dyDescent="0.35">
      <c r="C104" s="426"/>
      <c r="D104" s="426"/>
      <c r="E104" s="426"/>
      <c r="F104" s="426"/>
      <c r="G104" s="426"/>
      <c r="H104" s="426"/>
      <c r="I104" s="426"/>
      <c r="J104" s="426"/>
      <c r="K104" s="426"/>
      <c r="L104" s="426"/>
      <c r="M104" s="426"/>
      <c r="N104" s="426"/>
      <c r="O104" s="426"/>
      <c r="P104" s="426"/>
      <c r="Q104" s="426"/>
      <c r="R104" s="426"/>
      <c r="S104" s="426"/>
      <c r="T104" s="426"/>
      <c r="U104" s="426"/>
      <c r="V104" s="426"/>
      <c r="W104" s="426"/>
      <c r="X104" s="426"/>
      <c r="Y104" s="426"/>
      <c r="Z104" s="426"/>
      <c r="AA104" s="426"/>
      <c r="AB104" s="426"/>
      <c r="AC104" s="426"/>
      <c r="AD104" s="426"/>
      <c r="AE104" s="426"/>
      <c r="AF104" s="426"/>
    </row>
    <row r="105" spans="3:32" x14ac:dyDescent="0.35">
      <c r="C105" s="426"/>
      <c r="D105" s="426"/>
      <c r="E105" s="426"/>
      <c r="F105" s="426"/>
      <c r="G105" s="426"/>
      <c r="H105" s="426"/>
      <c r="I105" s="426"/>
      <c r="J105" s="426"/>
      <c r="K105" s="426"/>
      <c r="L105" s="426"/>
      <c r="M105" s="426"/>
      <c r="N105" s="426"/>
      <c r="O105" s="426"/>
      <c r="P105" s="426"/>
      <c r="Q105" s="426"/>
      <c r="R105" s="426"/>
      <c r="S105" s="426"/>
      <c r="T105" s="426"/>
      <c r="U105" s="426"/>
      <c r="V105" s="426"/>
      <c r="W105" s="426"/>
      <c r="X105" s="426"/>
      <c r="Y105" s="426"/>
      <c r="Z105" s="426"/>
      <c r="AA105" s="426"/>
      <c r="AB105" s="426"/>
      <c r="AC105" s="426"/>
      <c r="AD105" s="426"/>
      <c r="AE105" s="426"/>
      <c r="AF105" s="426"/>
    </row>
    <row r="106" spans="3:32" x14ac:dyDescent="0.35">
      <c r="C106" s="426"/>
      <c r="D106" s="426"/>
      <c r="E106" s="426"/>
      <c r="F106" s="426"/>
      <c r="G106" s="426"/>
      <c r="H106" s="426"/>
      <c r="I106" s="426"/>
      <c r="J106" s="426"/>
      <c r="K106" s="426"/>
      <c r="L106" s="426"/>
      <c r="M106" s="426"/>
      <c r="N106" s="426"/>
      <c r="O106" s="426"/>
      <c r="P106" s="426"/>
      <c r="Q106" s="426"/>
      <c r="R106" s="426"/>
      <c r="S106" s="426"/>
      <c r="T106" s="426"/>
      <c r="U106" s="426"/>
      <c r="V106" s="426"/>
      <c r="W106" s="426"/>
      <c r="X106" s="426"/>
      <c r="Y106" s="426"/>
      <c r="Z106" s="426"/>
      <c r="AA106" s="426"/>
      <c r="AB106" s="426"/>
      <c r="AC106" s="426"/>
      <c r="AD106" s="426"/>
      <c r="AE106" s="426"/>
      <c r="AF106" s="426"/>
    </row>
    <row r="107" spans="3:32" x14ac:dyDescent="0.35">
      <c r="C107" s="426"/>
      <c r="D107" s="426"/>
      <c r="E107" s="426"/>
      <c r="F107" s="426"/>
      <c r="G107" s="426"/>
      <c r="H107" s="426"/>
      <c r="I107" s="426"/>
      <c r="J107" s="426"/>
      <c r="K107" s="426"/>
      <c r="L107" s="426"/>
      <c r="M107" s="426"/>
      <c r="N107" s="426"/>
      <c r="O107" s="426"/>
      <c r="P107" s="426"/>
      <c r="Q107" s="426"/>
      <c r="R107" s="426"/>
      <c r="S107" s="426"/>
      <c r="T107" s="426"/>
      <c r="U107" s="426"/>
      <c r="V107" s="426"/>
      <c r="W107" s="426"/>
      <c r="X107" s="426"/>
      <c r="Y107" s="426"/>
      <c r="Z107" s="426"/>
      <c r="AA107" s="426"/>
      <c r="AB107" s="426"/>
      <c r="AC107" s="426"/>
      <c r="AD107" s="426"/>
      <c r="AE107" s="426"/>
      <c r="AF107" s="426"/>
    </row>
    <row r="108" spans="3:32" x14ac:dyDescent="0.35">
      <c r="C108" s="426"/>
      <c r="D108" s="426"/>
      <c r="E108" s="426"/>
      <c r="F108" s="426"/>
      <c r="G108" s="426"/>
      <c r="H108" s="426"/>
      <c r="I108" s="426"/>
      <c r="J108" s="426"/>
      <c r="K108" s="426"/>
      <c r="L108" s="426"/>
      <c r="M108" s="426"/>
      <c r="N108" s="426"/>
      <c r="O108" s="426"/>
      <c r="P108" s="426"/>
      <c r="Q108" s="426"/>
      <c r="R108" s="426"/>
      <c r="S108" s="426"/>
      <c r="T108" s="426"/>
      <c r="U108" s="426"/>
      <c r="V108" s="426"/>
      <c r="W108" s="426"/>
      <c r="X108" s="426"/>
      <c r="Y108" s="426"/>
      <c r="Z108" s="426"/>
      <c r="AA108" s="426"/>
      <c r="AB108" s="426"/>
      <c r="AC108" s="426"/>
      <c r="AD108" s="426"/>
      <c r="AE108" s="426"/>
      <c r="AF108" s="426"/>
    </row>
    <row r="109" spans="3:32" x14ac:dyDescent="0.35">
      <c r="C109" s="426"/>
      <c r="D109" s="426"/>
      <c r="E109" s="426"/>
      <c r="F109" s="426"/>
      <c r="G109" s="426"/>
      <c r="H109" s="426"/>
      <c r="I109" s="426"/>
      <c r="J109" s="426"/>
      <c r="K109" s="426"/>
      <c r="L109" s="426"/>
      <c r="M109" s="426"/>
      <c r="N109" s="426"/>
      <c r="O109" s="426"/>
      <c r="P109" s="426"/>
      <c r="Q109" s="426"/>
      <c r="R109" s="426"/>
      <c r="S109" s="426"/>
      <c r="T109" s="426"/>
      <c r="U109" s="426"/>
      <c r="V109" s="426"/>
      <c r="W109" s="426"/>
      <c r="X109" s="426"/>
      <c r="Y109" s="426"/>
      <c r="Z109" s="426"/>
      <c r="AA109" s="426"/>
      <c r="AB109" s="426"/>
      <c r="AC109" s="426"/>
      <c r="AD109" s="426"/>
      <c r="AE109" s="426"/>
      <c r="AF109" s="426"/>
    </row>
    <row r="110" spans="3:32" x14ac:dyDescent="0.35">
      <c r="C110" s="426"/>
      <c r="D110" s="426"/>
      <c r="E110" s="426"/>
      <c r="F110" s="426"/>
      <c r="G110" s="426"/>
      <c r="H110" s="426"/>
      <c r="I110" s="426"/>
      <c r="J110" s="426"/>
      <c r="K110" s="426"/>
      <c r="L110" s="426"/>
      <c r="M110" s="426"/>
      <c r="N110" s="426"/>
      <c r="O110" s="426"/>
      <c r="P110" s="426"/>
      <c r="Q110" s="426"/>
      <c r="R110" s="426"/>
      <c r="S110" s="426"/>
      <c r="T110" s="426"/>
      <c r="U110" s="426"/>
      <c r="V110" s="426"/>
      <c r="W110" s="426"/>
      <c r="X110" s="426"/>
      <c r="Y110" s="426"/>
      <c r="Z110" s="426"/>
      <c r="AA110" s="426"/>
      <c r="AB110" s="426"/>
      <c r="AC110" s="426"/>
      <c r="AD110" s="426"/>
      <c r="AE110" s="426"/>
      <c r="AF110" s="426"/>
    </row>
    <row r="111" spans="3:32" x14ac:dyDescent="0.35">
      <c r="C111" s="426"/>
      <c r="D111" s="426"/>
      <c r="E111" s="426"/>
      <c r="F111" s="426"/>
      <c r="G111" s="426"/>
      <c r="H111" s="426"/>
      <c r="I111" s="426"/>
      <c r="J111" s="426"/>
      <c r="K111" s="426"/>
      <c r="L111" s="426"/>
      <c r="M111" s="426"/>
      <c r="N111" s="426"/>
      <c r="O111" s="426"/>
      <c r="P111" s="426"/>
      <c r="Q111" s="426"/>
      <c r="R111" s="426"/>
      <c r="S111" s="426"/>
      <c r="T111" s="426"/>
      <c r="U111" s="426"/>
      <c r="V111" s="426"/>
      <c r="W111" s="426"/>
      <c r="X111" s="426"/>
      <c r="Y111" s="426"/>
      <c r="Z111" s="426"/>
      <c r="AA111" s="426"/>
      <c r="AB111" s="426"/>
      <c r="AC111" s="426"/>
      <c r="AD111" s="426"/>
      <c r="AE111" s="426"/>
      <c r="AF111" s="426"/>
    </row>
    <row r="112" spans="3:32" x14ac:dyDescent="0.35"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6"/>
      <c r="Q112" s="426"/>
      <c r="R112" s="426"/>
      <c r="S112" s="426"/>
      <c r="T112" s="426"/>
      <c r="U112" s="426"/>
      <c r="V112" s="426"/>
      <c r="W112" s="426"/>
      <c r="X112" s="426"/>
      <c r="Y112" s="426"/>
      <c r="Z112" s="426"/>
      <c r="AA112" s="426"/>
      <c r="AB112" s="426"/>
      <c r="AC112" s="426"/>
      <c r="AD112" s="426"/>
      <c r="AE112" s="426"/>
      <c r="AF112" s="426"/>
    </row>
    <row r="113" spans="3:32" x14ac:dyDescent="0.35">
      <c r="C113" s="426"/>
      <c r="D113" s="426"/>
      <c r="E113" s="426"/>
      <c r="F113" s="426"/>
      <c r="G113" s="426"/>
      <c r="H113" s="426"/>
      <c r="I113" s="426"/>
      <c r="J113" s="426"/>
      <c r="K113" s="426"/>
      <c r="L113" s="426"/>
      <c r="M113" s="426"/>
      <c r="N113" s="426"/>
      <c r="O113" s="426"/>
      <c r="P113" s="426"/>
      <c r="Q113" s="426"/>
      <c r="R113" s="426"/>
      <c r="S113" s="426"/>
      <c r="T113" s="426"/>
      <c r="U113" s="426"/>
      <c r="V113" s="426"/>
      <c r="W113" s="426"/>
      <c r="X113" s="426"/>
      <c r="Y113" s="426"/>
      <c r="Z113" s="426"/>
      <c r="AA113" s="426"/>
      <c r="AB113" s="426"/>
      <c r="AC113" s="426"/>
      <c r="AD113" s="426"/>
      <c r="AE113" s="426"/>
      <c r="AF113" s="426"/>
    </row>
    <row r="114" spans="3:32" x14ac:dyDescent="0.35">
      <c r="C114" s="426"/>
      <c r="D114" s="426"/>
      <c r="E114" s="426"/>
      <c r="F114" s="426"/>
      <c r="G114" s="426"/>
      <c r="H114" s="426"/>
      <c r="I114" s="426"/>
      <c r="J114" s="426"/>
      <c r="K114" s="426"/>
      <c r="L114" s="426"/>
      <c r="M114" s="426"/>
      <c r="N114" s="426"/>
      <c r="O114" s="426"/>
      <c r="P114" s="426"/>
      <c r="Q114" s="426"/>
      <c r="R114" s="426"/>
      <c r="S114" s="426"/>
      <c r="T114" s="426"/>
      <c r="U114" s="426"/>
      <c r="V114" s="426"/>
      <c r="W114" s="426"/>
      <c r="X114" s="426"/>
      <c r="Y114" s="426"/>
      <c r="Z114" s="426"/>
      <c r="AA114" s="426"/>
      <c r="AB114" s="426"/>
      <c r="AC114" s="426"/>
      <c r="AD114" s="426"/>
      <c r="AE114" s="426"/>
      <c r="AF114" s="426"/>
    </row>
    <row r="115" spans="3:32" x14ac:dyDescent="0.35">
      <c r="C115" s="426"/>
      <c r="D115" s="426"/>
      <c r="E115" s="426"/>
      <c r="F115" s="426"/>
      <c r="G115" s="426"/>
      <c r="H115" s="426"/>
      <c r="I115" s="426"/>
      <c r="J115" s="426"/>
      <c r="K115" s="426"/>
      <c r="L115" s="426"/>
      <c r="M115" s="426"/>
      <c r="N115" s="426"/>
      <c r="O115" s="426"/>
      <c r="P115" s="426"/>
      <c r="Q115" s="426"/>
      <c r="R115" s="426"/>
      <c r="S115" s="426"/>
      <c r="T115" s="426"/>
      <c r="U115" s="426"/>
      <c r="V115" s="426"/>
      <c r="W115" s="426"/>
      <c r="X115" s="426"/>
      <c r="Y115" s="426"/>
      <c r="Z115" s="426"/>
      <c r="AA115" s="426"/>
      <c r="AB115" s="426"/>
      <c r="AC115" s="426"/>
      <c r="AD115" s="426"/>
      <c r="AE115" s="426"/>
      <c r="AF115" s="426"/>
    </row>
    <row r="116" spans="3:32" x14ac:dyDescent="0.35">
      <c r="C116" s="426"/>
      <c r="D116" s="426"/>
      <c r="E116" s="426"/>
      <c r="F116" s="426"/>
      <c r="G116" s="426"/>
      <c r="H116" s="426"/>
      <c r="I116" s="426"/>
      <c r="J116" s="426"/>
      <c r="K116" s="426"/>
      <c r="L116" s="426"/>
      <c r="M116" s="426"/>
      <c r="N116" s="426"/>
      <c r="O116" s="426"/>
      <c r="P116" s="426"/>
      <c r="Q116" s="426"/>
      <c r="R116" s="426"/>
      <c r="S116" s="426"/>
      <c r="T116" s="426"/>
      <c r="U116" s="426"/>
      <c r="V116" s="426"/>
      <c r="W116" s="426"/>
      <c r="X116" s="426"/>
      <c r="Y116" s="426"/>
      <c r="Z116" s="426"/>
      <c r="AA116" s="426"/>
      <c r="AB116" s="426"/>
      <c r="AC116" s="426"/>
      <c r="AD116" s="426"/>
      <c r="AE116" s="426"/>
      <c r="AF116" s="426"/>
    </row>
    <row r="117" spans="3:32" x14ac:dyDescent="0.35">
      <c r="C117" s="426"/>
      <c r="D117" s="426"/>
      <c r="E117" s="426"/>
      <c r="F117" s="426"/>
      <c r="G117" s="426"/>
      <c r="H117" s="426"/>
      <c r="I117" s="426"/>
      <c r="J117" s="426"/>
      <c r="K117" s="426"/>
      <c r="L117" s="426"/>
      <c r="M117" s="426"/>
      <c r="N117" s="426"/>
      <c r="O117" s="426"/>
      <c r="P117" s="426"/>
      <c r="Q117" s="426"/>
      <c r="R117" s="426"/>
      <c r="S117" s="426"/>
      <c r="T117" s="426"/>
      <c r="U117" s="426"/>
      <c r="V117" s="426"/>
      <c r="W117" s="426"/>
      <c r="X117" s="426"/>
      <c r="Y117" s="426"/>
      <c r="Z117" s="426"/>
      <c r="AA117" s="426"/>
      <c r="AB117" s="426"/>
      <c r="AC117" s="426"/>
      <c r="AD117" s="426"/>
      <c r="AE117" s="426"/>
      <c r="AF117" s="426"/>
    </row>
  </sheetData>
  <mergeCells count="18">
    <mergeCell ref="A40:B40"/>
    <mergeCell ref="A2:A3"/>
    <mergeCell ref="B2:B3"/>
    <mergeCell ref="C2:E2"/>
    <mergeCell ref="F2:H2"/>
    <mergeCell ref="AG2:AI2"/>
    <mergeCell ref="L2:N2"/>
    <mergeCell ref="U1:AC1"/>
    <mergeCell ref="AD1:AI1"/>
    <mergeCell ref="C1:K1"/>
    <mergeCell ref="L1:T1"/>
    <mergeCell ref="X2:Z2"/>
    <mergeCell ref="AA2:AC2"/>
    <mergeCell ref="AD2:AF2"/>
    <mergeCell ref="I2:K2"/>
    <mergeCell ref="R2:T2"/>
    <mergeCell ref="U2:W2"/>
    <mergeCell ref="O2:Q2"/>
  </mergeCells>
  <pageMargins left="0.59055118110236227" right="0.35433070866141736" top="0.39370078740157483" bottom="0.39370078740157483" header="0.31496062992125984" footer="0.19685039370078741"/>
  <pageSetup paperSize="9" scale="70" firstPageNumber="123" orientation="portrait" r:id="rId1"/>
  <headerFooter>
    <oddFooter>&amp;L&amp;"Arial,Italic"&amp;9AISHE 2023-24&amp;RT-39</oddFooter>
  </headerFooter>
  <colBreaks count="3" manualBreakCount="3">
    <brk id="11" max="39" man="1"/>
    <brk id="20" max="39" man="1"/>
    <brk id="29" max="39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08A4-FD1F-41AC-B950-ABA7F085C86C}">
  <sheetPr>
    <pageSetUpPr fitToPage="1"/>
  </sheetPr>
  <dimension ref="A1:G38"/>
  <sheetViews>
    <sheetView view="pageBreakPreview" topLeftCell="A18" zoomScale="92" zoomScaleSheetLayoutView="92" workbookViewId="0">
      <selection activeCell="H18" sqref="H18"/>
    </sheetView>
  </sheetViews>
  <sheetFormatPr defaultColWidth="9.26953125" defaultRowHeight="14" x14ac:dyDescent="0.3"/>
  <cols>
    <col min="1" max="1" width="8.26953125" style="453" bestFit="1" customWidth="1"/>
    <col min="2" max="2" width="35.26953125" style="453" customWidth="1"/>
    <col min="3" max="4" width="14.26953125" style="461" customWidth="1"/>
    <col min="5" max="7" width="14.1796875" style="461" customWidth="1"/>
    <col min="8" max="16384" width="9.26953125" style="453"/>
  </cols>
  <sheetData>
    <row r="1" spans="1:7" ht="27.75" customHeight="1" x14ac:dyDescent="0.3">
      <c r="B1" s="926" t="s">
        <v>955</v>
      </c>
      <c r="C1" s="926"/>
      <c r="D1" s="926"/>
      <c r="E1" s="926"/>
      <c r="F1" s="926"/>
      <c r="G1" s="926"/>
    </row>
    <row r="2" spans="1:7" s="455" customFormat="1" ht="33.75" customHeight="1" x14ac:dyDescent="0.3">
      <c r="A2" s="454" t="s">
        <v>48</v>
      </c>
      <c r="B2" s="454" t="s">
        <v>1</v>
      </c>
      <c r="C2" s="454" t="s">
        <v>956</v>
      </c>
      <c r="D2" s="454" t="s">
        <v>957</v>
      </c>
      <c r="E2" s="454" t="s">
        <v>958</v>
      </c>
      <c r="F2" s="454" t="s">
        <v>959</v>
      </c>
      <c r="G2" s="454" t="s">
        <v>960</v>
      </c>
    </row>
    <row r="3" spans="1:7" s="456" customFormat="1" ht="10.5" x14ac:dyDescent="0.25">
      <c r="A3" s="537">
        <v>1</v>
      </c>
      <c r="B3" s="537">
        <v>2</v>
      </c>
      <c r="C3" s="537">
        <v>3</v>
      </c>
      <c r="D3" s="537">
        <v>4</v>
      </c>
      <c r="E3" s="537">
        <v>5</v>
      </c>
      <c r="F3" s="537">
        <v>6</v>
      </c>
      <c r="G3" s="537">
        <v>7</v>
      </c>
    </row>
    <row r="4" spans="1:7" s="459" customFormat="1" ht="27" customHeight="1" x14ac:dyDescent="0.35">
      <c r="A4" s="457"/>
      <c r="B4" s="458" t="s">
        <v>46</v>
      </c>
      <c r="C4" s="575">
        <v>1043</v>
      </c>
      <c r="D4" s="575">
        <v>1113</v>
      </c>
      <c r="E4" s="575">
        <v>1169</v>
      </c>
      <c r="F4" s="575">
        <v>1213</v>
      </c>
      <c r="G4" s="575">
        <v>1289</v>
      </c>
    </row>
    <row r="5" spans="1:7" s="459" customFormat="1" ht="27" customHeight="1" x14ac:dyDescent="0.35">
      <c r="A5" s="460">
        <v>1</v>
      </c>
      <c r="B5" s="458" t="s">
        <v>13</v>
      </c>
      <c r="C5" s="576">
        <v>41</v>
      </c>
      <c r="D5" s="576">
        <v>45</v>
      </c>
      <c r="E5" s="576">
        <v>47</v>
      </c>
      <c r="F5" s="576">
        <v>51</v>
      </c>
      <c r="G5" s="576">
        <v>52</v>
      </c>
    </row>
    <row r="6" spans="1:7" s="459" customFormat="1" ht="27" customHeight="1" x14ac:dyDescent="0.35">
      <c r="A6" s="460">
        <v>2</v>
      </c>
      <c r="B6" s="458" t="s">
        <v>14</v>
      </c>
      <c r="C6" s="576">
        <v>10</v>
      </c>
      <c r="D6" s="576">
        <v>10</v>
      </c>
      <c r="E6" s="576">
        <v>10</v>
      </c>
      <c r="F6" s="576">
        <v>10</v>
      </c>
      <c r="G6" s="576">
        <v>11</v>
      </c>
    </row>
    <row r="7" spans="1:7" s="459" customFormat="1" ht="27" customHeight="1" x14ac:dyDescent="0.35">
      <c r="A7" s="460">
        <v>3</v>
      </c>
      <c r="B7" s="458" t="s">
        <v>15</v>
      </c>
      <c r="C7" s="576">
        <v>26</v>
      </c>
      <c r="D7" s="576">
        <v>28</v>
      </c>
      <c r="E7" s="576">
        <v>30</v>
      </c>
      <c r="F7" s="576">
        <v>31</v>
      </c>
      <c r="G7" s="576">
        <v>34</v>
      </c>
    </row>
    <row r="8" spans="1:7" s="459" customFormat="1" ht="27" customHeight="1" x14ac:dyDescent="0.35">
      <c r="A8" s="460">
        <v>4</v>
      </c>
      <c r="B8" s="458" t="s">
        <v>16</v>
      </c>
      <c r="C8" s="576">
        <v>35</v>
      </c>
      <c r="D8" s="576">
        <v>37</v>
      </c>
      <c r="E8" s="576">
        <v>37</v>
      </c>
      <c r="F8" s="576">
        <v>37</v>
      </c>
      <c r="G8" s="576">
        <v>39</v>
      </c>
    </row>
    <row r="9" spans="1:7" s="459" customFormat="1" ht="27" customHeight="1" x14ac:dyDescent="0.35">
      <c r="A9" s="460">
        <v>5</v>
      </c>
      <c r="B9" s="458" t="s">
        <v>17</v>
      </c>
      <c r="C9" s="576">
        <v>3</v>
      </c>
      <c r="D9" s="576">
        <v>3</v>
      </c>
      <c r="E9" s="576">
        <v>3</v>
      </c>
      <c r="F9" s="576">
        <v>3</v>
      </c>
      <c r="G9" s="576">
        <v>3</v>
      </c>
    </row>
    <row r="10" spans="1:7" s="459" customFormat="1" ht="27" customHeight="1" x14ac:dyDescent="0.35">
      <c r="A10" s="460">
        <v>6</v>
      </c>
      <c r="B10" s="458" t="s">
        <v>18</v>
      </c>
      <c r="C10" s="576">
        <v>28</v>
      </c>
      <c r="D10" s="576">
        <v>32</v>
      </c>
      <c r="E10" s="576">
        <v>34</v>
      </c>
      <c r="F10" s="576">
        <v>34</v>
      </c>
      <c r="G10" s="576">
        <v>36</v>
      </c>
    </row>
    <row r="11" spans="1:7" s="459" customFormat="1" ht="27" customHeight="1" x14ac:dyDescent="0.35">
      <c r="A11" s="460">
        <v>7</v>
      </c>
      <c r="B11" s="458" t="s">
        <v>19</v>
      </c>
      <c r="C11" s="576">
        <v>28</v>
      </c>
      <c r="D11" s="576">
        <v>28</v>
      </c>
      <c r="E11" s="576">
        <v>30</v>
      </c>
      <c r="F11" s="576">
        <v>30</v>
      </c>
      <c r="G11" s="576">
        <v>31</v>
      </c>
    </row>
    <row r="12" spans="1:7" s="459" customFormat="1" ht="27" customHeight="1" x14ac:dyDescent="0.35">
      <c r="A12" s="460">
        <v>8</v>
      </c>
      <c r="B12" s="458" t="s">
        <v>20</v>
      </c>
      <c r="C12" s="576">
        <v>3</v>
      </c>
      <c r="D12" s="576">
        <v>3</v>
      </c>
      <c r="E12" s="576">
        <v>3</v>
      </c>
      <c r="F12" s="576">
        <v>4</v>
      </c>
      <c r="G12" s="576">
        <v>4</v>
      </c>
    </row>
    <row r="13" spans="1:7" s="459" customFormat="1" ht="27" customHeight="1" x14ac:dyDescent="0.35">
      <c r="A13" s="460">
        <v>9</v>
      </c>
      <c r="B13" s="458" t="s">
        <v>21</v>
      </c>
      <c r="C13" s="576">
        <v>76</v>
      </c>
      <c r="D13" s="576">
        <v>83</v>
      </c>
      <c r="E13" s="576">
        <v>91</v>
      </c>
      <c r="F13" s="576">
        <v>102</v>
      </c>
      <c r="G13" s="576">
        <v>107</v>
      </c>
    </row>
    <row r="14" spans="1:7" s="459" customFormat="1" ht="27" customHeight="1" x14ac:dyDescent="0.35">
      <c r="A14" s="460">
        <v>10</v>
      </c>
      <c r="B14" s="458" t="s">
        <v>22</v>
      </c>
      <c r="C14" s="576">
        <v>53</v>
      </c>
      <c r="D14" s="576">
        <v>56</v>
      </c>
      <c r="E14" s="576">
        <v>56</v>
      </c>
      <c r="F14" s="576">
        <v>57</v>
      </c>
      <c r="G14" s="576">
        <v>58</v>
      </c>
    </row>
    <row r="15" spans="1:7" s="459" customFormat="1" ht="27" customHeight="1" x14ac:dyDescent="0.35">
      <c r="A15" s="460">
        <v>11</v>
      </c>
      <c r="B15" s="458" t="s">
        <v>23</v>
      </c>
      <c r="C15" s="576">
        <v>27</v>
      </c>
      <c r="D15" s="576">
        <v>29</v>
      </c>
      <c r="E15" s="576">
        <v>30</v>
      </c>
      <c r="F15" s="576">
        <v>29</v>
      </c>
      <c r="G15" s="576">
        <v>29</v>
      </c>
    </row>
    <row r="16" spans="1:7" s="459" customFormat="1" ht="27" customHeight="1" x14ac:dyDescent="0.35">
      <c r="A16" s="460">
        <v>12</v>
      </c>
      <c r="B16" s="458" t="s">
        <v>24</v>
      </c>
      <c r="C16" s="576">
        <v>15</v>
      </c>
      <c r="D16" s="576">
        <v>15</v>
      </c>
      <c r="E16" s="576">
        <v>16</v>
      </c>
      <c r="F16" s="576">
        <v>16</v>
      </c>
      <c r="G16" s="576">
        <v>16</v>
      </c>
    </row>
    <row r="17" spans="1:7" s="459" customFormat="1" ht="27" customHeight="1" x14ac:dyDescent="0.35">
      <c r="A17" s="460">
        <v>13</v>
      </c>
      <c r="B17" s="458" t="s">
        <v>25</v>
      </c>
      <c r="C17" s="576">
        <v>32</v>
      </c>
      <c r="D17" s="576">
        <v>32</v>
      </c>
      <c r="E17" s="576">
        <v>33</v>
      </c>
      <c r="F17" s="576">
        <v>34</v>
      </c>
      <c r="G17" s="576">
        <v>38</v>
      </c>
    </row>
    <row r="18" spans="1:7" s="459" customFormat="1" ht="27" customHeight="1" x14ac:dyDescent="0.35">
      <c r="A18" s="460">
        <v>14</v>
      </c>
      <c r="B18" s="458" t="s">
        <v>26</v>
      </c>
      <c r="C18" s="576">
        <v>69</v>
      </c>
      <c r="D18" s="576">
        <v>72</v>
      </c>
      <c r="E18" s="576">
        <v>75</v>
      </c>
      <c r="F18" s="576">
        <v>79</v>
      </c>
      <c r="G18" s="576">
        <v>91</v>
      </c>
    </row>
    <row r="19" spans="1:7" s="459" customFormat="1" ht="27" customHeight="1" x14ac:dyDescent="0.35">
      <c r="A19" s="460">
        <v>15</v>
      </c>
      <c r="B19" s="458" t="s">
        <v>27</v>
      </c>
      <c r="C19" s="576">
        <v>23</v>
      </c>
      <c r="D19" s="576">
        <v>23</v>
      </c>
      <c r="E19" s="576">
        <v>25</v>
      </c>
      <c r="F19" s="576">
        <v>25</v>
      </c>
      <c r="G19" s="576">
        <v>25</v>
      </c>
    </row>
    <row r="20" spans="1:7" s="459" customFormat="1" ht="27" customHeight="1" x14ac:dyDescent="0.35">
      <c r="A20" s="460">
        <v>16</v>
      </c>
      <c r="B20" s="458" t="s">
        <v>28</v>
      </c>
      <c r="C20" s="576">
        <v>1</v>
      </c>
      <c r="D20" s="576">
        <v>2</v>
      </c>
      <c r="E20" s="576">
        <v>2</v>
      </c>
      <c r="F20" s="576">
        <v>2</v>
      </c>
      <c r="G20" s="576">
        <v>3</v>
      </c>
    </row>
    <row r="21" spans="1:7" s="459" customFormat="1" ht="27" customHeight="1" x14ac:dyDescent="0.35">
      <c r="A21" s="460">
        <v>17</v>
      </c>
      <c r="B21" s="458" t="s">
        <v>29</v>
      </c>
      <c r="C21" s="576">
        <v>66</v>
      </c>
      <c r="D21" s="576">
        <v>74</v>
      </c>
      <c r="E21" s="576">
        <v>77</v>
      </c>
      <c r="F21" s="576">
        <v>78</v>
      </c>
      <c r="G21" s="576">
        <v>89</v>
      </c>
    </row>
    <row r="22" spans="1:7" s="459" customFormat="1" ht="27" customHeight="1" x14ac:dyDescent="0.35">
      <c r="A22" s="460">
        <v>18</v>
      </c>
      <c r="B22" s="458" t="s">
        <v>30</v>
      </c>
      <c r="C22" s="576">
        <v>65</v>
      </c>
      <c r="D22" s="576">
        <v>71</v>
      </c>
      <c r="E22" s="576">
        <v>74</v>
      </c>
      <c r="F22" s="576">
        <v>78</v>
      </c>
      <c r="G22" s="576">
        <v>87</v>
      </c>
    </row>
    <row r="23" spans="1:7" s="459" customFormat="1" ht="27" customHeight="1" x14ac:dyDescent="0.35">
      <c r="A23" s="460">
        <v>19</v>
      </c>
      <c r="B23" s="458" t="s">
        <v>31</v>
      </c>
      <c r="C23" s="576">
        <v>8</v>
      </c>
      <c r="D23" s="576">
        <v>9</v>
      </c>
      <c r="E23" s="576">
        <v>10</v>
      </c>
      <c r="F23" s="576">
        <v>12</v>
      </c>
      <c r="G23" s="576">
        <v>12</v>
      </c>
    </row>
    <row r="24" spans="1:7" s="459" customFormat="1" ht="27" customHeight="1" x14ac:dyDescent="0.35">
      <c r="A24" s="460">
        <v>20</v>
      </c>
      <c r="B24" s="458" t="s">
        <v>32</v>
      </c>
      <c r="C24" s="576">
        <v>10</v>
      </c>
      <c r="D24" s="576">
        <v>11</v>
      </c>
      <c r="E24" s="576">
        <v>11</v>
      </c>
      <c r="F24" s="576">
        <v>11</v>
      </c>
      <c r="G24" s="576">
        <v>12</v>
      </c>
    </row>
    <row r="25" spans="1:7" s="459" customFormat="1" ht="27" customHeight="1" x14ac:dyDescent="0.35">
      <c r="A25" s="460">
        <v>21</v>
      </c>
      <c r="B25" s="458" t="s">
        <v>33</v>
      </c>
      <c r="C25" s="576">
        <v>3</v>
      </c>
      <c r="D25" s="576">
        <v>3</v>
      </c>
      <c r="E25" s="576">
        <v>3</v>
      </c>
      <c r="F25" s="576">
        <v>3</v>
      </c>
      <c r="G25" s="576">
        <v>3</v>
      </c>
    </row>
    <row r="26" spans="1:7" s="459" customFormat="1" ht="27" customHeight="1" x14ac:dyDescent="0.35">
      <c r="A26" s="460">
        <v>22</v>
      </c>
      <c r="B26" s="458" t="s">
        <v>34</v>
      </c>
      <c r="C26" s="576">
        <v>5</v>
      </c>
      <c r="D26" s="576">
        <v>5</v>
      </c>
      <c r="E26" s="576">
        <v>6</v>
      </c>
      <c r="F26" s="576">
        <v>6</v>
      </c>
      <c r="G26" s="576">
        <v>6</v>
      </c>
    </row>
    <row r="27" spans="1:7" s="459" customFormat="1" ht="27" customHeight="1" x14ac:dyDescent="0.35">
      <c r="A27" s="460">
        <v>23</v>
      </c>
      <c r="B27" s="458" t="s">
        <v>35</v>
      </c>
      <c r="C27" s="576">
        <v>32</v>
      </c>
      <c r="D27" s="576">
        <v>36</v>
      </c>
      <c r="E27" s="576">
        <v>37</v>
      </c>
      <c r="F27" s="576">
        <v>39</v>
      </c>
      <c r="G27" s="576">
        <v>44</v>
      </c>
    </row>
    <row r="28" spans="1:7" s="459" customFormat="1" ht="27" customHeight="1" x14ac:dyDescent="0.35">
      <c r="A28" s="460">
        <v>24</v>
      </c>
      <c r="B28" s="458" t="s">
        <v>36</v>
      </c>
      <c r="C28" s="576">
        <v>4</v>
      </c>
      <c r="D28" s="576">
        <v>4</v>
      </c>
      <c r="E28" s="576">
        <v>4</v>
      </c>
      <c r="F28" s="576">
        <v>5</v>
      </c>
      <c r="G28" s="576">
        <v>5</v>
      </c>
    </row>
    <row r="29" spans="1:7" s="459" customFormat="1" ht="27" customHeight="1" x14ac:dyDescent="0.35">
      <c r="A29" s="460">
        <v>25</v>
      </c>
      <c r="B29" s="458" t="s">
        <v>37</v>
      </c>
      <c r="C29" s="576">
        <v>32</v>
      </c>
      <c r="D29" s="576">
        <v>34</v>
      </c>
      <c r="E29" s="576">
        <v>40</v>
      </c>
      <c r="F29" s="576">
        <v>40</v>
      </c>
      <c r="G29" s="576">
        <v>40</v>
      </c>
    </row>
    <row r="30" spans="1:7" s="459" customFormat="1" ht="27" customHeight="1" x14ac:dyDescent="0.35">
      <c r="A30" s="460">
        <v>26</v>
      </c>
      <c r="B30" s="458" t="s">
        <v>38</v>
      </c>
      <c r="C30" s="576">
        <v>89</v>
      </c>
      <c r="D30" s="576">
        <v>92</v>
      </c>
      <c r="E30" s="576">
        <v>91</v>
      </c>
      <c r="F30" s="576">
        <v>91</v>
      </c>
      <c r="G30" s="576">
        <v>93</v>
      </c>
    </row>
    <row r="31" spans="1:7" s="459" customFormat="1" ht="27" customHeight="1" x14ac:dyDescent="0.35">
      <c r="A31" s="460">
        <v>27</v>
      </c>
      <c r="B31" s="458" t="s">
        <v>39</v>
      </c>
      <c r="C31" s="576">
        <v>8</v>
      </c>
      <c r="D31" s="576">
        <v>8</v>
      </c>
      <c r="E31" s="576">
        <v>9</v>
      </c>
      <c r="F31" s="576">
        <v>11</v>
      </c>
      <c r="G31" s="576">
        <v>11</v>
      </c>
    </row>
    <row r="32" spans="1:7" s="459" customFormat="1" ht="27" customHeight="1" x14ac:dyDescent="0.35">
      <c r="A32" s="460">
        <v>28</v>
      </c>
      <c r="B32" s="458" t="s">
        <v>40</v>
      </c>
      <c r="C32" s="576">
        <v>59</v>
      </c>
      <c r="D32" s="576">
        <v>59</v>
      </c>
      <c r="E32" s="576">
        <v>62</v>
      </c>
      <c r="F32" s="576">
        <v>65</v>
      </c>
      <c r="G32" s="576">
        <v>65</v>
      </c>
    </row>
    <row r="33" spans="1:7" s="459" customFormat="1" ht="27" customHeight="1" x14ac:dyDescent="0.35">
      <c r="A33" s="460">
        <v>29</v>
      </c>
      <c r="B33" s="458" t="s">
        <v>41</v>
      </c>
      <c r="C33" s="576">
        <v>24</v>
      </c>
      <c r="D33" s="576">
        <v>31</v>
      </c>
      <c r="E33" s="576">
        <v>31</v>
      </c>
      <c r="F33" s="576">
        <v>32</v>
      </c>
      <c r="G33" s="576">
        <v>33</v>
      </c>
    </row>
    <row r="34" spans="1:7" s="459" customFormat="1" ht="27" customHeight="1" x14ac:dyDescent="0.35">
      <c r="A34" s="460">
        <v>30</v>
      </c>
      <c r="B34" s="458" t="s">
        <v>42</v>
      </c>
      <c r="C34" s="576">
        <v>4</v>
      </c>
      <c r="D34" s="576">
        <v>5</v>
      </c>
      <c r="E34" s="576">
        <v>5</v>
      </c>
      <c r="F34" s="576">
        <v>5</v>
      </c>
      <c r="G34" s="576">
        <v>9</v>
      </c>
    </row>
    <row r="35" spans="1:7" s="459" customFormat="1" ht="27" customHeight="1" x14ac:dyDescent="0.35">
      <c r="A35" s="460">
        <v>31</v>
      </c>
      <c r="B35" s="458" t="s">
        <v>43</v>
      </c>
      <c r="C35" s="576">
        <v>81</v>
      </c>
      <c r="D35" s="576">
        <v>84</v>
      </c>
      <c r="E35" s="576">
        <v>91</v>
      </c>
      <c r="F35" s="576">
        <v>94</v>
      </c>
      <c r="G35" s="576">
        <v>103</v>
      </c>
    </row>
    <row r="36" spans="1:7" s="459" customFormat="1" ht="27" customHeight="1" x14ac:dyDescent="0.35">
      <c r="A36" s="460">
        <v>32</v>
      </c>
      <c r="B36" s="458" t="s">
        <v>44</v>
      </c>
      <c r="C36" s="576">
        <v>36</v>
      </c>
      <c r="D36" s="576">
        <v>37</v>
      </c>
      <c r="E36" s="576">
        <v>38</v>
      </c>
      <c r="F36" s="576">
        <v>40</v>
      </c>
      <c r="G36" s="576">
        <v>41</v>
      </c>
    </row>
    <row r="37" spans="1:7" s="459" customFormat="1" ht="27" customHeight="1" x14ac:dyDescent="0.35">
      <c r="A37" s="460">
        <v>33</v>
      </c>
      <c r="B37" s="458" t="s">
        <v>45</v>
      </c>
      <c r="C37" s="576">
        <v>47</v>
      </c>
      <c r="D37" s="576">
        <v>52</v>
      </c>
      <c r="E37" s="576">
        <v>58</v>
      </c>
      <c r="F37" s="576">
        <v>59</v>
      </c>
      <c r="G37" s="576">
        <v>59</v>
      </c>
    </row>
    <row r="38" spans="1:7" ht="14.25" customHeight="1" x14ac:dyDescent="0.3"/>
  </sheetData>
  <mergeCells count="1">
    <mergeCell ref="B1:G1"/>
  </mergeCells>
  <pageMargins left="0.59055118110236227" right="0.35433070866141736" top="0.39370078740157483" bottom="0.39370078740157483" header="0.31496062992125984" footer="0.19685039370078741"/>
  <pageSetup paperSize="9" scale="79" firstPageNumber="2" orientation="portrait" r:id="rId1"/>
  <headerFooter>
    <oddFooter>&amp;L&amp;"Arial,Italic"&amp;9AISHE 2023-24&amp;RT-40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D71D-235D-4861-BD16-FE33B0DD6AA5}">
  <dimension ref="A1:P207"/>
  <sheetViews>
    <sheetView showZeros="0" view="pageBreakPreview" zoomScale="115" zoomScaleSheetLayoutView="115" workbookViewId="0">
      <pane ySplit="2" topLeftCell="A3" activePane="bottomLeft" state="frozen"/>
      <selection activeCell="H18" sqref="H18"/>
      <selection pane="bottomLeft" activeCell="H18" sqref="H18"/>
    </sheetView>
  </sheetViews>
  <sheetFormatPr defaultColWidth="9.1796875" defaultRowHeight="14" x14ac:dyDescent="0.3"/>
  <cols>
    <col min="1" max="1" width="7.453125" style="482" bestFit="1" customWidth="1"/>
    <col min="2" max="2" width="21.26953125" style="483" customWidth="1"/>
    <col min="3" max="9" width="10.81640625" style="483" customWidth="1"/>
    <col min="10" max="16384" width="9.1796875" style="474"/>
  </cols>
  <sheetData>
    <row r="1" spans="1:16" ht="28.5" customHeight="1" x14ac:dyDescent="0.3">
      <c r="A1" s="930" t="s">
        <v>961</v>
      </c>
      <c r="B1" s="930"/>
      <c r="C1" s="930"/>
      <c r="D1" s="930"/>
      <c r="E1" s="930"/>
      <c r="F1" s="930"/>
      <c r="G1" s="930"/>
      <c r="H1" s="930"/>
      <c r="I1" s="930"/>
    </row>
    <row r="2" spans="1:16" s="477" customFormat="1" ht="106.5" customHeight="1" x14ac:dyDescent="0.3">
      <c r="A2" s="475" t="s">
        <v>48</v>
      </c>
      <c r="B2" s="475" t="s">
        <v>1</v>
      </c>
      <c r="C2" s="476" t="s">
        <v>2</v>
      </c>
      <c r="D2" s="476" t="s">
        <v>9</v>
      </c>
      <c r="E2" s="476" t="s">
        <v>10</v>
      </c>
      <c r="F2" s="476" t="s">
        <v>11</v>
      </c>
      <c r="G2" s="476" t="s">
        <v>4</v>
      </c>
      <c r="H2" s="476" t="s">
        <v>8</v>
      </c>
      <c r="I2" s="476" t="s">
        <v>5</v>
      </c>
    </row>
    <row r="3" spans="1:16" s="478" customFormat="1" ht="13.5" customHeight="1" x14ac:dyDescent="0.25">
      <c r="A3" s="486">
        <v>1</v>
      </c>
      <c r="B3" s="486">
        <v>2</v>
      </c>
      <c r="C3" s="486">
        <v>3</v>
      </c>
      <c r="D3" s="486">
        <v>4</v>
      </c>
      <c r="E3" s="486">
        <v>5</v>
      </c>
      <c r="F3" s="486">
        <v>6</v>
      </c>
      <c r="G3" s="486">
        <v>7</v>
      </c>
      <c r="H3" s="486">
        <v>8</v>
      </c>
      <c r="I3" s="486">
        <v>9</v>
      </c>
    </row>
    <row r="4" spans="1:16" ht="17.25" customHeight="1" x14ac:dyDescent="0.3">
      <c r="A4" s="931"/>
      <c r="B4" s="927" t="s">
        <v>46</v>
      </c>
      <c r="C4" s="927"/>
      <c r="D4" s="927"/>
      <c r="E4" s="927"/>
      <c r="F4" s="927"/>
      <c r="G4" s="927"/>
      <c r="H4" s="927"/>
      <c r="I4" s="927"/>
    </row>
    <row r="5" spans="1:16" ht="17.25" customHeight="1" x14ac:dyDescent="0.3">
      <c r="A5" s="931"/>
      <c r="B5" s="479" t="s">
        <v>960</v>
      </c>
      <c r="C5" s="479">
        <v>55</v>
      </c>
      <c r="D5" s="479">
        <v>33</v>
      </c>
      <c r="E5" s="479">
        <v>10</v>
      </c>
      <c r="F5" s="479">
        <v>82</v>
      </c>
      <c r="G5" s="479">
        <v>159</v>
      </c>
      <c r="H5" s="479">
        <v>464</v>
      </c>
      <c r="I5" s="479">
        <v>462</v>
      </c>
    </row>
    <row r="6" spans="1:16" ht="17.25" customHeight="1" x14ac:dyDescent="0.3">
      <c r="A6" s="931"/>
      <c r="B6" s="480" t="s">
        <v>959</v>
      </c>
      <c r="C6" s="480">
        <v>54</v>
      </c>
      <c r="D6" s="480">
        <v>32</v>
      </c>
      <c r="E6" s="480">
        <v>10</v>
      </c>
      <c r="F6" s="480">
        <v>81</v>
      </c>
      <c r="G6" s="480">
        <v>157</v>
      </c>
      <c r="H6" s="480">
        <v>415</v>
      </c>
      <c r="I6" s="480">
        <v>440</v>
      </c>
    </row>
    <row r="7" spans="1:16" ht="17.25" customHeight="1" x14ac:dyDescent="0.3">
      <c r="A7" s="931"/>
      <c r="B7" s="480" t="s">
        <v>958</v>
      </c>
      <c r="C7" s="480">
        <v>53</v>
      </c>
      <c r="D7" s="480">
        <v>33</v>
      </c>
      <c r="E7" s="480">
        <v>10</v>
      </c>
      <c r="F7" s="480">
        <v>81</v>
      </c>
      <c r="G7" s="480">
        <v>153</v>
      </c>
      <c r="H7" s="480">
        <v>391</v>
      </c>
      <c r="I7" s="480">
        <v>423</v>
      </c>
      <c r="P7" s="474" t="s">
        <v>962</v>
      </c>
    </row>
    <row r="8" spans="1:16" ht="17.25" customHeight="1" x14ac:dyDescent="0.3">
      <c r="A8" s="931"/>
      <c r="B8" s="480" t="s">
        <v>957</v>
      </c>
      <c r="C8" s="480">
        <v>51</v>
      </c>
      <c r="D8" s="480">
        <v>34</v>
      </c>
      <c r="E8" s="480">
        <v>10</v>
      </c>
      <c r="F8" s="480">
        <v>80</v>
      </c>
      <c r="G8" s="480">
        <v>149</v>
      </c>
      <c r="H8" s="480">
        <v>365</v>
      </c>
      <c r="I8" s="480">
        <v>403</v>
      </c>
    </row>
    <row r="9" spans="1:16" ht="17.25" customHeight="1" x14ac:dyDescent="0.3">
      <c r="A9" s="931"/>
      <c r="B9" s="480" t="s">
        <v>956</v>
      </c>
      <c r="C9" s="480">
        <v>48</v>
      </c>
      <c r="D9" s="480">
        <v>36</v>
      </c>
      <c r="E9" s="480">
        <v>10</v>
      </c>
      <c r="F9" s="480">
        <v>80</v>
      </c>
      <c r="G9" s="480">
        <v>135</v>
      </c>
      <c r="H9" s="480">
        <v>327</v>
      </c>
      <c r="I9" s="480">
        <v>386</v>
      </c>
    </row>
    <row r="10" spans="1:16" ht="17.25" customHeight="1" x14ac:dyDescent="0.3">
      <c r="A10" s="929">
        <v>1</v>
      </c>
      <c r="B10" s="927" t="s">
        <v>13</v>
      </c>
      <c r="C10" s="927"/>
      <c r="D10" s="927"/>
      <c r="E10" s="927"/>
      <c r="F10" s="927"/>
      <c r="G10" s="927"/>
      <c r="H10" s="927"/>
      <c r="I10" s="927"/>
    </row>
    <row r="11" spans="1:16" ht="17.25" customHeight="1" x14ac:dyDescent="0.3">
      <c r="A11" s="929"/>
      <c r="B11" s="479" t="s">
        <v>960</v>
      </c>
      <c r="C11" s="306">
        <v>3</v>
      </c>
      <c r="D11" s="306"/>
      <c r="E11" s="306"/>
      <c r="F11" s="306">
        <v>4</v>
      </c>
      <c r="G11" s="306">
        <v>10</v>
      </c>
      <c r="H11" s="306">
        <v>7</v>
      </c>
      <c r="I11" s="306">
        <v>27</v>
      </c>
    </row>
    <row r="12" spans="1:16" ht="17.25" customHeight="1" x14ac:dyDescent="0.3">
      <c r="A12" s="929"/>
      <c r="B12" s="480" t="s">
        <v>959</v>
      </c>
      <c r="C12" s="462">
        <v>3</v>
      </c>
      <c r="D12" s="480"/>
      <c r="E12" s="480"/>
      <c r="F12" s="480">
        <v>4</v>
      </c>
      <c r="G12" s="480">
        <v>10</v>
      </c>
      <c r="H12" s="480">
        <v>7</v>
      </c>
      <c r="I12" s="480">
        <v>26</v>
      </c>
    </row>
    <row r="13" spans="1:16" ht="17.25" customHeight="1" x14ac:dyDescent="0.3">
      <c r="A13" s="929"/>
      <c r="B13" s="480" t="s">
        <v>958</v>
      </c>
      <c r="C13" s="480">
        <v>3</v>
      </c>
      <c r="D13" s="480"/>
      <c r="E13" s="480"/>
      <c r="F13" s="480">
        <v>4</v>
      </c>
      <c r="G13" s="480">
        <v>10</v>
      </c>
      <c r="H13" s="480">
        <v>5</v>
      </c>
      <c r="I13" s="480">
        <v>24</v>
      </c>
    </row>
    <row r="14" spans="1:16" ht="17.25" customHeight="1" x14ac:dyDescent="0.3">
      <c r="A14" s="929"/>
      <c r="B14" s="480" t="s">
        <v>957</v>
      </c>
      <c r="C14" s="480">
        <v>2</v>
      </c>
      <c r="D14" s="480">
        <v>0</v>
      </c>
      <c r="E14" s="480">
        <v>0</v>
      </c>
      <c r="F14" s="480">
        <v>4</v>
      </c>
      <c r="G14" s="480">
        <v>10</v>
      </c>
      <c r="H14" s="480">
        <v>5</v>
      </c>
      <c r="I14" s="480">
        <v>23</v>
      </c>
    </row>
    <row r="15" spans="1:16" ht="17.25" customHeight="1" x14ac:dyDescent="0.3">
      <c r="A15" s="929"/>
      <c r="B15" s="480" t="s">
        <v>956</v>
      </c>
      <c r="C15" s="480">
        <v>1</v>
      </c>
      <c r="D15" s="480">
        <v>1</v>
      </c>
      <c r="E15" s="480"/>
      <c r="F15" s="480">
        <v>4</v>
      </c>
      <c r="G15" s="480">
        <v>9</v>
      </c>
      <c r="H15" s="480">
        <v>22</v>
      </c>
      <c r="I15" s="480">
        <v>3</v>
      </c>
    </row>
    <row r="16" spans="1:16" ht="17.25" customHeight="1" x14ac:dyDescent="0.3">
      <c r="A16" s="929">
        <v>2</v>
      </c>
      <c r="B16" s="927" t="s">
        <v>14</v>
      </c>
      <c r="C16" s="927"/>
      <c r="D16" s="927"/>
      <c r="E16" s="927"/>
      <c r="F16" s="927"/>
      <c r="G16" s="927"/>
      <c r="H16" s="927"/>
      <c r="I16" s="927"/>
    </row>
    <row r="17" spans="1:9" ht="17.25" customHeight="1" x14ac:dyDescent="0.3">
      <c r="A17" s="929"/>
      <c r="B17" s="479" t="s">
        <v>960</v>
      </c>
      <c r="C17" s="306">
        <v>1</v>
      </c>
      <c r="D17" s="306">
        <v>1</v>
      </c>
      <c r="E17" s="306"/>
      <c r="F17" s="306"/>
      <c r="G17" s="306">
        <v>1</v>
      </c>
      <c r="H17" s="306">
        <v>7</v>
      </c>
      <c r="I17" s="306">
        <v>1</v>
      </c>
    </row>
    <row r="18" spans="1:9" ht="17.25" customHeight="1" x14ac:dyDescent="0.3">
      <c r="A18" s="929"/>
      <c r="B18" s="480" t="s">
        <v>959</v>
      </c>
      <c r="C18" s="481">
        <v>1</v>
      </c>
      <c r="D18" s="481">
        <v>1</v>
      </c>
      <c r="E18" s="481"/>
      <c r="F18" s="481"/>
      <c r="G18" s="481">
        <v>1</v>
      </c>
      <c r="H18" s="481">
        <v>6</v>
      </c>
      <c r="I18" s="481"/>
    </row>
    <row r="19" spans="1:9" ht="17.25" customHeight="1" x14ac:dyDescent="0.3">
      <c r="A19" s="929"/>
      <c r="B19" s="480" t="s">
        <v>958</v>
      </c>
      <c r="C19" s="480">
        <v>1</v>
      </c>
      <c r="D19" s="480">
        <v>1</v>
      </c>
      <c r="E19" s="480"/>
      <c r="F19" s="480"/>
      <c r="G19" s="480">
        <v>1</v>
      </c>
      <c r="H19" s="480">
        <v>6</v>
      </c>
      <c r="I19" s="480"/>
    </row>
    <row r="20" spans="1:9" ht="17.25" customHeight="1" x14ac:dyDescent="0.3">
      <c r="A20" s="929"/>
      <c r="B20" s="480" t="s">
        <v>957</v>
      </c>
      <c r="C20" s="480">
        <v>1</v>
      </c>
      <c r="D20" s="480">
        <v>1</v>
      </c>
      <c r="E20" s="480">
        <v>0</v>
      </c>
      <c r="F20" s="480">
        <v>0</v>
      </c>
      <c r="G20" s="480">
        <v>1</v>
      </c>
      <c r="H20" s="480">
        <v>6</v>
      </c>
      <c r="I20" s="480">
        <v>0</v>
      </c>
    </row>
    <row r="21" spans="1:9" ht="17.25" customHeight="1" x14ac:dyDescent="0.3">
      <c r="A21" s="929"/>
      <c r="B21" s="480" t="s">
        <v>956</v>
      </c>
      <c r="C21" s="480">
        <v>1</v>
      </c>
      <c r="D21" s="480">
        <v>1</v>
      </c>
      <c r="E21" s="480"/>
      <c r="F21" s="480"/>
      <c r="G21" s="480">
        <v>1</v>
      </c>
      <c r="H21" s="480">
        <v>6</v>
      </c>
      <c r="I21" s="480"/>
    </row>
    <row r="22" spans="1:9" ht="17.25" customHeight="1" x14ac:dyDescent="0.3">
      <c r="A22" s="929">
        <v>3</v>
      </c>
      <c r="B22" s="927" t="s">
        <v>15</v>
      </c>
      <c r="C22" s="927"/>
      <c r="D22" s="927"/>
      <c r="E22" s="927"/>
      <c r="F22" s="927"/>
      <c r="G22" s="927"/>
      <c r="H22" s="927"/>
      <c r="I22" s="927"/>
    </row>
    <row r="23" spans="1:9" ht="17.25" customHeight="1" x14ac:dyDescent="0.3">
      <c r="A23" s="929"/>
      <c r="B23" s="479" t="s">
        <v>960</v>
      </c>
      <c r="C23" s="306">
        <v>2</v>
      </c>
      <c r="D23" s="306">
        <v>1</v>
      </c>
      <c r="E23" s="306"/>
      <c r="F23" s="306"/>
      <c r="G23" s="306">
        <v>6</v>
      </c>
      <c r="H23" s="306">
        <v>8</v>
      </c>
      <c r="I23" s="306">
        <v>16</v>
      </c>
    </row>
    <row r="24" spans="1:9" ht="17.25" customHeight="1" x14ac:dyDescent="0.3">
      <c r="A24" s="929"/>
      <c r="B24" s="480" t="s">
        <v>959</v>
      </c>
      <c r="C24" s="480">
        <v>2</v>
      </c>
      <c r="D24" s="480">
        <v>1</v>
      </c>
      <c r="E24" s="480"/>
      <c r="F24" s="480"/>
      <c r="G24" s="480">
        <v>6</v>
      </c>
      <c r="H24" s="480">
        <v>6</v>
      </c>
      <c r="I24" s="480">
        <v>15</v>
      </c>
    </row>
    <row r="25" spans="1:9" ht="17.25" customHeight="1" x14ac:dyDescent="0.3">
      <c r="A25" s="929"/>
      <c r="B25" s="480" t="s">
        <v>958</v>
      </c>
      <c r="C25" s="480">
        <v>2</v>
      </c>
      <c r="D25" s="480">
        <v>1</v>
      </c>
      <c r="E25" s="480"/>
      <c r="F25" s="480"/>
      <c r="G25" s="480">
        <v>5</v>
      </c>
      <c r="H25" s="480">
        <v>6</v>
      </c>
      <c r="I25" s="480">
        <v>15</v>
      </c>
    </row>
    <row r="26" spans="1:9" ht="17.25" customHeight="1" x14ac:dyDescent="0.3">
      <c r="A26" s="929"/>
      <c r="B26" s="480" t="s">
        <v>957</v>
      </c>
      <c r="C26" s="480">
        <v>2</v>
      </c>
      <c r="D26" s="480">
        <v>1</v>
      </c>
      <c r="E26" s="480">
        <v>0</v>
      </c>
      <c r="F26" s="480">
        <v>0</v>
      </c>
      <c r="G26" s="480">
        <v>5</v>
      </c>
      <c r="H26" s="480">
        <v>6</v>
      </c>
      <c r="I26" s="480">
        <v>13</v>
      </c>
    </row>
    <row r="27" spans="1:9" ht="17.25" customHeight="1" x14ac:dyDescent="0.3">
      <c r="A27" s="929"/>
      <c r="B27" s="480" t="s">
        <v>956</v>
      </c>
      <c r="C27" s="480">
        <v>2</v>
      </c>
      <c r="D27" s="480">
        <v>1</v>
      </c>
      <c r="E27" s="480"/>
      <c r="F27" s="480"/>
      <c r="G27" s="480">
        <v>4</v>
      </c>
      <c r="H27" s="480">
        <v>6</v>
      </c>
      <c r="I27" s="480">
        <v>12</v>
      </c>
    </row>
    <row r="28" spans="1:9" ht="17.25" customHeight="1" x14ac:dyDescent="0.3">
      <c r="A28" s="929">
        <v>4</v>
      </c>
      <c r="B28" s="927" t="s">
        <v>16</v>
      </c>
      <c r="C28" s="927"/>
      <c r="D28" s="927"/>
      <c r="E28" s="927"/>
      <c r="F28" s="927"/>
      <c r="G28" s="927"/>
      <c r="H28" s="927"/>
      <c r="I28" s="927"/>
    </row>
    <row r="29" spans="1:9" ht="17.25" customHeight="1" x14ac:dyDescent="0.3">
      <c r="A29" s="929"/>
      <c r="B29" s="479" t="s">
        <v>960</v>
      </c>
      <c r="C29" s="306">
        <v>4</v>
      </c>
      <c r="D29" s="306">
        <v>1</v>
      </c>
      <c r="E29" s="306"/>
      <c r="F29" s="306"/>
      <c r="G29" s="306">
        <v>6</v>
      </c>
      <c r="H29" s="306">
        <v>7</v>
      </c>
      <c r="I29" s="306">
        <v>19</v>
      </c>
    </row>
    <row r="30" spans="1:9" ht="17.25" customHeight="1" x14ac:dyDescent="0.3">
      <c r="A30" s="929"/>
      <c r="B30" s="480" t="s">
        <v>959</v>
      </c>
      <c r="C30" s="480">
        <v>4</v>
      </c>
      <c r="D30" s="480">
        <v>1</v>
      </c>
      <c r="E30" s="480"/>
      <c r="F30" s="480"/>
      <c r="G30" s="480">
        <v>6</v>
      </c>
      <c r="H30" s="480">
        <v>7</v>
      </c>
      <c r="I30" s="480">
        <v>17</v>
      </c>
    </row>
    <row r="31" spans="1:9" ht="17.25" customHeight="1" x14ac:dyDescent="0.3">
      <c r="A31" s="929"/>
      <c r="B31" s="480" t="s">
        <v>958</v>
      </c>
      <c r="C31" s="480">
        <v>4</v>
      </c>
      <c r="D31" s="480">
        <v>1</v>
      </c>
      <c r="E31" s="480"/>
      <c r="F31" s="480"/>
      <c r="G31" s="480">
        <v>6</v>
      </c>
      <c r="H31" s="480">
        <v>7</v>
      </c>
      <c r="I31" s="480">
        <v>17</v>
      </c>
    </row>
    <row r="32" spans="1:9" ht="17.25" customHeight="1" x14ac:dyDescent="0.3">
      <c r="A32" s="929"/>
      <c r="B32" s="480" t="s">
        <v>957</v>
      </c>
      <c r="C32" s="480">
        <v>4</v>
      </c>
      <c r="D32" s="480">
        <v>1</v>
      </c>
      <c r="E32" s="480">
        <v>0</v>
      </c>
      <c r="F32" s="480">
        <v>0</v>
      </c>
      <c r="G32" s="480">
        <v>6</v>
      </c>
      <c r="H32" s="480">
        <v>7</v>
      </c>
      <c r="I32" s="480">
        <v>17</v>
      </c>
    </row>
    <row r="33" spans="1:9" ht="17.25" customHeight="1" x14ac:dyDescent="0.3">
      <c r="A33" s="929"/>
      <c r="B33" s="480" t="s">
        <v>956</v>
      </c>
      <c r="C33" s="480">
        <v>4</v>
      </c>
      <c r="D33" s="480">
        <v>1</v>
      </c>
      <c r="E33" s="480"/>
      <c r="F33" s="480"/>
      <c r="G33" s="480">
        <v>5</v>
      </c>
      <c r="H33" s="480">
        <v>6</v>
      </c>
      <c r="I33" s="480">
        <v>17</v>
      </c>
    </row>
    <row r="34" spans="1:9" ht="17.25" customHeight="1" x14ac:dyDescent="0.3">
      <c r="A34" s="929">
        <v>5</v>
      </c>
      <c r="B34" s="927" t="s">
        <v>17</v>
      </c>
      <c r="C34" s="927"/>
      <c r="D34" s="927"/>
      <c r="E34" s="927"/>
      <c r="F34" s="927"/>
      <c r="G34" s="927"/>
      <c r="H34" s="927"/>
      <c r="I34" s="927"/>
    </row>
    <row r="35" spans="1:9" ht="17.25" customHeight="1" x14ac:dyDescent="0.3">
      <c r="A35" s="929"/>
      <c r="B35" s="479" t="s">
        <v>960</v>
      </c>
      <c r="C35" s="306"/>
      <c r="D35" s="306">
        <v>1</v>
      </c>
      <c r="E35" s="306"/>
      <c r="F35" s="306"/>
      <c r="G35" s="306">
        <v>1</v>
      </c>
      <c r="H35" s="306"/>
      <c r="I35" s="306">
        <v>1</v>
      </c>
    </row>
    <row r="36" spans="1:9" ht="17.25" customHeight="1" x14ac:dyDescent="0.3">
      <c r="A36" s="929"/>
      <c r="B36" s="480" t="s">
        <v>959</v>
      </c>
      <c r="C36" s="480"/>
      <c r="D36" s="480">
        <v>1</v>
      </c>
      <c r="E36" s="480"/>
      <c r="F36" s="480"/>
      <c r="G36" s="480">
        <v>1</v>
      </c>
      <c r="H36" s="480"/>
      <c r="I36" s="480">
        <v>1</v>
      </c>
    </row>
    <row r="37" spans="1:9" ht="17.25" customHeight="1" x14ac:dyDescent="0.3">
      <c r="A37" s="929"/>
      <c r="B37" s="480" t="s">
        <v>958</v>
      </c>
      <c r="C37" s="480"/>
      <c r="D37" s="480">
        <v>1</v>
      </c>
      <c r="E37" s="480"/>
      <c r="F37" s="480"/>
      <c r="G37" s="480">
        <v>1</v>
      </c>
      <c r="H37" s="480"/>
      <c r="I37" s="480">
        <v>1</v>
      </c>
    </row>
    <row r="38" spans="1:9" ht="17.25" customHeight="1" x14ac:dyDescent="0.3">
      <c r="A38" s="929"/>
      <c r="B38" s="480" t="s">
        <v>957</v>
      </c>
      <c r="C38" s="480">
        <v>0</v>
      </c>
      <c r="D38" s="480">
        <v>1</v>
      </c>
      <c r="E38" s="480">
        <v>0</v>
      </c>
      <c r="F38" s="480">
        <v>0</v>
      </c>
      <c r="G38" s="480">
        <v>1</v>
      </c>
      <c r="H38" s="480">
        <v>0</v>
      </c>
      <c r="I38" s="480">
        <v>1</v>
      </c>
    </row>
    <row r="39" spans="1:9" ht="17.25" customHeight="1" x14ac:dyDescent="0.3">
      <c r="A39" s="929"/>
      <c r="B39" s="480" t="s">
        <v>956</v>
      </c>
      <c r="C39" s="480"/>
      <c r="D39" s="480">
        <v>1</v>
      </c>
      <c r="E39" s="480"/>
      <c r="F39" s="480"/>
      <c r="G39" s="480">
        <v>1</v>
      </c>
      <c r="H39" s="480"/>
      <c r="I39" s="480">
        <v>1</v>
      </c>
    </row>
    <row r="40" spans="1:9" ht="17.25" customHeight="1" x14ac:dyDescent="0.3">
      <c r="A40" s="929">
        <v>6</v>
      </c>
      <c r="B40" s="927" t="s">
        <v>18</v>
      </c>
      <c r="C40" s="927"/>
      <c r="D40" s="927"/>
      <c r="E40" s="927"/>
      <c r="F40" s="927"/>
      <c r="G40" s="927"/>
      <c r="H40" s="927"/>
      <c r="I40" s="927"/>
    </row>
    <row r="41" spans="1:9" ht="17.25" customHeight="1" x14ac:dyDescent="0.3">
      <c r="A41" s="929"/>
      <c r="B41" s="479" t="s">
        <v>960</v>
      </c>
      <c r="C41" s="306">
        <v>1</v>
      </c>
      <c r="D41" s="306"/>
      <c r="E41" s="306"/>
      <c r="F41" s="306"/>
      <c r="G41" s="306">
        <v>4</v>
      </c>
      <c r="H41" s="306">
        <v>15</v>
      </c>
      <c r="I41" s="306">
        <v>15</v>
      </c>
    </row>
    <row r="42" spans="1:9" ht="17.25" customHeight="1" x14ac:dyDescent="0.3">
      <c r="A42" s="929"/>
      <c r="B42" s="480" t="s">
        <v>959</v>
      </c>
      <c r="C42" s="480">
        <v>1</v>
      </c>
      <c r="D42" s="480"/>
      <c r="E42" s="480"/>
      <c r="F42" s="480"/>
      <c r="G42" s="480">
        <v>4</v>
      </c>
      <c r="H42" s="480">
        <v>14</v>
      </c>
      <c r="I42" s="480">
        <v>14</v>
      </c>
    </row>
    <row r="43" spans="1:9" ht="17.25" customHeight="1" x14ac:dyDescent="0.3">
      <c r="A43" s="929"/>
      <c r="B43" s="480" t="s">
        <v>958</v>
      </c>
      <c r="C43" s="480">
        <v>1</v>
      </c>
      <c r="D43" s="480"/>
      <c r="E43" s="480"/>
      <c r="F43" s="480"/>
      <c r="G43" s="480">
        <v>4</v>
      </c>
      <c r="H43" s="480">
        <v>14</v>
      </c>
      <c r="I43" s="480">
        <v>14</v>
      </c>
    </row>
    <row r="44" spans="1:9" ht="17.25" customHeight="1" x14ac:dyDescent="0.3">
      <c r="A44" s="929"/>
      <c r="B44" s="480" t="s">
        <v>957</v>
      </c>
      <c r="C44" s="480">
        <v>1</v>
      </c>
      <c r="D44" s="480">
        <v>0</v>
      </c>
      <c r="E44" s="480">
        <v>0</v>
      </c>
      <c r="F44" s="480">
        <v>0</v>
      </c>
      <c r="G44" s="480">
        <v>4</v>
      </c>
      <c r="H44" s="480">
        <v>12</v>
      </c>
      <c r="I44" s="480">
        <v>14</v>
      </c>
    </row>
    <row r="45" spans="1:9" ht="17.25" customHeight="1" x14ac:dyDescent="0.3">
      <c r="A45" s="929"/>
      <c r="B45" s="480" t="s">
        <v>956</v>
      </c>
      <c r="C45" s="480">
        <v>1</v>
      </c>
      <c r="D45" s="480"/>
      <c r="E45" s="480"/>
      <c r="F45" s="480"/>
      <c r="G45" s="480">
        <v>4</v>
      </c>
      <c r="H45" s="480">
        <v>9</v>
      </c>
      <c r="I45" s="480">
        <v>13</v>
      </c>
    </row>
    <row r="46" spans="1:9" ht="17.25" customHeight="1" x14ac:dyDescent="0.3">
      <c r="A46" s="929">
        <v>7</v>
      </c>
      <c r="B46" s="927" t="s">
        <v>19</v>
      </c>
      <c r="C46" s="927"/>
      <c r="D46" s="927"/>
      <c r="E46" s="927"/>
      <c r="F46" s="927"/>
      <c r="G46" s="927"/>
      <c r="H46" s="927"/>
      <c r="I46" s="927"/>
    </row>
    <row r="47" spans="1:9" ht="17.25" customHeight="1" x14ac:dyDescent="0.3">
      <c r="A47" s="929"/>
      <c r="B47" s="479" t="s">
        <v>960</v>
      </c>
      <c r="C47" s="306">
        <v>6</v>
      </c>
      <c r="D47" s="306">
        <v>6</v>
      </c>
      <c r="E47" s="306">
        <v>1</v>
      </c>
      <c r="F47" s="306">
        <v>1</v>
      </c>
      <c r="G47" s="306">
        <v>6</v>
      </c>
      <c r="H47" s="306"/>
      <c r="I47" s="306">
        <v>10</v>
      </c>
    </row>
    <row r="48" spans="1:9" ht="17.25" customHeight="1" x14ac:dyDescent="0.3">
      <c r="A48" s="929"/>
      <c r="B48" s="480" t="s">
        <v>959</v>
      </c>
      <c r="C48" s="480">
        <v>6</v>
      </c>
      <c r="D48" s="480">
        <v>6</v>
      </c>
      <c r="E48" s="480">
        <v>1</v>
      </c>
      <c r="F48" s="480">
        <v>1</v>
      </c>
      <c r="G48" s="480">
        <v>6</v>
      </c>
      <c r="H48" s="480"/>
      <c r="I48" s="480">
        <v>9</v>
      </c>
    </row>
    <row r="49" spans="1:9" ht="17.25" customHeight="1" x14ac:dyDescent="0.3">
      <c r="A49" s="929"/>
      <c r="B49" s="480" t="s">
        <v>958</v>
      </c>
      <c r="C49" s="480">
        <v>6</v>
      </c>
      <c r="D49" s="480">
        <v>6</v>
      </c>
      <c r="E49" s="480">
        <v>1</v>
      </c>
      <c r="F49" s="480">
        <v>1</v>
      </c>
      <c r="G49" s="480">
        <v>6</v>
      </c>
      <c r="H49" s="480"/>
      <c r="I49" s="480">
        <v>9</v>
      </c>
    </row>
    <row r="50" spans="1:9" ht="17.25" customHeight="1" x14ac:dyDescent="0.3">
      <c r="A50" s="929"/>
      <c r="B50" s="480" t="s">
        <v>957</v>
      </c>
      <c r="C50" s="480">
        <v>6</v>
      </c>
      <c r="D50" s="480">
        <v>6</v>
      </c>
      <c r="E50" s="480">
        <v>1</v>
      </c>
      <c r="F50" s="480">
        <v>1</v>
      </c>
      <c r="G50" s="480">
        <v>5</v>
      </c>
      <c r="H50" s="480">
        <v>0</v>
      </c>
      <c r="I50" s="480">
        <v>8</v>
      </c>
    </row>
    <row r="51" spans="1:9" ht="17.25" customHeight="1" x14ac:dyDescent="0.3">
      <c r="A51" s="929"/>
      <c r="B51" s="480" t="s">
        <v>956</v>
      </c>
      <c r="C51" s="480">
        <v>5</v>
      </c>
      <c r="D51" s="480">
        <v>7</v>
      </c>
      <c r="E51" s="480">
        <v>1</v>
      </c>
      <c r="F51" s="480">
        <v>1</v>
      </c>
      <c r="G51" s="480">
        <v>5</v>
      </c>
      <c r="H51" s="480"/>
      <c r="I51" s="480">
        <v>8</v>
      </c>
    </row>
    <row r="52" spans="1:9" ht="17.25" customHeight="1" x14ac:dyDescent="0.3">
      <c r="A52" s="929">
        <v>8</v>
      </c>
      <c r="B52" s="927" t="s">
        <v>20</v>
      </c>
      <c r="C52" s="927"/>
      <c r="D52" s="927"/>
      <c r="E52" s="927"/>
      <c r="F52" s="927"/>
      <c r="G52" s="927"/>
      <c r="H52" s="927"/>
      <c r="I52" s="927"/>
    </row>
    <row r="53" spans="1:9" ht="17.25" customHeight="1" x14ac:dyDescent="0.3">
      <c r="A53" s="929"/>
      <c r="B53" s="479" t="s">
        <v>960</v>
      </c>
      <c r="C53" s="308"/>
      <c r="D53" s="306"/>
      <c r="E53" s="306"/>
      <c r="F53" s="306"/>
      <c r="G53" s="306">
        <v>2</v>
      </c>
      <c r="H53" s="306">
        <v>1</v>
      </c>
      <c r="I53" s="306">
        <v>1</v>
      </c>
    </row>
    <row r="54" spans="1:9" ht="17.25" customHeight="1" x14ac:dyDescent="0.3">
      <c r="A54" s="929"/>
      <c r="B54" s="480" t="s">
        <v>959</v>
      </c>
      <c r="C54" s="480"/>
      <c r="D54" s="480"/>
      <c r="E54" s="480"/>
      <c r="F54" s="480"/>
      <c r="G54" s="480">
        <v>2</v>
      </c>
      <c r="H54" s="480">
        <v>1</v>
      </c>
      <c r="I54" s="480">
        <v>1</v>
      </c>
    </row>
    <row r="55" spans="1:9" ht="17.25" customHeight="1" x14ac:dyDescent="0.3">
      <c r="A55" s="929"/>
      <c r="B55" s="480" t="s">
        <v>958</v>
      </c>
      <c r="C55" s="480"/>
      <c r="D55" s="480"/>
      <c r="E55" s="480"/>
      <c r="F55" s="480"/>
      <c r="G55" s="480">
        <v>2</v>
      </c>
      <c r="H55" s="480"/>
      <c r="I55" s="480">
        <v>1</v>
      </c>
    </row>
    <row r="56" spans="1:9" ht="17.25" customHeight="1" x14ac:dyDescent="0.3">
      <c r="A56" s="929"/>
      <c r="B56" s="480" t="s">
        <v>957</v>
      </c>
      <c r="C56" s="480">
        <v>0</v>
      </c>
      <c r="D56" s="480">
        <v>0</v>
      </c>
      <c r="E56" s="480">
        <v>0</v>
      </c>
      <c r="F56" s="480">
        <v>0</v>
      </c>
      <c r="G56" s="480">
        <v>2</v>
      </c>
      <c r="H56" s="480">
        <v>0</v>
      </c>
      <c r="I56" s="480">
        <v>1</v>
      </c>
    </row>
    <row r="57" spans="1:9" ht="17.25" customHeight="1" x14ac:dyDescent="0.3">
      <c r="A57" s="929"/>
      <c r="B57" s="480" t="s">
        <v>956</v>
      </c>
      <c r="C57" s="480"/>
      <c r="D57" s="480"/>
      <c r="E57" s="480"/>
      <c r="F57" s="480"/>
      <c r="G57" s="480">
        <v>2</v>
      </c>
      <c r="H57" s="480"/>
      <c r="I57" s="480">
        <v>1</v>
      </c>
    </row>
    <row r="58" spans="1:9" ht="17.25" customHeight="1" x14ac:dyDescent="0.3">
      <c r="A58" s="929">
        <v>9</v>
      </c>
      <c r="B58" s="927" t="s">
        <v>21</v>
      </c>
      <c r="C58" s="927"/>
      <c r="D58" s="927"/>
      <c r="E58" s="927"/>
      <c r="F58" s="927"/>
      <c r="G58" s="927"/>
      <c r="H58" s="927"/>
      <c r="I58" s="927"/>
    </row>
    <row r="59" spans="1:9" ht="17.25" customHeight="1" x14ac:dyDescent="0.3">
      <c r="A59" s="929"/>
      <c r="B59" s="479" t="s">
        <v>960</v>
      </c>
      <c r="C59" s="306">
        <v>2</v>
      </c>
      <c r="D59" s="306"/>
      <c r="E59" s="306">
        <v>1</v>
      </c>
      <c r="F59" s="306">
        <v>1</v>
      </c>
      <c r="G59" s="306">
        <v>10</v>
      </c>
      <c r="H59" s="306">
        <v>65</v>
      </c>
      <c r="I59" s="306">
        <v>27</v>
      </c>
    </row>
    <row r="60" spans="1:9" ht="17.25" customHeight="1" x14ac:dyDescent="0.3">
      <c r="A60" s="929"/>
      <c r="B60" s="480" t="s">
        <v>959</v>
      </c>
      <c r="C60" s="480">
        <v>2</v>
      </c>
      <c r="D60" s="480"/>
      <c r="E60" s="480">
        <v>1</v>
      </c>
      <c r="F60" s="480">
        <v>1</v>
      </c>
      <c r="G60" s="480">
        <v>10</v>
      </c>
      <c r="H60" s="480">
        <v>60</v>
      </c>
      <c r="I60" s="480">
        <v>27</v>
      </c>
    </row>
    <row r="61" spans="1:9" ht="17.25" customHeight="1" x14ac:dyDescent="0.3">
      <c r="A61" s="929"/>
      <c r="B61" s="480" t="s">
        <v>958</v>
      </c>
      <c r="C61" s="480">
        <v>1</v>
      </c>
      <c r="D61" s="480">
        <v>1</v>
      </c>
      <c r="E61" s="480">
        <v>1</v>
      </c>
      <c r="F61" s="480">
        <v>1</v>
      </c>
      <c r="G61" s="480">
        <v>9</v>
      </c>
      <c r="H61" s="480">
        <v>51</v>
      </c>
      <c r="I61" s="480">
        <v>26</v>
      </c>
    </row>
    <row r="62" spans="1:9" ht="17.25" customHeight="1" x14ac:dyDescent="0.3">
      <c r="A62" s="929"/>
      <c r="B62" s="480" t="s">
        <v>957</v>
      </c>
      <c r="C62" s="480">
        <v>1</v>
      </c>
      <c r="D62" s="480">
        <v>1</v>
      </c>
      <c r="E62" s="480">
        <v>1</v>
      </c>
      <c r="F62" s="480">
        <v>1</v>
      </c>
      <c r="G62" s="480">
        <v>9</v>
      </c>
      <c r="H62" s="480">
        <v>44</v>
      </c>
      <c r="I62" s="480">
        <v>25</v>
      </c>
    </row>
    <row r="63" spans="1:9" ht="17.25" customHeight="1" x14ac:dyDescent="0.3">
      <c r="A63" s="929"/>
      <c r="B63" s="480" t="s">
        <v>956</v>
      </c>
      <c r="C63" s="480">
        <v>1</v>
      </c>
      <c r="D63" s="480">
        <v>1</v>
      </c>
      <c r="E63" s="480">
        <v>1</v>
      </c>
      <c r="F63" s="480">
        <v>1</v>
      </c>
      <c r="G63" s="480">
        <v>6</v>
      </c>
      <c r="H63" s="480">
        <v>37</v>
      </c>
      <c r="I63" s="480">
        <v>28</v>
      </c>
    </row>
    <row r="64" spans="1:9" ht="17.25" customHeight="1" x14ac:dyDescent="0.3">
      <c r="A64" s="929">
        <v>10</v>
      </c>
      <c r="B64" s="927" t="s">
        <v>22</v>
      </c>
      <c r="C64" s="927"/>
      <c r="D64" s="927"/>
      <c r="E64" s="927"/>
      <c r="F64" s="927"/>
      <c r="G64" s="927"/>
      <c r="H64" s="927"/>
      <c r="I64" s="927"/>
    </row>
    <row r="65" spans="1:9" ht="17.25" customHeight="1" x14ac:dyDescent="0.3">
      <c r="A65" s="929"/>
      <c r="B65" s="479" t="s">
        <v>960</v>
      </c>
      <c r="C65" s="306">
        <v>1</v>
      </c>
      <c r="D65" s="306">
        <v>3</v>
      </c>
      <c r="E65" s="306"/>
      <c r="F65" s="306">
        <v>3</v>
      </c>
      <c r="G65" s="306">
        <v>5</v>
      </c>
      <c r="H65" s="306">
        <v>25</v>
      </c>
      <c r="I65" s="306">
        <v>21</v>
      </c>
    </row>
    <row r="66" spans="1:9" ht="17.25" customHeight="1" x14ac:dyDescent="0.3">
      <c r="A66" s="929"/>
      <c r="B66" s="480" t="s">
        <v>959</v>
      </c>
      <c r="C66" s="480">
        <v>1</v>
      </c>
      <c r="D66" s="480">
        <v>3</v>
      </c>
      <c r="E66" s="480"/>
      <c r="F66" s="480">
        <v>3</v>
      </c>
      <c r="G66" s="480">
        <v>5</v>
      </c>
      <c r="H66" s="480">
        <v>25</v>
      </c>
      <c r="I66" s="480">
        <v>20</v>
      </c>
    </row>
    <row r="67" spans="1:9" ht="17.25" customHeight="1" x14ac:dyDescent="0.3">
      <c r="A67" s="929"/>
      <c r="B67" s="480" t="s">
        <v>958</v>
      </c>
      <c r="C67" s="480">
        <v>1</v>
      </c>
      <c r="D67" s="480">
        <v>3</v>
      </c>
      <c r="E67" s="480"/>
      <c r="F67" s="480">
        <v>3</v>
      </c>
      <c r="G67" s="480">
        <v>5</v>
      </c>
      <c r="H67" s="480">
        <v>24</v>
      </c>
      <c r="I67" s="480">
        <v>20</v>
      </c>
    </row>
    <row r="68" spans="1:9" ht="17.25" customHeight="1" x14ac:dyDescent="0.3">
      <c r="A68" s="929"/>
      <c r="B68" s="480" t="s">
        <v>957</v>
      </c>
      <c r="C68" s="480">
        <v>1</v>
      </c>
      <c r="D68" s="480">
        <v>3</v>
      </c>
      <c r="E68" s="480">
        <v>0</v>
      </c>
      <c r="F68" s="480">
        <v>3</v>
      </c>
      <c r="G68" s="480">
        <v>5</v>
      </c>
      <c r="H68" s="480">
        <v>24</v>
      </c>
      <c r="I68" s="480">
        <v>20</v>
      </c>
    </row>
    <row r="69" spans="1:9" ht="17.25" customHeight="1" x14ac:dyDescent="0.3">
      <c r="A69" s="929"/>
      <c r="B69" s="480" t="s">
        <v>956</v>
      </c>
      <c r="C69" s="480">
        <v>1</v>
      </c>
      <c r="D69" s="480">
        <v>3</v>
      </c>
      <c r="E69" s="480"/>
      <c r="F69" s="480">
        <v>3</v>
      </c>
      <c r="G69" s="480">
        <v>5</v>
      </c>
      <c r="H69" s="480">
        <v>23</v>
      </c>
      <c r="I69" s="480">
        <v>18</v>
      </c>
    </row>
    <row r="70" spans="1:9" ht="17.25" customHeight="1" x14ac:dyDescent="0.3">
      <c r="A70" s="929">
        <v>11</v>
      </c>
      <c r="B70" s="927" t="s">
        <v>23</v>
      </c>
      <c r="C70" s="927"/>
      <c r="D70" s="927"/>
      <c r="E70" s="927"/>
      <c r="F70" s="927"/>
      <c r="G70" s="927"/>
      <c r="H70" s="927"/>
      <c r="I70" s="927"/>
    </row>
    <row r="71" spans="1:9" ht="17.25" customHeight="1" x14ac:dyDescent="0.3">
      <c r="A71" s="929"/>
      <c r="B71" s="479" t="s">
        <v>960</v>
      </c>
      <c r="C71" s="306">
        <v>1</v>
      </c>
      <c r="D71" s="306"/>
      <c r="E71" s="306"/>
      <c r="F71" s="306"/>
      <c r="G71" s="306">
        <v>5</v>
      </c>
      <c r="H71" s="306">
        <v>16</v>
      </c>
      <c r="I71" s="306">
        <v>7</v>
      </c>
    </row>
    <row r="72" spans="1:9" ht="17.25" customHeight="1" x14ac:dyDescent="0.3">
      <c r="A72" s="929"/>
      <c r="B72" s="480" t="s">
        <v>959</v>
      </c>
      <c r="C72" s="480">
        <v>1</v>
      </c>
      <c r="D72" s="480"/>
      <c r="E72" s="480"/>
      <c r="F72" s="480"/>
      <c r="G72" s="480">
        <v>5</v>
      </c>
      <c r="H72" s="480">
        <v>16</v>
      </c>
      <c r="I72" s="480">
        <v>7</v>
      </c>
    </row>
    <row r="73" spans="1:9" ht="17.25" customHeight="1" x14ac:dyDescent="0.3">
      <c r="A73" s="929"/>
      <c r="B73" s="480" t="s">
        <v>958</v>
      </c>
      <c r="C73" s="480">
        <v>1</v>
      </c>
      <c r="D73" s="480"/>
      <c r="E73" s="480"/>
      <c r="F73" s="480"/>
      <c r="G73" s="480">
        <v>5</v>
      </c>
      <c r="H73" s="480">
        <v>17</v>
      </c>
      <c r="I73" s="480">
        <v>7</v>
      </c>
    </row>
    <row r="74" spans="1:9" ht="17.25" customHeight="1" x14ac:dyDescent="0.3">
      <c r="A74" s="929"/>
      <c r="B74" s="480" t="s">
        <v>957</v>
      </c>
      <c r="C74" s="480">
        <v>1</v>
      </c>
      <c r="D74" s="480">
        <v>0</v>
      </c>
      <c r="E74" s="480">
        <v>0</v>
      </c>
      <c r="F74" s="480">
        <v>0</v>
      </c>
      <c r="G74" s="480">
        <v>4</v>
      </c>
      <c r="H74" s="480">
        <v>17</v>
      </c>
      <c r="I74" s="480">
        <v>7</v>
      </c>
    </row>
    <row r="75" spans="1:9" ht="17.25" customHeight="1" x14ac:dyDescent="0.3">
      <c r="A75" s="929"/>
      <c r="B75" s="480" t="s">
        <v>956</v>
      </c>
      <c r="C75" s="480">
        <v>1</v>
      </c>
      <c r="D75" s="480"/>
      <c r="E75" s="480"/>
      <c r="F75" s="480"/>
      <c r="G75" s="480">
        <v>4</v>
      </c>
      <c r="H75" s="480">
        <v>17</v>
      </c>
      <c r="I75" s="480">
        <v>5</v>
      </c>
    </row>
    <row r="76" spans="1:9" ht="17.25" customHeight="1" x14ac:dyDescent="0.3">
      <c r="A76" s="929">
        <v>12</v>
      </c>
      <c r="B76" s="927" t="s">
        <v>24</v>
      </c>
      <c r="C76" s="927"/>
      <c r="D76" s="927"/>
      <c r="E76" s="927"/>
      <c r="F76" s="927"/>
      <c r="G76" s="927"/>
      <c r="H76" s="927"/>
      <c r="I76" s="927"/>
    </row>
    <row r="77" spans="1:9" ht="17.25" customHeight="1" x14ac:dyDescent="0.3">
      <c r="A77" s="929"/>
      <c r="B77" s="479" t="s">
        <v>960</v>
      </c>
      <c r="C77" s="306">
        <v>2</v>
      </c>
      <c r="D77" s="306"/>
      <c r="E77" s="306"/>
      <c r="F77" s="306"/>
      <c r="G77" s="306">
        <v>4</v>
      </c>
      <c r="H77" s="306"/>
      <c r="I77" s="306">
        <v>9</v>
      </c>
    </row>
    <row r="78" spans="1:9" ht="17.25" customHeight="1" x14ac:dyDescent="0.3">
      <c r="A78" s="929"/>
      <c r="B78" s="480" t="s">
        <v>959</v>
      </c>
      <c r="C78" s="480">
        <v>2</v>
      </c>
      <c r="D78" s="480"/>
      <c r="E78" s="480"/>
      <c r="F78" s="480"/>
      <c r="G78" s="480">
        <v>4</v>
      </c>
      <c r="H78" s="480"/>
      <c r="I78" s="480">
        <v>9</v>
      </c>
    </row>
    <row r="79" spans="1:9" ht="17.25" customHeight="1" x14ac:dyDescent="0.3">
      <c r="A79" s="929"/>
      <c r="B79" s="480" t="s">
        <v>958</v>
      </c>
      <c r="C79" s="480">
        <v>2</v>
      </c>
      <c r="D79" s="480"/>
      <c r="E79" s="480"/>
      <c r="F79" s="480"/>
      <c r="G79" s="480">
        <v>4</v>
      </c>
      <c r="H79" s="480"/>
      <c r="I79" s="480">
        <v>9</v>
      </c>
    </row>
    <row r="80" spans="1:9" ht="17.25" customHeight="1" x14ac:dyDescent="0.3">
      <c r="A80" s="929"/>
      <c r="B80" s="480" t="s">
        <v>957</v>
      </c>
      <c r="C80" s="480">
        <v>2</v>
      </c>
      <c r="D80" s="480">
        <v>0</v>
      </c>
      <c r="E80" s="480">
        <v>0</v>
      </c>
      <c r="F80" s="480">
        <v>0</v>
      </c>
      <c r="G80" s="480">
        <v>3</v>
      </c>
      <c r="H80" s="480">
        <v>0</v>
      </c>
      <c r="I80" s="480">
        <v>9</v>
      </c>
    </row>
    <row r="81" spans="1:9" ht="17.25" customHeight="1" x14ac:dyDescent="0.3">
      <c r="A81" s="929"/>
      <c r="B81" s="480" t="s">
        <v>956</v>
      </c>
      <c r="C81" s="480">
        <v>2</v>
      </c>
      <c r="D81" s="480"/>
      <c r="E81" s="480"/>
      <c r="F81" s="480"/>
      <c r="G81" s="480">
        <v>3</v>
      </c>
      <c r="H81" s="480"/>
      <c r="I81" s="480">
        <v>9</v>
      </c>
    </row>
    <row r="82" spans="1:9" ht="17.25" customHeight="1" x14ac:dyDescent="0.3">
      <c r="A82" s="929">
        <v>13</v>
      </c>
      <c r="B82" s="927" t="s">
        <v>25</v>
      </c>
      <c r="C82" s="927"/>
      <c r="D82" s="927"/>
      <c r="E82" s="927"/>
      <c r="F82" s="927"/>
      <c r="G82" s="927"/>
      <c r="H82" s="927"/>
      <c r="I82" s="927"/>
    </row>
    <row r="83" spans="1:9" ht="17.25" customHeight="1" x14ac:dyDescent="0.3">
      <c r="A83" s="929"/>
      <c r="B83" s="479" t="s">
        <v>960</v>
      </c>
      <c r="C83" s="306">
        <v>1</v>
      </c>
      <c r="D83" s="306"/>
      <c r="E83" s="306"/>
      <c r="F83" s="306">
        <v>1</v>
      </c>
      <c r="G83" s="306">
        <v>5</v>
      </c>
      <c r="H83" s="306">
        <v>18</v>
      </c>
      <c r="I83" s="306">
        <v>12</v>
      </c>
    </row>
    <row r="84" spans="1:9" ht="17.25" customHeight="1" x14ac:dyDescent="0.3">
      <c r="A84" s="929"/>
      <c r="B84" s="480" t="s">
        <v>959</v>
      </c>
      <c r="C84" s="480">
        <v>1</v>
      </c>
      <c r="D84" s="480"/>
      <c r="E84" s="480"/>
      <c r="F84" s="480">
        <v>1</v>
      </c>
      <c r="G84" s="480">
        <v>5</v>
      </c>
      <c r="H84" s="480">
        <v>15</v>
      </c>
      <c r="I84" s="480">
        <v>12</v>
      </c>
    </row>
    <row r="85" spans="1:9" ht="17.25" customHeight="1" x14ac:dyDescent="0.3">
      <c r="A85" s="929"/>
      <c r="B85" s="480" t="s">
        <v>958</v>
      </c>
      <c r="C85" s="480">
        <v>1</v>
      </c>
      <c r="D85" s="480"/>
      <c r="E85" s="480"/>
      <c r="F85" s="480">
        <v>1</v>
      </c>
      <c r="G85" s="480">
        <v>5</v>
      </c>
      <c r="H85" s="480">
        <v>15</v>
      </c>
      <c r="I85" s="480">
        <v>11</v>
      </c>
    </row>
    <row r="86" spans="1:9" ht="17.25" customHeight="1" x14ac:dyDescent="0.3">
      <c r="A86" s="929"/>
      <c r="B86" s="480" t="s">
        <v>957</v>
      </c>
      <c r="C86" s="480">
        <v>1</v>
      </c>
      <c r="D86" s="480">
        <v>0</v>
      </c>
      <c r="E86" s="480">
        <v>0</v>
      </c>
      <c r="F86" s="480">
        <v>1</v>
      </c>
      <c r="G86" s="480">
        <v>5</v>
      </c>
      <c r="H86" s="480">
        <v>14</v>
      </c>
      <c r="I86" s="480">
        <v>11</v>
      </c>
    </row>
    <row r="87" spans="1:9" ht="17.25" customHeight="1" x14ac:dyDescent="0.3">
      <c r="A87" s="929"/>
      <c r="B87" s="480" t="s">
        <v>956</v>
      </c>
      <c r="C87" s="480">
        <v>1</v>
      </c>
      <c r="D87" s="480"/>
      <c r="E87" s="480"/>
      <c r="F87" s="480">
        <v>1</v>
      </c>
      <c r="G87" s="480">
        <v>5</v>
      </c>
      <c r="H87" s="480">
        <v>14</v>
      </c>
      <c r="I87" s="480">
        <v>11</v>
      </c>
    </row>
    <row r="88" spans="1:9" ht="17.25" customHeight="1" x14ac:dyDescent="0.3">
      <c r="A88" s="929">
        <v>14</v>
      </c>
      <c r="B88" s="927" t="s">
        <v>26</v>
      </c>
      <c r="C88" s="927"/>
      <c r="D88" s="927"/>
      <c r="E88" s="927"/>
      <c r="F88" s="927"/>
      <c r="G88" s="927"/>
      <c r="H88" s="927"/>
      <c r="I88" s="927"/>
    </row>
    <row r="89" spans="1:9" ht="17.25" customHeight="1" x14ac:dyDescent="0.3">
      <c r="A89" s="929"/>
      <c r="B89" s="479" t="s">
        <v>960</v>
      </c>
      <c r="C89" s="306">
        <v>1</v>
      </c>
      <c r="D89" s="306">
        <v>2</v>
      </c>
      <c r="E89" s="306"/>
      <c r="F89" s="306">
        <v>12</v>
      </c>
      <c r="G89" s="306">
        <v>6</v>
      </c>
      <c r="H89" s="306">
        <v>28</v>
      </c>
      <c r="I89" s="306">
        <v>41</v>
      </c>
    </row>
    <row r="90" spans="1:9" ht="17.25" customHeight="1" x14ac:dyDescent="0.3">
      <c r="A90" s="929"/>
      <c r="B90" s="480" t="s">
        <v>959</v>
      </c>
      <c r="C90" s="481">
        <v>1</v>
      </c>
      <c r="D90" s="481">
        <v>2</v>
      </c>
      <c r="E90" s="481"/>
      <c r="F90" s="481">
        <v>12</v>
      </c>
      <c r="G90" s="481">
        <v>6</v>
      </c>
      <c r="H90" s="481">
        <v>23</v>
      </c>
      <c r="I90" s="481">
        <v>34</v>
      </c>
    </row>
    <row r="91" spans="1:9" ht="17.25" customHeight="1" x14ac:dyDescent="0.3">
      <c r="A91" s="929"/>
      <c r="B91" s="480" t="s">
        <v>958</v>
      </c>
      <c r="C91" s="480">
        <v>1</v>
      </c>
      <c r="D91" s="480">
        <v>2</v>
      </c>
      <c r="E91" s="480"/>
      <c r="F91" s="480">
        <v>12</v>
      </c>
      <c r="G91" s="480">
        <v>6</v>
      </c>
      <c r="H91" s="480">
        <v>20</v>
      </c>
      <c r="I91" s="480">
        <v>33</v>
      </c>
    </row>
    <row r="92" spans="1:9" ht="17.25" customHeight="1" x14ac:dyDescent="0.3">
      <c r="A92" s="929"/>
      <c r="B92" s="480" t="s">
        <v>957</v>
      </c>
      <c r="C92" s="480">
        <v>1</v>
      </c>
      <c r="D92" s="480">
        <v>3</v>
      </c>
      <c r="E92" s="480">
        <v>0</v>
      </c>
      <c r="F92" s="480">
        <v>11</v>
      </c>
      <c r="G92" s="480">
        <v>6</v>
      </c>
      <c r="H92" s="480">
        <v>18</v>
      </c>
      <c r="I92" s="480">
        <v>32</v>
      </c>
    </row>
    <row r="93" spans="1:9" ht="17.25" customHeight="1" x14ac:dyDescent="0.3">
      <c r="A93" s="929"/>
      <c r="B93" s="480" t="s">
        <v>956</v>
      </c>
      <c r="C93" s="480">
        <v>1</v>
      </c>
      <c r="D93" s="480">
        <v>4</v>
      </c>
      <c r="E93" s="480"/>
      <c r="F93" s="480">
        <v>11</v>
      </c>
      <c r="G93" s="480">
        <v>4</v>
      </c>
      <c r="H93" s="480">
        <v>18</v>
      </c>
      <c r="I93" s="480">
        <v>30</v>
      </c>
    </row>
    <row r="94" spans="1:9" ht="17.25" customHeight="1" x14ac:dyDescent="0.3">
      <c r="A94" s="929">
        <v>15</v>
      </c>
      <c r="B94" s="927" t="s">
        <v>27</v>
      </c>
      <c r="C94" s="927"/>
      <c r="D94" s="927"/>
      <c r="E94" s="927"/>
      <c r="F94" s="927"/>
      <c r="G94" s="927"/>
      <c r="H94" s="927"/>
      <c r="I94" s="927"/>
    </row>
    <row r="95" spans="1:9" ht="17.25" customHeight="1" x14ac:dyDescent="0.3">
      <c r="A95" s="929"/>
      <c r="B95" s="479" t="s">
        <v>960</v>
      </c>
      <c r="C95" s="306">
        <v>1</v>
      </c>
      <c r="D95" s="306">
        <v>2</v>
      </c>
      <c r="E95" s="306"/>
      <c r="F95" s="306">
        <v>1</v>
      </c>
      <c r="G95" s="306">
        <v>6</v>
      </c>
      <c r="H95" s="306"/>
      <c r="I95" s="306">
        <v>14</v>
      </c>
    </row>
    <row r="96" spans="1:9" ht="17.25" customHeight="1" x14ac:dyDescent="0.3">
      <c r="A96" s="929"/>
      <c r="B96" s="480" t="s">
        <v>959</v>
      </c>
      <c r="C96" s="480">
        <v>1</v>
      </c>
      <c r="D96" s="480">
        <v>2</v>
      </c>
      <c r="E96" s="480"/>
      <c r="F96" s="480">
        <v>1</v>
      </c>
      <c r="G96" s="480">
        <v>6</v>
      </c>
      <c r="H96" s="480"/>
      <c r="I96" s="480">
        <v>14</v>
      </c>
    </row>
    <row r="97" spans="1:9" ht="17.25" customHeight="1" x14ac:dyDescent="0.3">
      <c r="A97" s="929"/>
      <c r="B97" s="480" t="s">
        <v>958</v>
      </c>
      <c r="C97" s="480">
        <v>1</v>
      </c>
      <c r="D97" s="480">
        <v>2</v>
      </c>
      <c r="E97" s="480"/>
      <c r="F97" s="480">
        <v>1</v>
      </c>
      <c r="G97" s="480">
        <v>6</v>
      </c>
      <c r="H97" s="480"/>
      <c r="I97" s="480">
        <v>14</v>
      </c>
    </row>
    <row r="98" spans="1:9" ht="17.25" customHeight="1" x14ac:dyDescent="0.3">
      <c r="A98" s="929"/>
      <c r="B98" s="480" t="s">
        <v>957</v>
      </c>
      <c r="C98" s="480">
        <v>1</v>
      </c>
      <c r="D98" s="480">
        <v>2</v>
      </c>
      <c r="E98" s="480">
        <v>0</v>
      </c>
      <c r="F98" s="480">
        <v>1</v>
      </c>
      <c r="G98" s="480">
        <v>6</v>
      </c>
      <c r="H98" s="480">
        <v>0</v>
      </c>
      <c r="I98" s="480">
        <v>13</v>
      </c>
    </row>
    <row r="99" spans="1:9" ht="17.25" customHeight="1" x14ac:dyDescent="0.3">
      <c r="A99" s="929"/>
      <c r="B99" s="480" t="s">
        <v>956</v>
      </c>
      <c r="C99" s="480">
        <v>1</v>
      </c>
      <c r="D99" s="480">
        <v>2</v>
      </c>
      <c r="E99" s="480"/>
      <c r="F99" s="480">
        <v>1</v>
      </c>
      <c r="G99" s="480">
        <v>6</v>
      </c>
      <c r="H99" s="480"/>
      <c r="I99" s="480">
        <v>13</v>
      </c>
    </row>
    <row r="100" spans="1:9" ht="17.25" customHeight="1" x14ac:dyDescent="0.3">
      <c r="A100" s="929">
        <v>16</v>
      </c>
      <c r="B100" s="927" t="s">
        <v>28</v>
      </c>
      <c r="C100" s="928"/>
      <c r="D100" s="928"/>
      <c r="E100" s="928"/>
      <c r="F100" s="928"/>
      <c r="G100" s="928"/>
      <c r="H100" s="928"/>
      <c r="I100" s="928"/>
    </row>
    <row r="101" spans="1:9" ht="17.25" customHeight="1" x14ac:dyDescent="0.3">
      <c r="A101" s="929"/>
      <c r="B101" s="479" t="s">
        <v>960</v>
      </c>
      <c r="C101" s="306">
        <v>1</v>
      </c>
      <c r="D101" s="306">
        <v>1</v>
      </c>
      <c r="E101" s="306"/>
      <c r="F101" s="306"/>
      <c r="G101" s="306"/>
      <c r="H101" s="306"/>
      <c r="I101" s="306">
        <v>1</v>
      </c>
    </row>
    <row r="102" spans="1:9" ht="17.25" customHeight="1" x14ac:dyDescent="0.3">
      <c r="A102" s="929"/>
      <c r="B102" s="480" t="s">
        <v>959</v>
      </c>
      <c r="C102" s="480"/>
      <c r="D102" s="480">
        <v>1</v>
      </c>
      <c r="E102" s="480"/>
      <c r="F102" s="480"/>
      <c r="G102" s="480"/>
      <c r="H102" s="480"/>
      <c r="I102" s="480">
        <v>1</v>
      </c>
    </row>
    <row r="103" spans="1:9" ht="17.25" customHeight="1" x14ac:dyDescent="0.3">
      <c r="A103" s="929"/>
      <c r="B103" s="480" t="s">
        <v>958</v>
      </c>
      <c r="C103" s="480"/>
      <c r="D103" s="480">
        <v>1</v>
      </c>
      <c r="E103" s="480"/>
      <c r="F103" s="480"/>
      <c r="G103" s="480"/>
      <c r="H103" s="480"/>
      <c r="I103" s="480">
        <v>1</v>
      </c>
    </row>
    <row r="104" spans="1:9" ht="17.25" customHeight="1" x14ac:dyDescent="0.3">
      <c r="A104" s="929"/>
      <c r="B104" s="480" t="s">
        <v>957</v>
      </c>
      <c r="C104" s="480">
        <v>0</v>
      </c>
      <c r="D104" s="480">
        <v>1</v>
      </c>
      <c r="E104" s="480">
        <v>0</v>
      </c>
      <c r="F104" s="480">
        <v>0</v>
      </c>
      <c r="G104" s="480">
        <v>0</v>
      </c>
      <c r="H104" s="480">
        <v>0</v>
      </c>
      <c r="I104" s="480">
        <v>1</v>
      </c>
    </row>
    <row r="105" spans="1:9" ht="17.25" customHeight="1" x14ac:dyDescent="0.3">
      <c r="A105" s="929"/>
      <c r="B105" s="480" t="s">
        <v>956</v>
      </c>
      <c r="C105" s="480"/>
      <c r="D105" s="480">
        <v>1</v>
      </c>
      <c r="E105" s="480"/>
      <c r="F105" s="480"/>
      <c r="G105" s="480"/>
      <c r="H105" s="480"/>
      <c r="I105" s="480"/>
    </row>
    <row r="106" spans="1:9" ht="17.25" customHeight="1" x14ac:dyDescent="0.3">
      <c r="A106" s="929">
        <v>17</v>
      </c>
      <c r="B106" s="927" t="s">
        <v>29</v>
      </c>
      <c r="C106" s="928"/>
      <c r="D106" s="928"/>
      <c r="E106" s="928"/>
      <c r="F106" s="928"/>
      <c r="G106" s="928"/>
      <c r="H106" s="928"/>
      <c r="I106" s="928"/>
    </row>
    <row r="107" spans="1:9" ht="17.25" customHeight="1" x14ac:dyDescent="0.3">
      <c r="A107" s="929"/>
      <c r="B107" s="479" t="s">
        <v>960</v>
      </c>
      <c r="C107" s="306">
        <v>2</v>
      </c>
      <c r="D107" s="306">
        <v>1</v>
      </c>
      <c r="E107" s="306"/>
      <c r="F107" s="306"/>
      <c r="G107" s="306">
        <v>10</v>
      </c>
      <c r="H107" s="306">
        <v>52</v>
      </c>
      <c r="I107" s="306">
        <v>23</v>
      </c>
    </row>
    <row r="108" spans="1:9" ht="17.25" customHeight="1" x14ac:dyDescent="0.3">
      <c r="A108" s="929"/>
      <c r="B108" s="480" t="s">
        <v>959</v>
      </c>
      <c r="C108" s="480">
        <v>2</v>
      </c>
      <c r="D108" s="480">
        <v>1</v>
      </c>
      <c r="E108" s="480"/>
      <c r="F108" s="480"/>
      <c r="G108" s="480">
        <v>10</v>
      </c>
      <c r="H108" s="480">
        <v>41</v>
      </c>
      <c r="I108" s="480">
        <v>23</v>
      </c>
    </row>
    <row r="109" spans="1:9" ht="17.25" customHeight="1" x14ac:dyDescent="0.3">
      <c r="A109" s="929"/>
      <c r="B109" s="480" t="s">
        <v>958</v>
      </c>
      <c r="C109" s="480">
        <v>2</v>
      </c>
      <c r="D109" s="480">
        <v>1</v>
      </c>
      <c r="E109" s="480"/>
      <c r="F109" s="480"/>
      <c r="G109" s="480">
        <v>10</v>
      </c>
      <c r="H109" s="480">
        <v>40</v>
      </c>
      <c r="I109" s="480">
        <v>23</v>
      </c>
    </row>
    <row r="110" spans="1:9" ht="17.25" customHeight="1" x14ac:dyDescent="0.3">
      <c r="A110" s="929"/>
      <c r="B110" s="480" t="s">
        <v>957</v>
      </c>
      <c r="C110" s="480">
        <v>2</v>
      </c>
      <c r="D110" s="480">
        <v>1</v>
      </c>
      <c r="E110" s="480">
        <v>0</v>
      </c>
      <c r="F110" s="480">
        <v>0</v>
      </c>
      <c r="G110" s="480">
        <v>9</v>
      </c>
      <c r="H110" s="480">
        <v>39</v>
      </c>
      <c r="I110" s="480">
        <v>22</v>
      </c>
    </row>
    <row r="111" spans="1:9" ht="17.25" customHeight="1" x14ac:dyDescent="0.3">
      <c r="A111" s="929"/>
      <c r="B111" s="480" t="s">
        <v>956</v>
      </c>
      <c r="C111" s="480">
        <v>2</v>
      </c>
      <c r="D111" s="480">
        <v>1</v>
      </c>
      <c r="E111" s="480"/>
      <c r="F111" s="480"/>
      <c r="G111" s="480">
        <v>8</v>
      </c>
      <c r="H111" s="480">
        <v>33</v>
      </c>
      <c r="I111" s="480">
        <v>21</v>
      </c>
    </row>
    <row r="112" spans="1:9" ht="17.25" customHeight="1" x14ac:dyDescent="0.3">
      <c r="A112" s="929">
        <v>18</v>
      </c>
      <c r="B112" s="927" t="s">
        <v>30</v>
      </c>
      <c r="C112" s="928"/>
      <c r="D112" s="928"/>
      <c r="E112" s="928"/>
      <c r="F112" s="928"/>
      <c r="G112" s="928"/>
      <c r="H112" s="928"/>
      <c r="I112" s="928"/>
    </row>
    <row r="113" spans="1:9" ht="17.25" customHeight="1" x14ac:dyDescent="0.3">
      <c r="A113" s="929"/>
      <c r="B113" s="479" t="s">
        <v>960</v>
      </c>
      <c r="C113" s="306">
        <v>1</v>
      </c>
      <c r="D113" s="306">
        <v>7</v>
      </c>
      <c r="E113" s="306">
        <v>3</v>
      </c>
      <c r="F113" s="306">
        <v>11</v>
      </c>
      <c r="G113" s="306">
        <v>8</v>
      </c>
      <c r="H113" s="306">
        <v>28</v>
      </c>
      <c r="I113" s="306">
        <v>28</v>
      </c>
    </row>
    <row r="114" spans="1:9" ht="17.25" customHeight="1" x14ac:dyDescent="0.3">
      <c r="A114" s="929"/>
      <c r="B114" s="480" t="s">
        <v>959</v>
      </c>
      <c r="C114" s="480">
        <v>1</v>
      </c>
      <c r="D114" s="480">
        <v>7</v>
      </c>
      <c r="E114" s="480">
        <v>3</v>
      </c>
      <c r="F114" s="480">
        <v>11</v>
      </c>
      <c r="G114" s="480">
        <v>7</v>
      </c>
      <c r="H114" s="480">
        <v>21</v>
      </c>
      <c r="I114" s="480">
        <v>27</v>
      </c>
    </row>
    <row r="115" spans="1:9" ht="17.25" customHeight="1" x14ac:dyDescent="0.3">
      <c r="A115" s="929"/>
      <c r="B115" s="480" t="s">
        <v>958</v>
      </c>
      <c r="C115" s="480">
        <v>1</v>
      </c>
      <c r="D115" s="480">
        <v>7</v>
      </c>
      <c r="E115" s="480">
        <v>2</v>
      </c>
      <c r="F115" s="480">
        <v>12</v>
      </c>
      <c r="G115" s="480">
        <v>7</v>
      </c>
      <c r="H115" s="480">
        <v>21</v>
      </c>
      <c r="I115" s="480">
        <v>23</v>
      </c>
    </row>
    <row r="116" spans="1:9" ht="17.25" customHeight="1" x14ac:dyDescent="0.3">
      <c r="A116" s="929"/>
      <c r="B116" s="480" t="s">
        <v>957</v>
      </c>
      <c r="C116" s="480">
        <v>1</v>
      </c>
      <c r="D116" s="480">
        <v>7</v>
      </c>
      <c r="E116" s="480">
        <v>2</v>
      </c>
      <c r="F116" s="480">
        <v>12</v>
      </c>
      <c r="G116" s="480">
        <v>7</v>
      </c>
      <c r="H116" s="480">
        <v>18</v>
      </c>
      <c r="I116" s="480">
        <v>23</v>
      </c>
    </row>
    <row r="117" spans="1:9" ht="17.25" customHeight="1" x14ac:dyDescent="0.3">
      <c r="A117" s="929"/>
      <c r="B117" s="480" t="s">
        <v>956</v>
      </c>
      <c r="C117" s="480">
        <v>1</v>
      </c>
      <c r="D117" s="480">
        <v>7</v>
      </c>
      <c r="E117" s="480">
        <v>2</v>
      </c>
      <c r="F117" s="480">
        <v>12</v>
      </c>
      <c r="G117" s="480">
        <v>8</v>
      </c>
      <c r="H117" s="480">
        <v>11</v>
      </c>
      <c r="I117" s="480">
        <v>23</v>
      </c>
    </row>
    <row r="118" spans="1:9" ht="17.25" customHeight="1" x14ac:dyDescent="0.3">
      <c r="A118" s="929">
        <v>19</v>
      </c>
      <c r="B118" s="927" t="s">
        <v>31</v>
      </c>
      <c r="C118" s="928"/>
      <c r="D118" s="928"/>
      <c r="E118" s="928"/>
      <c r="F118" s="928"/>
      <c r="G118" s="928"/>
      <c r="H118" s="928"/>
      <c r="I118" s="928"/>
    </row>
    <row r="119" spans="1:9" ht="17.25" customHeight="1" x14ac:dyDescent="0.3">
      <c r="A119" s="929"/>
      <c r="B119" s="479" t="s">
        <v>960</v>
      </c>
      <c r="C119" s="306">
        <v>3</v>
      </c>
      <c r="D119" s="306"/>
      <c r="E119" s="306"/>
      <c r="F119" s="306"/>
      <c r="G119" s="306">
        <v>2</v>
      </c>
      <c r="H119" s="306">
        <v>4</v>
      </c>
      <c r="I119" s="306">
        <v>3</v>
      </c>
    </row>
    <row r="120" spans="1:9" ht="17.25" customHeight="1" x14ac:dyDescent="0.3">
      <c r="A120" s="929"/>
      <c r="B120" s="480" t="s">
        <v>959</v>
      </c>
      <c r="C120" s="480">
        <v>3</v>
      </c>
      <c r="D120" s="480"/>
      <c r="E120" s="480"/>
      <c r="F120" s="480"/>
      <c r="G120" s="480">
        <v>2</v>
      </c>
      <c r="H120" s="480">
        <v>4</v>
      </c>
      <c r="I120" s="480">
        <v>3</v>
      </c>
    </row>
    <row r="121" spans="1:9" ht="17.25" customHeight="1" x14ac:dyDescent="0.3">
      <c r="A121" s="929"/>
      <c r="B121" s="480" t="s">
        <v>958</v>
      </c>
      <c r="C121" s="480">
        <v>3</v>
      </c>
      <c r="D121" s="480"/>
      <c r="E121" s="480"/>
      <c r="F121" s="480"/>
      <c r="G121" s="480">
        <v>2</v>
      </c>
      <c r="H121" s="480">
        <v>2</v>
      </c>
      <c r="I121" s="480">
        <v>3</v>
      </c>
    </row>
    <row r="122" spans="1:9" ht="17.25" customHeight="1" x14ac:dyDescent="0.3">
      <c r="A122" s="929"/>
      <c r="B122" s="480" t="s">
        <v>957</v>
      </c>
      <c r="C122" s="481">
        <v>3</v>
      </c>
      <c r="D122" s="481">
        <v>0</v>
      </c>
      <c r="E122" s="481">
        <v>0</v>
      </c>
      <c r="F122" s="481">
        <v>0</v>
      </c>
      <c r="G122" s="481">
        <v>2</v>
      </c>
      <c r="H122" s="481">
        <v>1</v>
      </c>
      <c r="I122" s="481">
        <v>3</v>
      </c>
    </row>
    <row r="123" spans="1:9" ht="17.25" customHeight="1" x14ac:dyDescent="0.3">
      <c r="A123" s="929"/>
      <c r="B123" s="480" t="s">
        <v>956</v>
      </c>
      <c r="C123" s="480">
        <v>3</v>
      </c>
      <c r="D123" s="480"/>
      <c r="E123" s="480"/>
      <c r="F123" s="480"/>
      <c r="G123" s="480">
        <v>2</v>
      </c>
      <c r="H123" s="480"/>
      <c r="I123" s="480">
        <v>3</v>
      </c>
    </row>
    <row r="124" spans="1:9" ht="17.25" customHeight="1" x14ac:dyDescent="0.3">
      <c r="A124" s="929">
        <v>20</v>
      </c>
      <c r="B124" s="927" t="s">
        <v>32</v>
      </c>
      <c r="C124" s="928"/>
      <c r="D124" s="928"/>
      <c r="E124" s="928"/>
      <c r="F124" s="928"/>
      <c r="G124" s="928"/>
      <c r="H124" s="928"/>
      <c r="I124" s="928"/>
    </row>
    <row r="125" spans="1:9" ht="17.25" customHeight="1" x14ac:dyDescent="0.3">
      <c r="A125" s="929"/>
      <c r="B125" s="479" t="s">
        <v>960</v>
      </c>
      <c r="C125" s="306">
        <v>1</v>
      </c>
      <c r="D125" s="306"/>
      <c r="E125" s="306"/>
      <c r="F125" s="306"/>
      <c r="G125" s="306">
        <v>2</v>
      </c>
      <c r="H125" s="306">
        <v>8</v>
      </c>
      <c r="I125" s="306">
        <v>1</v>
      </c>
    </row>
    <row r="126" spans="1:9" ht="17.25" customHeight="1" x14ac:dyDescent="0.3">
      <c r="A126" s="929"/>
      <c r="B126" s="480" t="s">
        <v>959</v>
      </c>
      <c r="C126" s="480">
        <v>1</v>
      </c>
      <c r="D126" s="480"/>
      <c r="E126" s="480"/>
      <c r="F126" s="480"/>
      <c r="G126" s="480">
        <v>2</v>
      </c>
      <c r="H126" s="480">
        <v>8</v>
      </c>
      <c r="I126" s="480"/>
    </row>
    <row r="127" spans="1:9" ht="17.25" customHeight="1" x14ac:dyDescent="0.3">
      <c r="A127" s="929"/>
      <c r="B127" s="480" t="s">
        <v>958</v>
      </c>
      <c r="C127" s="480">
        <v>1</v>
      </c>
      <c r="D127" s="480"/>
      <c r="E127" s="480"/>
      <c r="F127" s="480"/>
      <c r="G127" s="480">
        <v>2</v>
      </c>
      <c r="H127" s="480">
        <v>8</v>
      </c>
      <c r="I127" s="480"/>
    </row>
    <row r="128" spans="1:9" ht="17.25" customHeight="1" x14ac:dyDescent="0.3">
      <c r="A128" s="929"/>
      <c r="B128" s="480" t="s">
        <v>957</v>
      </c>
      <c r="C128" s="480">
        <v>1</v>
      </c>
      <c r="D128" s="480">
        <v>0</v>
      </c>
      <c r="E128" s="480">
        <v>0</v>
      </c>
      <c r="F128" s="480">
        <v>0</v>
      </c>
      <c r="G128" s="480">
        <v>2</v>
      </c>
      <c r="H128" s="480">
        <v>8</v>
      </c>
      <c r="I128" s="480">
        <v>0</v>
      </c>
    </row>
    <row r="129" spans="1:9" ht="17.25" customHeight="1" x14ac:dyDescent="0.3">
      <c r="A129" s="929"/>
      <c r="B129" s="480" t="s">
        <v>956</v>
      </c>
      <c r="C129" s="480">
        <v>1</v>
      </c>
      <c r="D129" s="480"/>
      <c r="E129" s="480"/>
      <c r="F129" s="480"/>
      <c r="G129" s="480">
        <v>2</v>
      </c>
      <c r="H129" s="480">
        <v>7</v>
      </c>
      <c r="I129" s="480"/>
    </row>
    <row r="130" spans="1:9" ht="17.25" customHeight="1" x14ac:dyDescent="0.3">
      <c r="A130" s="929">
        <v>21</v>
      </c>
      <c r="B130" s="927" t="s">
        <v>33</v>
      </c>
      <c r="C130" s="928"/>
      <c r="D130" s="928"/>
      <c r="E130" s="928"/>
      <c r="F130" s="928"/>
      <c r="G130" s="928"/>
      <c r="H130" s="928"/>
      <c r="I130" s="928"/>
    </row>
    <row r="131" spans="1:9" ht="17.25" customHeight="1" x14ac:dyDescent="0.3">
      <c r="A131" s="929"/>
      <c r="B131" s="479" t="s">
        <v>960</v>
      </c>
      <c r="C131" s="306">
        <v>1</v>
      </c>
      <c r="D131" s="306"/>
      <c r="E131" s="306"/>
      <c r="F131" s="306"/>
      <c r="G131" s="306">
        <v>1</v>
      </c>
      <c r="H131" s="306">
        <v>1</v>
      </c>
      <c r="I131" s="306"/>
    </row>
    <row r="132" spans="1:9" ht="17.25" customHeight="1" x14ac:dyDescent="0.3">
      <c r="A132" s="929"/>
      <c r="B132" s="480" t="s">
        <v>959</v>
      </c>
      <c r="C132" s="480">
        <v>1</v>
      </c>
      <c r="D132" s="480"/>
      <c r="E132" s="480"/>
      <c r="F132" s="480"/>
      <c r="G132" s="480">
        <v>1</v>
      </c>
      <c r="H132" s="480">
        <v>1</v>
      </c>
      <c r="I132" s="480"/>
    </row>
    <row r="133" spans="1:9" ht="17.25" customHeight="1" x14ac:dyDescent="0.3">
      <c r="A133" s="929"/>
      <c r="B133" s="480" t="s">
        <v>958</v>
      </c>
      <c r="C133" s="480">
        <v>1</v>
      </c>
      <c r="D133" s="480"/>
      <c r="E133" s="480"/>
      <c r="F133" s="480"/>
      <c r="G133" s="480">
        <v>1</v>
      </c>
      <c r="H133" s="480">
        <v>1</v>
      </c>
      <c r="I133" s="480"/>
    </row>
    <row r="134" spans="1:9" ht="17.25" customHeight="1" x14ac:dyDescent="0.3">
      <c r="A134" s="929"/>
      <c r="B134" s="480" t="s">
        <v>957</v>
      </c>
      <c r="C134" s="480">
        <v>1</v>
      </c>
      <c r="D134" s="480">
        <v>0</v>
      </c>
      <c r="E134" s="480">
        <v>0</v>
      </c>
      <c r="F134" s="480">
        <v>0</v>
      </c>
      <c r="G134" s="480">
        <v>1</v>
      </c>
      <c r="H134" s="480">
        <v>1</v>
      </c>
      <c r="I134" s="480">
        <v>0</v>
      </c>
    </row>
    <row r="135" spans="1:9" ht="17.25" customHeight="1" x14ac:dyDescent="0.3">
      <c r="A135" s="929"/>
      <c r="B135" s="480" t="s">
        <v>956</v>
      </c>
      <c r="C135" s="480">
        <v>1</v>
      </c>
      <c r="D135" s="480"/>
      <c r="E135" s="480"/>
      <c r="F135" s="480"/>
      <c r="G135" s="480">
        <v>1</v>
      </c>
      <c r="H135" s="480">
        <v>1</v>
      </c>
      <c r="I135" s="480"/>
    </row>
    <row r="136" spans="1:9" ht="17.25" customHeight="1" x14ac:dyDescent="0.3">
      <c r="A136" s="929">
        <v>22</v>
      </c>
      <c r="B136" s="927" t="s">
        <v>34</v>
      </c>
      <c r="C136" s="928"/>
      <c r="D136" s="928"/>
      <c r="E136" s="928"/>
      <c r="F136" s="928"/>
      <c r="G136" s="928"/>
      <c r="H136" s="928"/>
      <c r="I136" s="928"/>
    </row>
    <row r="137" spans="1:9" ht="17.25" customHeight="1" x14ac:dyDescent="0.3">
      <c r="A137" s="929"/>
      <c r="B137" s="479" t="s">
        <v>960</v>
      </c>
      <c r="C137" s="306">
        <v>1</v>
      </c>
      <c r="D137" s="306"/>
      <c r="E137" s="306"/>
      <c r="F137" s="306"/>
      <c r="G137" s="306">
        <v>1</v>
      </c>
      <c r="H137" s="306">
        <v>4</v>
      </c>
      <c r="I137" s="306"/>
    </row>
    <row r="138" spans="1:9" ht="17.25" customHeight="1" x14ac:dyDescent="0.3">
      <c r="A138" s="929"/>
      <c r="B138" s="480" t="s">
        <v>959</v>
      </c>
      <c r="C138" s="480">
        <v>1</v>
      </c>
      <c r="D138" s="480"/>
      <c r="E138" s="480"/>
      <c r="F138" s="480"/>
      <c r="G138" s="480">
        <v>1</v>
      </c>
      <c r="H138" s="480">
        <v>4</v>
      </c>
      <c r="I138" s="480"/>
    </row>
    <row r="139" spans="1:9" ht="17.25" customHeight="1" x14ac:dyDescent="0.3">
      <c r="A139" s="929"/>
      <c r="B139" s="480" t="s">
        <v>958</v>
      </c>
      <c r="C139" s="480">
        <v>1</v>
      </c>
      <c r="D139" s="480"/>
      <c r="E139" s="480"/>
      <c r="F139" s="480"/>
      <c r="G139" s="480">
        <v>1</v>
      </c>
      <c r="H139" s="480">
        <v>4</v>
      </c>
      <c r="I139" s="480"/>
    </row>
    <row r="140" spans="1:9" ht="17.25" customHeight="1" x14ac:dyDescent="0.3">
      <c r="A140" s="929"/>
      <c r="B140" s="480" t="s">
        <v>957</v>
      </c>
      <c r="C140" s="480">
        <v>1</v>
      </c>
      <c r="D140" s="480">
        <v>0</v>
      </c>
      <c r="E140" s="480">
        <v>0</v>
      </c>
      <c r="F140" s="480">
        <v>0</v>
      </c>
      <c r="G140" s="480">
        <v>1</v>
      </c>
      <c r="H140" s="480">
        <v>3</v>
      </c>
      <c r="I140" s="480">
        <v>0</v>
      </c>
    </row>
    <row r="141" spans="1:9" ht="17.25" customHeight="1" x14ac:dyDescent="0.3">
      <c r="A141" s="929"/>
      <c r="B141" s="480" t="s">
        <v>956</v>
      </c>
      <c r="C141" s="480">
        <v>1</v>
      </c>
      <c r="D141" s="480"/>
      <c r="E141" s="480"/>
      <c r="F141" s="480"/>
      <c r="G141" s="480">
        <v>1</v>
      </c>
      <c r="H141" s="480">
        <v>3</v>
      </c>
      <c r="I141" s="480"/>
    </row>
    <row r="142" spans="1:9" ht="17.25" customHeight="1" x14ac:dyDescent="0.3">
      <c r="A142" s="929">
        <v>23</v>
      </c>
      <c r="B142" s="927" t="s">
        <v>35</v>
      </c>
      <c r="C142" s="928"/>
      <c r="D142" s="928"/>
      <c r="E142" s="928"/>
      <c r="F142" s="928"/>
      <c r="G142" s="928"/>
      <c r="H142" s="928"/>
      <c r="I142" s="928"/>
    </row>
    <row r="143" spans="1:9" ht="17.25" customHeight="1" x14ac:dyDescent="0.3">
      <c r="A143" s="929"/>
      <c r="B143" s="479" t="s">
        <v>960</v>
      </c>
      <c r="C143" s="306">
        <v>1</v>
      </c>
      <c r="D143" s="306"/>
      <c r="E143" s="306"/>
      <c r="F143" s="306">
        <v>3</v>
      </c>
      <c r="G143" s="306">
        <v>5</v>
      </c>
      <c r="H143" s="306">
        <v>10</v>
      </c>
      <c r="I143" s="306">
        <v>24</v>
      </c>
    </row>
    <row r="144" spans="1:9" ht="17.25" customHeight="1" x14ac:dyDescent="0.3">
      <c r="A144" s="929"/>
      <c r="B144" s="480" t="s">
        <v>959</v>
      </c>
      <c r="C144" s="480">
        <v>1</v>
      </c>
      <c r="D144" s="480"/>
      <c r="E144" s="480"/>
      <c r="F144" s="480">
        <v>3</v>
      </c>
      <c r="G144" s="480">
        <v>5</v>
      </c>
      <c r="H144" s="480">
        <v>8</v>
      </c>
      <c r="I144" s="480">
        <v>21</v>
      </c>
    </row>
    <row r="145" spans="1:9" ht="17.25" customHeight="1" x14ac:dyDescent="0.3">
      <c r="A145" s="929"/>
      <c r="B145" s="480" t="s">
        <v>958</v>
      </c>
      <c r="C145" s="480">
        <v>1</v>
      </c>
      <c r="D145" s="480"/>
      <c r="E145" s="480"/>
      <c r="F145" s="480">
        <v>3</v>
      </c>
      <c r="G145" s="480">
        <v>5</v>
      </c>
      <c r="H145" s="480">
        <v>8</v>
      </c>
      <c r="I145" s="480">
        <v>19</v>
      </c>
    </row>
    <row r="146" spans="1:9" ht="17.25" customHeight="1" x14ac:dyDescent="0.3">
      <c r="A146" s="929"/>
      <c r="B146" s="480" t="s">
        <v>957</v>
      </c>
      <c r="C146" s="480">
        <v>1</v>
      </c>
      <c r="D146" s="480">
        <v>0</v>
      </c>
      <c r="E146" s="480">
        <v>0</v>
      </c>
      <c r="F146" s="480">
        <v>3</v>
      </c>
      <c r="G146" s="480">
        <v>5</v>
      </c>
      <c r="H146" s="480">
        <v>8</v>
      </c>
      <c r="I146" s="480">
        <v>18</v>
      </c>
    </row>
    <row r="147" spans="1:9" ht="17.25" customHeight="1" x14ac:dyDescent="0.3">
      <c r="A147" s="929"/>
      <c r="B147" s="480" t="s">
        <v>956</v>
      </c>
      <c r="C147" s="480">
        <v>1</v>
      </c>
      <c r="D147" s="480"/>
      <c r="E147" s="480"/>
      <c r="F147" s="480">
        <v>3</v>
      </c>
      <c r="G147" s="480">
        <v>5</v>
      </c>
      <c r="H147" s="480">
        <v>6</v>
      </c>
      <c r="I147" s="480">
        <v>16</v>
      </c>
    </row>
    <row r="148" spans="1:9" ht="17.25" customHeight="1" x14ac:dyDescent="0.3">
      <c r="A148" s="929">
        <v>24</v>
      </c>
      <c r="B148" s="927" t="s">
        <v>36</v>
      </c>
      <c r="C148" s="928"/>
      <c r="D148" s="928"/>
      <c r="E148" s="928"/>
      <c r="F148" s="928"/>
      <c r="G148" s="928"/>
      <c r="H148" s="928"/>
      <c r="I148" s="928"/>
    </row>
    <row r="149" spans="1:9" ht="17.25" customHeight="1" x14ac:dyDescent="0.3">
      <c r="A149" s="929"/>
      <c r="B149" s="479" t="s">
        <v>960</v>
      </c>
      <c r="C149" s="306">
        <v>1</v>
      </c>
      <c r="D149" s="306"/>
      <c r="E149" s="306"/>
      <c r="F149" s="306">
        <v>1</v>
      </c>
      <c r="G149" s="306">
        <v>2</v>
      </c>
      <c r="H149" s="306"/>
      <c r="I149" s="306">
        <v>1</v>
      </c>
    </row>
    <row r="150" spans="1:9" ht="17.25" customHeight="1" x14ac:dyDescent="0.3">
      <c r="A150" s="929"/>
      <c r="B150" s="480" t="s">
        <v>959</v>
      </c>
      <c r="C150" s="480">
        <v>1</v>
      </c>
      <c r="D150" s="480"/>
      <c r="E150" s="480"/>
      <c r="F150" s="480">
        <v>1</v>
      </c>
      <c r="G150" s="480">
        <v>2</v>
      </c>
      <c r="H150" s="480"/>
      <c r="I150" s="480">
        <v>1</v>
      </c>
    </row>
    <row r="151" spans="1:9" ht="17.25" customHeight="1" x14ac:dyDescent="0.3">
      <c r="A151" s="929"/>
      <c r="B151" s="480" t="s">
        <v>958</v>
      </c>
      <c r="C151" s="480">
        <v>1</v>
      </c>
      <c r="D151" s="480"/>
      <c r="E151" s="480"/>
      <c r="F151" s="480">
        <v>1</v>
      </c>
      <c r="G151" s="480">
        <v>2</v>
      </c>
      <c r="H151" s="480"/>
      <c r="I151" s="480"/>
    </row>
    <row r="152" spans="1:9" ht="17.25" customHeight="1" x14ac:dyDescent="0.3">
      <c r="A152" s="929"/>
      <c r="B152" s="480" t="s">
        <v>957</v>
      </c>
      <c r="C152" s="480">
        <v>1</v>
      </c>
      <c r="D152" s="480">
        <v>0</v>
      </c>
      <c r="E152" s="480">
        <v>0</v>
      </c>
      <c r="F152" s="480">
        <v>1</v>
      </c>
      <c r="G152" s="480">
        <v>2</v>
      </c>
      <c r="H152" s="480">
        <v>0</v>
      </c>
      <c r="I152" s="480">
        <v>0</v>
      </c>
    </row>
    <row r="153" spans="1:9" ht="17.25" customHeight="1" x14ac:dyDescent="0.3">
      <c r="A153" s="929"/>
      <c r="B153" s="480" t="s">
        <v>956</v>
      </c>
      <c r="C153" s="480">
        <v>1</v>
      </c>
      <c r="D153" s="480"/>
      <c r="E153" s="480"/>
      <c r="F153" s="480">
        <v>1</v>
      </c>
      <c r="G153" s="480">
        <v>2</v>
      </c>
      <c r="H153" s="480"/>
      <c r="I153" s="480"/>
    </row>
    <row r="154" spans="1:9" ht="17.25" customHeight="1" x14ac:dyDescent="0.3">
      <c r="A154" s="929">
        <v>25</v>
      </c>
      <c r="B154" s="927" t="s">
        <v>37</v>
      </c>
      <c r="C154" s="928"/>
      <c r="D154" s="928"/>
      <c r="E154" s="928"/>
      <c r="F154" s="928"/>
      <c r="G154" s="928"/>
      <c r="H154" s="928"/>
      <c r="I154" s="928"/>
    </row>
    <row r="155" spans="1:9" ht="17.25" customHeight="1" x14ac:dyDescent="0.3">
      <c r="A155" s="929"/>
      <c r="B155" s="479" t="s">
        <v>960</v>
      </c>
      <c r="C155" s="306">
        <v>1</v>
      </c>
      <c r="D155" s="306">
        <v>1</v>
      </c>
      <c r="E155" s="306"/>
      <c r="F155" s="306">
        <v>1</v>
      </c>
      <c r="G155" s="306">
        <v>6</v>
      </c>
      <c r="H155" s="306">
        <v>18</v>
      </c>
      <c r="I155" s="306">
        <v>12</v>
      </c>
    </row>
    <row r="156" spans="1:9" ht="17.25" customHeight="1" x14ac:dyDescent="0.3">
      <c r="A156" s="929"/>
      <c r="B156" s="480" t="s">
        <v>959</v>
      </c>
      <c r="C156" s="480">
        <v>1</v>
      </c>
      <c r="D156" s="480">
        <v>1</v>
      </c>
      <c r="E156" s="480"/>
      <c r="F156" s="480">
        <v>1</v>
      </c>
      <c r="G156" s="480">
        <v>6</v>
      </c>
      <c r="H156" s="480">
        <v>18</v>
      </c>
      <c r="I156" s="480">
        <v>12</v>
      </c>
    </row>
    <row r="157" spans="1:9" ht="17.25" customHeight="1" x14ac:dyDescent="0.3">
      <c r="A157" s="929"/>
      <c r="B157" s="480" t="s">
        <v>958</v>
      </c>
      <c r="C157" s="480">
        <v>1</v>
      </c>
      <c r="D157" s="480">
        <v>1</v>
      </c>
      <c r="E157" s="480"/>
      <c r="F157" s="480">
        <v>1</v>
      </c>
      <c r="G157" s="480">
        <v>6</v>
      </c>
      <c r="H157" s="480">
        <v>18</v>
      </c>
      <c r="I157" s="480">
        <v>12</v>
      </c>
    </row>
    <row r="158" spans="1:9" ht="17.25" customHeight="1" x14ac:dyDescent="0.3">
      <c r="A158" s="929"/>
      <c r="B158" s="480" t="s">
        <v>957</v>
      </c>
      <c r="C158" s="480">
        <v>1</v>
      </c>
      <c r="D158" s="480">
        <v>1</v>
      </c>
      <c r="E158" s="480">
        <v>0</v>
      </c>
      <c r="F158" s="480">
        <v>1</v>
      </c>
      <c r="G158" s="480">
        <v>6</v>
      </c>
      <c r="H158" s="480">
        <v>15</v>
      </c>
      <c r="I158" s="480">
        <v>10</v>
      </c>
    </row>
    <row r="159" spans="1:9" ht="17.25" customHeight="1" x14ac:dyDescent="0.3">
      <c r="A159" s="929"/>
      <c r="B159" s="480" t="s">
        <v>956</v>
      </c>
      <c r="C159" s="480">
        <v>1</v>
      </c>
      <c r="D159" s="480">
        <v>1</v>
      </c>
      <c r="E159" s="480"/>
      <c r="F159" s="480">
        <v>1</v>
      </c>
      <c r="G159" s="480">
        <v>5</v>
      </c>
      <c r="H159" s="480">
        <v>15</v>
      </c>
      <c r="I159" s="480">
        <v>9</v>
      </c>
    </row>
    <row r="160" spans="1:9" ht="17.25" customHeight="1" x14ac:dyDescent="0.3">
      <c r="A160" s="929">
        <v>26</v>
      </c>
      <c r="B160" s="927" t="s">
        <v>38</v>
      </c>
      <c r="C160" s="928"/>
      <c r="D160" s="928"/>
      <c r="E160" s="928"/>
      <c r="F160" s="928"/>
      <c r="G160" s="928"/>
      <c r="H160" s="928"/>
      <c r="I160" s="928"/>
    </row>
    <row r="161" spans="1:9" ht="17.25" customHeight="1" x14ac:dyDescent="0.3">
      <c r="A161" s="929"/>
      <c r="B161" s="479" t="s">
        <v>960</v>
      </c>
      <c r="C161" s="306">
        <v>1</v>
      </c>
      <c r="D161" s="306">
        <v>1</v>
      </c>
      <c r="E161" s="306"/>
      <c r="F161" s="306">
        <v>7</v>
      </c>
      <c r="G161" s="306">
        <v>5</v>
      </c>
      <c r="H161" s="306">
        <v>50</v>
      </c>
      <c r="I161" s="306">
        <v>27</v>
      </c>
    </row>
    <row r="162" spans="1:9" ht="17.25" customHeight="1" x14ac:dyDescent="0.3">
      <c r="A162" s="929"/>
      <c r="B162" s="480" t="s">
        <v>959</v>
      </c>
      <c r="C162" s="480">
        <v>1</v>
      </c>
      <c r="D162" s="480"/>
      <c r="E162" s="480"/>
      <c r="F162" s="480">
        <v>7</v>
      </c>
      <c r="G162" s="480">
        <v>5</v>
      </c>
      <c r="H162" s="480">
        <v>49</v>
      </c>
      <c r="I162" s="480">
        <v>27</v>
      </c>
    </row>
    <row r="163" spans="1:9" ht="17.25" customHeight="1" x14ac:dyDescent="0.3">
      <c r="A163" s="929"/>
      <c r="B163" s="480" t="s">
        <v>958</v>
      </c>
      <c r="C163" s="480">
        <v>1</v>
      </c>
      <c r="D163" s="480"/>
      <c r="E163" s="480"/>
      <c r="F163" s="480">
        <v>7</v>
      </c>
      <c r="G163" s="480">
        <v>5</v>
      </c>
      <c r="H163" s="480">
        <v>49</v>
      </c>
      <c r="I163" s="480">
        <v>26</v>
      </c>
    </row>
    <row r="164" spans="1:9" ht="17.25" customHeight="1" x14ac:dyDescent="0.3">
      <c r="A164" s="929"/>
      <c r="B164" s="480" t="s">
        <v>957</v>
      </c>
      <c r="C164" s="480">
        <v>1</v>
      </c>
      <c r="D164" s="480">
        <v>0</v>
      </c>
      <c r="E164" s="480">
        <v>0</v>
      </c>
      <c r="F164" s="480">
        <v>7</v>
      </c>
      <c r="G164" s="480">
        <v>5</v>
      </c>
      <c r="H164" s="480">
        <v>52</v>
      </c>
      <c r="I164" s="480">
        <v>26</v>
      </c>
    </row>
    <row r="165" spans="1:9" ht="17.25" customHeight="1" x14ac:dyDescent="0.3">
      <c r="A165" s="929"/>
      <c r="B165" s="480" t="s">
        <v>956</v>
      </c>
      <c r="C165" s="480">
        <v>1</v>
      </c>
      <c r="D165" s="480"/>
      <c r="E165" s="480"/>
      <c r="F165" s="480">
        <v>7</v>
      </c>
      <c r="G165" s="480">
        <v>5</v>
      </c>
      <c r="H165" s="480">
        <v>50</v>
      </c>
      <c r="I165" s="480">
        <v>25</v>
      </c>
    </row>
    <row r="166" spans="1:9" ht="17.25" customHeight="1" x14ac:dyDescent="0.3">
      <c r="A166" s="929">
        <v>27</v>
      </c>
      <c r="B166" s="927" t="s">
        <v>39</v>
      </c>
      <c r="C166" s="928"/>
      <c r="D166" s="928"/>
      <c r="E166" s="928"/>
      <c r="F166" s="928"/>
      <c r="G166" s="928"/>
      <c r="H166" s="928"/>
      <c r="I166" s="928"/>
    </row>
    <row r="167" spans="1:9" ht="17.25" customHeight="1" x14ac:dyDescent="0.3">
      <c r="A167" s="929"/>
      <c r="B167" s="479" t="s">
        <v>960</v>
      </c>
      <c r="C167" s="306">
        <v>1</v>
      </c>
      <c r="D167" s="306"/>
      <c r="E167" s="306"/>
      <c r="F167" s="306"/>
      <c r="G167" s="306">
        <v>1</v>
      </c>
      <c r="H167" s="306">
        <v>8</v>
      </c>
      <c r="I167" s="306">
        <v>1</v>
      </c>
    </row>
    <row r="168" spans="1:9" ht="17.25" customHeight="1" x14ac:dyDescent="0.3">
      <c r="A168" s="929"/>
      <c r="B168" s="480" t="s">
        <v>959</v>
      </c>
      <c r="C168" s="480">
        <v>1</v>
      </c>
      <c r="D168" s="480"/>
      <c r="E168" s="480"/>
      <c r="F168" s="480"/>
      <c r="G168" s="480">
        <v>1</v>
      </c>
      <c r="H168" s="480">
        <v>8</v>
      </c>
      <c r="I168" s="480">
        <v>1</v>
      </c>
    </row>
    <row r="169" spans="1:9" ht="17.25" customHeight="1" x14ac:dyDescent="0.3">
      <c r="A169" s="929"/>
      <c r="B169" s="480" t="s">
        <v>958</v>
      </c>
      <c r="C169" s="480">
        <v>1</v>
      </c>
      <c r="D169" s="480"/>
      <c r="E169" s="480"/>
      <c r="F169" s="480"/>
      <c r="G169" s="480">
        <v>1</v>
      </c>
      <c r="H169" s="480">
        <v>6</v>
      </c>
      <c r="I169" s="480">
        <v>1</v>
      </c>
    </row>
    <row r="170" spans="1:9" ht="17.25" customHeight="1" x14ac:dyDescent="0.3">
      <c r="A170" s="929"/>
      <c r="B170" s="480" t="s">
        <v>957</v>
      </c>
      <c r="C170" s="480">
        <v>1</v>
      </c>
      <c r="D170" s="480">
        <v>0</v>
      </c>
      <c r="E170" s="480">
        <v>0</v>
      </c>
      <c r="F170" s="480">
        <v>0</v>
      </c>
      <c r="G170" s="480">
        <v>1</v>
      </c>
      <c r="H170" s="480">
        <v>5</v>
      </c>
      <c r="I170" s="480">
        <v>1</v>
      </c>
    </row>
    <row r="171" spans="1:9" ht="17.25" customHeight="1" x14ac:dyDescent="0.3">
      <c r="A171" s="929"/>
      <c r="B171" s="480" t="s">
        <v>956</v>
      </c>
      <c r="C171" s="480">
        <v>1</v>
      </c>
      <c r="D171" s="480"/>
      <c r="E171" s="480"/>
      <c r="F171" s="480"/>
      <c r="G171" s="480">
        <v>1</v>
      </c>
      <c r="H171" s="480">
        <v>5</v>
      </c>
      <c r="I171" s="480">
        <v>1</v>
      </c>
    </row>
    <row r="172" spans="1:9" ht="17.25" customHeight="1" x14ac:dyDescent="0.3">
      <c r="A172" s="929">
        <v>28</v>
      </c>
      <c r="B172" s="927" t="s">
        <v>40</v>
      </c>
      <c r="C172" s="928"/>
      <c r="D172" s="928"/>
      <c r="E172" s="928"/>
      <c r="F172" s="928"/>
      <c r="G172" s="928"/>
      <c r="H172" s="928"/>
      <c r="I172" s="928"/>
    </row>
    <row r="173" spans="1:9" ht="17.25" customHeight="1" x14ac:dyDescent="0.3">
      <c r="A173" s="929"/>
      <c r="B173" s="479" t="s">
        <v>960</v>
      </c>
      <c r="C173" s="306">
        <v>2</v>
      </c>
      <c r="D173" s="306"/>
      <c r="E173" s="306">
        <v>2</v>
      </c>
      <c r="F173" s="306">
        <v>26</v>
      </c>
      <c r="G173" s="306">
        <v>9</v>
      </c>
      <c r="H173" s="306">
        <v>4</v>
      </c>
      <c r="I173" s="306">
        <v>21</v>
      </c>
    </row>
    <row r="174" spans="1:9" ht="17.25" customHeight="1" x14ac:dyDescent="0.3">
      <c r="A174" s="929"/>
      <c r="B174" s="480" t="s">
        <v>959</v>
      </c>
      <c r="C174" s="480">
        <v>2</v>
      </c>
      <c r="D174" s="480"/>
      <c r="E174" s="480">
        <v>2</v>
      </c>
      <c r="F174" s="480">
        <v>26</v>
      </c>
      <c r="G174" s="480">
        <v>9</v>
      </c>
      <c r="H174" s="480">
        <v>4</v>
      </c>
      <c r="I174" s="480">
        <v>21</v>
      </c>
    </row>
    <row r="175" spans="1:9" ht="17.25" customHeight="1" x14ac:dyDescent="0.3">
      <c r="A175" s="929"/>
      <c r="B175" s="480" t="s">
        <v>958</v>
      </c>
      <c r="C175" s="480">
        <v>2</v>
      </c>
      <c r="D175" s="480"/>
      <c r="E175" s="480">
        <v>2</v>
      </c>
      <c r="F175" s="480">
        <v>26</v>
      </c>
      <c r="G175" s="480">
        <v>7</v>
      </c>
      <c r="H175" s="480">
        <v>3</v>
      </c>
      <c r="I175" s="480">
        <v>21</v>
      </c>
    </row>
    <row r="176" spans="1:9" ht="17.25" customHeight="1" x14ac:dyDescent="0.3">
      <c r="A176" s="929"/>
      <c r="B176" s="480" t="s">
        <v>957</v>
      </c>
      <c r="C176" s="480">
        <v>2</v>
      </c>
      <c r="D176" s="480">
        <v>0</v>
      </c>
      <c r="E176" s="480">
        <v>2</v>
      </c>
      <c r="F176" s="480">
        <v>26</v>
      </c>
      <c r="G176" s="480">
        <v>7</v>
      </c>
      <c r="H176" s="480">
        <v>0</v>
      </c>
      <c r="I176" s="480">
        <v>21</v>
      </c>
    </row>
    <row r="177" spans="1:9" ht="17.25" customHeight="1" x14ac:dyDescent="0.3">
      <c r="A177" s="929"/>
      <c r="B177" s="480" t="s">
        <v>956</v>
      </c>
      <c r="C177" s="480">
        <v>2</v>
      </c>
      <c r="D177" s="480"/>
      <c r="E177" s="480">
        <v>2</v>
      </c>
      <c r="F177" s="480">
        <v>26</v>
      </c>
      <c r="G177" s="480">
        <v>7</v>
      </c>
      <c r="H177" s="480"/>
      <c r="I177" s="480">
        <v>21</v>
      </c>
    </row>
    <row r="178" spans="1:9" ht="17.25" customHeight="1" x14ac:dyDescent="0.3">
      <c r="A178" s="929">
        <v>29</v>
      </c>
      <c r="B178" s="927" t="s">
        <v>41</v>
      </c>
      <c r="C178" s="928"/>
      <c r="D178" s="928"/>
      <c r="E178" s="928"/>
      <c r="F178" s="928"/>
      <c r="G178" s="928"/>
      <c r="H178" s="928"/>
      <c r="I178" s="928"/>
    </row>
    <row r="179" spans="1:9" ht="17.25" customHeight="1" x14ac:dyDescent="0.3">
      <c r="A179" s="929"/>
      <c r="B179" s="479" t="s">
        <v>960</v>
      </c>
      <c r="C179" s="306">
        <v>3</v>
      </c>
      <c r="D179" s="306">
        <v>1</v>
      </c>
      <c r="E179" s="306"/>
      <c r="F179" s="306">
        <v>3</v>
      </c>
      <c r="G179" s="306">
        <v>4</v>
      </c>
      <c r="H179" s="306">
        <v>5</v>
      </c>
      <c r="I179" s="306">
        <v>15</v>
      </c>
    </row>
    <row r="180" spans="1:9" ht="17.25" customHeight="1" x14ac:dyDescent="0.3">
      <c r="A180" s="929"/>
      <c r="B180" s="480" t="s">
        <v>959</v>
      </c>
      <c r="C180" s="480">
        <v>3</v>
      </c>
      <c r="D180" s="480">
        <v>1</v>
      </c>
      <c r="E180" s="480"/>
      <c r="F180" s="480">
        <v>2</v>
      </c>
      <c r="G180" s="480">
        <v>4</v>
      </c>
      <c r="H180" s="480">
        <v>5</v>
      </c>
      <c r="I180" s="480">
        <v>15</v>
      </c>
    </row>
    <row r="181" spans="1:9" ht="17.25" customHeight="1" x14ac:dyDescent="0.3">
      <c r="A181" s="929"/>
      <c r="B181" s="480" t="s">
        <v>958</v>
      </c>
      <c r="C181" s="480">
        <v>3</v>
      </c>
      <c r="D181" s="480">
        <v>1</v>
      </c>
      <c r="E181" s="480"/>
      <c r="F181" s="480">
        <v>2</v>
      </c>
      <c r="G181" s="480">
        <v>4</v>
      </c>
      <c r="H181" s="480">
        <v>4</v>
      </c>
      <c r="I181" s="480">
        <v>15</v>
      </c>
    </row>
    <row r="182" spans="1:9" ht="17.25" customHeight="1" x14ac:dyDescent="0.3">
      <c r="A182" s="929"/>
      <c r="B182" s="480" t="s">
        <v>957</v>
      </c>
      <c r="C182" s="480">
        <v>3</v>
      </c>
      <c r="D182" s="480">
        <v>1</v>
      </c>
      <c r="E182" s="480">
        <v>0</v>
      </c>
      <c r="F182" s="480">
        <v>2</v>
      </c>
      <c r="G182" s="480">
        <v>4</v>
      </c>
      <c r="H182" s="480">
        <v>4</v>
      </c>
      <c r="I182" s="480">
        <v>15</v>
      </c>
    </row>
    <row r="183" spans="1:9" ht="17.25" customHeight="1" x14ac:dyDescent="0.3">
      <c r="A183" s="929"/>
      <c r="B183" s="480" t="s">
        <v>956</v>
      </c>
      <c r="C183" s="480">
        <v>3</v>
      </c>
      <c r="D183" s="480"/>
      <c r="E183" s="480"/>
      <c r="F183" s="480">
        <v>2</v>
      </c>
      <c r="G183" s="480">
        <v>2</v>
      </c>
      <c r="H183" s="480"/>
      <c r="I183" s="480">
        <v>15</v>
      </c>
    </row>
    <row r="184" spans="1:9" ht="17.25" customHeight="1" x14ac:dyDescent="0.3">
      <c r="A184" s="929">
        <v>30</v>
      </c>
      <c r="B184" s="927" t="s">
        <v>42</v>
      </c>
      <c r="C184" s="928"/>
      <c r="D184" s="928"/>
      <c r="E184" s="928"/>
      <c r="F184" s="928"/>
      <c r="G184" s="928"/>
      <c r="H184" s="928"/>
      <c r="I184" s="928"/>
    </row>
    <row r="185" spans="1:9" ht="17.25" customHeight="1" x14ac:dyDescent="0.3">
      <c r="A185" s="929"/>
      <c r="B185" s="479" t="s">
        <v>960</v>
      </c>
      <c r="C185" s="306">
        <v>1</v>
      </c>
      <c r="D185" s="306"/>
      <c r="E185" s="306"/>
      <c r="F185" s="306"/>
      <c r="G185" s="306">
        <v>2</v>
      </c>
      <c r="H185" s="306">
        <v>4</v>
      </c>
      <c r="I185" s="306">
        <v>2</v>
      </c>
    </row>
    <row r="186" spans="1:9" ht="17.25" customHeight="1" x14ac:dyDescent="0.3">
      <c r="A186" s="929"/>
      <c r="B186" s="480" t="s">
        <v>959</v>
      </c>
      <c r="C186" s="480">
        <v>1</v>
      </c>
      <c r="D186" s="480"/>
      <c r="E186" s="480"/>
      <c r="F186" s="480"/>
      <c r="G186" s="480">
        <v>2</v>
      </c>
      <c r="H186" s="480">
        <v>1</v>
      </c>
      <c r="I186" s="480">
        <v>1</v>
      </c>
    </row>
    <row r="187" spans="1:9" ht="17.25" customHeight="1" x14ac:dyDescent="0.3">
      <c r="A187" s="929"/>
      <c r="B187" s="480" t="s">
        <v>958</v>
      </c>
      <c r="C187" s="480">
        <v>1</v>
      </c>
      <c r="D187" s="480"/>
      <c r="E187" s="480"/>
      <c r="F187" s="480"/>
      <c r="G187" s="480">
        <v>2</v>
      </c>
      <c r="H187" s="480">
        <v>1</v>
      </c>
      <c r="I187" s="480">
        <v>1</v>
      </c>
    </row>
    <row r="188" spans="1:9" ht="17.25" customHeight="1" x14ac:dyDescent="0.3">
      <c r="A188" s="929"/>
      <c r="B188" s="480" t="s">
        <v>957</v>
      </c>
      <c r="C188" s="480">
        <v>1</v>
      </c>
      <c r="D188" s="480">
        <v>0</v>
      </c>
      <c r="E188" s="480">
        <v>0</v>
      </c>
      <c r="F188" s="480">
        <v>0</v>
      </c>
      <c r="G188" s="480">
        <v>2</v>
      </c>
      <c r="H188" s="480">
        <v>1</v>
      </c>
      <c r="I188" s="480">
        <v>1</v>
      </c>
    </row>
    <row r="189" spans="1:9" ht="17.25" customHeight="1" x14ac:dyDescent="0.3">
      <c r="A189" s="929"/>
      <c r="B189" s="480" t="s">
        <v>956</v>
      </c>
      <c r="C189" s="480">
        <v>1</v>
      </c>
      <c r="D189" s="480"/>
      <c r="E189" s="480"/>
      <c r="F189" s="480"/>
      <c r="G189" s="480">
        <v>1</v>
      </c>
      <c r="H189" s="480">
        <v>1</v>
      </c>
      <c r="I189" s="480">
        <v>1</v>
      </c>
    </row>
    <row r="190" spans="1:9" ht="17.25" customHeight="1" x14ac:dyDescent="0.3">
      <c r="A190" s="929">
        <v>31</v>
      </c>
      <c r="B190" s="927" t="s">
        <v>43</v>
      </c>
      <c r="C190" s="928"/>
      <c r="D190" s="928"/>
      <c r="E190" s="928"/>
      <c r="F190" s="928"/>
      <c r="G190" s="928"/>
      <c r="H190" s="928"/>
      <c r="I190" s="928"/>
    </row>
    <row r="191" spans="1:9" ht="17.25" customHeight="1" x14ac:dyDescent="0.3">
      <c r="A191" s="929"/>
      <c r="B191" s="479" t="s">
        <v>960</v>
      </c>
      <c r="C191" s="306">
        <v>6</v>
      </c>
      <c r="D191" s="306">
        <v>2</v>
      </c>
      <c r="E191" s="306">
        <v>2</v>
      </c>
      <c r="F191" s="306">
        <v>5</v>
      </c>
      <c r="G191" s="306">
        <v>12</v>
      </c>
      <c r="H191" s="306">
        <v>38</v>
      </c>
      <c r="I191" s="306">
        <v>36</v>
      </c>
    </row>
    <row r="192" spans="1:9" ht="17.25" customHeight="1" x14ac:dyDescent="0.3">
      <c r="A192" s="929"/>
      <c r="B192" s="480" t="s">
        <v>959</v>
      </c>
      <c r="C192" s="480">
        <v>6</v>
      </c>
      <c r="D192" s="480">
        <v>2</v>
      </c>
      <c r="E192" s="480">
        <v>2</v>
      </c>
      <c r="F192" s="480">
        <v>5</v>
      </c>
      <c r="G192" s="480">
        <v>11</v>
      </c>
      <c r="H192" s="480">
        <v>31</v>
      </c>
      <c r="I192" s="480">
        <v>35</v>
      </c>
    </row>
    <row r="193" spans="1:9" ht="17.25" customHeight="1" x14ac:dyDescent="0.3">
      <c r="A193" s="929"/>
      <c r="B193" s="480" t="s">
        <v>958</v>
      </c>
      <c r="C193" s="480">
        <v>6</v>
      </c>
      <c r="D193" s="480">
        <v>2</v>
      </c>
      <c r="E193" s="480">
        <v>3</v>
      </c>
      <c r="F193" s="480">
        <v>4</v>
      </c>
      <c r="G193" s="480">
        <v>11</v>
      </c>
      <c r="H193" s="480">
        <v>31</v>
      </c>
      <c r="I193" s="480">
        <v>32</v>
      </c>
    </row>
    <row r="194" spans="1:9" ht="17.25" customHeight="1" x14ac:dyDescent="0.3">
      <c r="A194" s="929"/>
      <c r="B194" s="480" t="s">
        <v>957</v>
      </c>
      <c r="C194" s="480">
        <v>5</v>
      </c>
      <c r="D194" s="480">
        <v>2</v>
      </c>
      <c r="E194" s="480">
        <v>3</v>
      </c>
      <c r="F194" s="480">
        <v>4</v>
      </c>
      <c r="G194" s="480">
        <v>11</v>
      </c>
      <c r="H194" s="480">
        <v>29</v>
      </c>
      <c r="I194" s="480">
        <v>28</v>
      </c>
    </row>
    <row r="195" spans="1:9" ht="17.25" customHeight="1" x14ac:dyDescent="0.3">
      <c r="A195" s="929"/>
      <c r="B195" s="480" t="s">
        <v>956</v>
      </c>
      <c r="C195" s="480">
        <v>4</v>
      </c>
      <c r="D195" s="480">
        <v>2</v>
      </c>
      <c r="E195" s="480">
        <v>3</v>
      </c>
      <c r="F195" s="480">
        <v>4</v>
      </c>
      <c r="G195" s="480">
        <v>9</v>
      </c>
      <c r="H195" s="480">
        <v>29</v>
      </c>
      <c r="I195" s="480">
        <v>28</v>
      </c>
    </row>
    <row r="196" spans="1:9" ht="17.25" customHeight="1" x14ac:dyDescent="0.3">
      <c r="A196" s="929">
        <v>32</v>
      </c>
      <c r="B196" s="927" t="s">
        <v>44</v>
      </c>
      <c r="C196" s="928"/>
      <c r="D196" s="928"/>
      <c r="E196" s="928"/>
      <c r="F196" s="928"/>
      <c r="G196" s="928"/>
      <c r="H196" s="928"/>
      <c r="I196" s="928"/>
    </row>
    <row r="197" spans="1:9" ht="17.25" customHeight="1" x14ac:dyDescent="0.3">
      <c r="A197" s="929"/>
      <c r="B197" s="479" t="s">
        <v>960</v>
      </c>
      <c r="C197" s="306">
        <v>1</v>
      </c>
      <c r="D197" s="306">
        <v>1</v>
      </c>
      <c r="E197" s="306">
        <v>1</v>
      </c>
      <c r="F197" s="306">
        <v>1</v>
      </c>
      <c r="G197" s="306">
        <v>4</v>
      </c>
      <c r="H197" s="306">
        <v>22</v>
      </c>
      <c r="I197" s="306">
        <v>10</v>
      </c>
    </row>
    <row r="198" spans="1:9" ht="17.25" customHeight="1" x14ac:dyDescent="0.3">
      <c r="A198" s="929"/>
      <c r="B198" s="480" t="s">
        <v>959</v>
      </c>
      <c r="C198" s="480">
        <v>1</v>
      </c>
      <c r="D198" s="480">
        <v>1</v>
      </c>
      <c r="E198" s="480">
        <v>1</v>
      </c>
      <c r="F198" s="480">
        <v>1</v>
      </c>
      <c r="G198" s="480">
        <v>4</v>
      </c>
      <c r="H198" s="480">
        <v>21</v>
      </c>
      <c r="I198" s="480">
        <v>10</v>
      </c>
    </row>
    <row r="199" spans="1:9" ht="17.25" customHeight="1" x14ac:dyDescent="0.3">
      <c r="A199" s="929"/>
      <c r="B199" s="480" t="s">
        <v>958</v>
      </c>
      <c r="C199" s="480">
        <v>1</v>
      </c>
      <c r="D199" s="480">
        <v>1</v>
      </c>
      <c r="E199" s="480">
        <v>1</v>
      </c>
      <c r="F199" s="480">
        <v>1</v>
      </c>
      <c r="G199" s="480">
        <v>4</v>
      </c>
      <c r="H199" s="480">
        <v>19</v>
      </c>
      <c r="I199" s="480">
        <v>10</v>
      </c>
    </row>
    <row r="200" spans="1:9" ht="17.25" customHeight="1" x14ac:dyDescent="0.3">
      <c r="A200" s="929"/>
      <c r="B200" s="480" t="s">
        <v>957</v>
      </c>
      <c r="C200" s="480">
        <v>1</v>
      </c>
      <c r="D200" s="480">
        <v>1</v>
      </c>
      <c r="E200" s="480">
        <v>1</v>
      </c>
      <c r="F200" s="480">
        <v>1</v>
      </c>
      <c r="G200" s="480">
        <v>4</v>
      </c>
      <c r="H200" s="480">
        <v>17</v>
      </c>
      <c r="I200" s="480">
        <v>11</v>
      </c>
    </row>
    <row r="201" spans="1:9" ht="17.25" customHeight="1" x14ac:dyDescent="0.3">
      <c r="A201" s="929"/>
      <c r="B201" s="480" t="s">
        <v>956</v>
      </c>
      <c r="C201" s="480">
        <v>1</v>
      </c>
      <c r="D201" s="480">
        <v>1</v>
      </c>
      <c r="E201" s="480">
        <v>1</v>
      </c>
      <c r="F201" s="480">
        <v>1</v>
      </c>
      <c r="G201" s="480">
        <v>4</v>
      </c>
      <c r="H201" s="480">
        <v>17</v>
      </c>
      <c r="I201" s="480">
        <v>10</v>
      </c>
    </row>
    <row r="202" spans="1:9" ht="17.25" customHeight="1" x14ac:dyDescent="0.3">
      <c r="A202" s="929">
        <v>33</v>
      </c>
      <c r="B202" s="927" t="s">
        <v>45</v>
      </c>
      <c r="C202" s="928"/>
      <c r="D202" s="928"/>
      <c r="E202" s="928"/>
      <c r="F202" s="928"/>
      <c r="G202" s="928"/>
      <c r="H202" s="928"/>
      <c r="I202" s="928"/>
    </row>
    <row r="203" spans="1:9" ht="17.25" customHeight="1" x14ac:dyDescent="0.3">
      <c r="A203" s="929"/>
      <c r="B203" s="479" t="s">
        <v>960</v>
      </c>
      <c r="C203" s="306">
        <v>1</v>
      </c>
      <c r="D203" s="306">
        <v>1</v>
      </c>
      <c r="E203" s="306"/>
      <c r="F203" s="306">
        <v>1</v>
      </c>
      <c r="G203" s="306">
        <v>8</v>
      </c>
      <c r="H203" s="306">
        <v>11</v>
      </c>
      <c r="I203" s="306">
        <v>36</v>
      </c>
    </row>
    <row r="204" spans="1:9" ht="17.25" customHeight="1" x14ac:dyDescent="0.3">
      <c r="A204" s="929"/>
      <c r="B204" s="480" t="s">
        <v>959</v>
      </c>
      <c r="C204" s="480">
        <v>1</v>
      </c>
      <c r="D204" s="480">
        <v>1</v>
      </c>
      <c r="E204" s="480"/>
      <c r="F204" s="480">
        <v>1</v>
      </c>
      <c r="G204" s="480">
        <v>8</v>
      </c>
      <c r="H204" s="480">
        <v>11</v>
      </c>
      <c r="I204" s="480">
        <v>36</v>
      </c>
    </row>
    <row r="205" spans="1:9" ht="17.25" customHeight="1" x14ac:dyDescent="0.3">
      <c r="A205" s="929"/>
      <c r="B205" s="480" t="s">
        <v>958</v>
      </c>
      <c r="C205" s="480">
        <v>1</v>
      </c>
      <c r="D205" s="480">
        <v>1</v>
      </c>
      <c r="E205" s="480"/>
      <c r="F205" s="480">
        <v>1</v>
      </c>
      <c r="G205" s="480">
        <v>8</v>
      </c>
      <c r="H205" s="480">
        <v>11</v>
      </c>
      <c r="I205" s="480">
        <v>35</v>
      </c>
    </row>
    <row r="206" spans="1:9" ht="17.25" customHeight="1" x14ac:dyDescent="0.3">
      <c r="A206" s="929"/>
      <c r="B206" s="480" t="s">
        <v>957</v>
      </c>
      <c r="C206" s="480">
        <v>1</v>
      </c>
      <c r="D206" s="480">
        <v>1</v>
      </c>
      <c r="E206" s="480">
        <v>0</v>
      </c>
      <c r="F206" s="480">
        <v>1</v>
      </c>
      <c r="G206" s="480">
        <v>8</v>
      </c>
      <c r="H206" s="480">
        <v>11</v>
      </c>
      <c r="I206" s="480">
        <v>29</v>
      </c>
    </row>
    <row r="207" spans="1:9" ht="17.25" customHeight="1" x14ac:dyDescent="0.3">
      <c r="A207" s="929"/>
      <c r="B207" s="480" t="s">
        <v>956</v>
      </c>
      <c r="C207" s="480">
        <v>1</v>
      </c>
      <c r="D207" s="480">
        <v>1</v>
      </c>
      <c r="E207" s="480"/>
      <c r="F207" s="480">
        <v>1</v>
      </c>
      <c r="G207" s="480">
        <v>8</v>
      </c>
      <c r="H207" s="480">
        <v>10</v>
      </c>
      <c r="I207" s="480">
        <v>25</v>
      </c>
    </row>
  </sheetData>
  <mergeCells count="69">
    <mergeCell ref="A28:A33"/>
    <mergeCell ref="A1:I1"/>
    <mergeCell ref="A4:A9"/>
    <mergeCell ref="A10:A15"/>
    <mergeCell ref="A16:A21"/>
    <mergeCell ref="A22:A27"/>
    <mergeCell ref="B4:I4"/>
    <mergeCell ref="B10:I10"/>
    <mergeCell ref="B16:I16"/>
    <mergeCell ref="B22:I22"/>
    <mergeCell ref="B28:I28"/>
    <mergeCell ref="A100:A105"/>
    <mergeCell ref="A34:A39"/>
    <mergeCell ref="A40:A45"/>
    <mergeCell ref="A46:A51"/>
    <mergeCell ref="A52:A57"/>
    <mergeCell ref="A58:A63"/>
    <mergeCell ref="A64:A69"/>
    <mergeCell ref="A70:A75"/>
    <mergeCell ref="A76:A81"/>
    <mergeCell ref="A82:A87"/>
    <mergeCell ref="A88:A93"/>
    <mergeCell ref="A94:A99"/>
    <mergeCell ref="A172:A177"/>
    <mergeCell ref="A106:A111"/>
    <mergeCell ref="A112:A117"/>
    <mergeCell ref="A118:A123"/>
    <mergeCell ref="A124:A129"/>
    <mergeCell ref="A130:A135"/>
    <mergeCell ref="A136:A141"/>
    <mergeCell ref="A142:A147"/>
    <mergeCell ref="A148:A153"/>
    <mergeCell ref="A154:A159"/>
    <mergeCell ref="A160:A165"/>
    <mergeCell ref="A166:A171"/>
    <mergeCell ref="A178:A183"/>
    <mergeCell ref="A184:A189"/>
    <mergeCell ref="A190:A195"/>
    <mergeCell ref="A196:A201"/>
    <mergeCell ref="A202:A207"/>
    <mergeCell ref="B34:I34"/>
    <mergeCell ref="B40:I40"/>
    <mergeCell ref="B46:I46"/>
    <mergeCell ref="B52:I52"/>
    <mergeCell ref="B58:I58"/>
    <mergeCell ref="B64:I64"/>
    <mergeCell ref="B70:I70"/>
    <mergeCell ref="B76:I76"/>
    <mergeCell ref="B82:I82"/>
    <mergeCell ref="B88:I88"/>
    <mergeCell ref="B94:I94"/>
    <mergeCell ref="B100:I100"/>
    <mergeCell ref="B106:I106"/>
    <mergeCell ref="B112:I112"/>
    <mergeCell ref="B118:I118"/>
    <mergeCell ref="B124:I124"/>
    <mergeCell ref="B130:I130"/>
    <mergeCell ref="B136:I136"/>
    <mergeCell ref="B142:I142"/>
    <mergeCell ref="B148:I148"/>
    <mergeCell ref="B184:I184"/>
    <mergeCell ref="B190:I190"/>
    <mergeCell ref="B196:I196"/>
    <mergeCell ref="B202:I202"/>
    <mergeCell ref="B154:I154"/>
    <mergeCell ref="B160:I160"/>
    <mergeCell ref="B166:I166"/>
    <mergeCell ref="B172:I172"/>
    <mergeCell ref="B178:I178"/>
  </mergeCells>
  <pageMargins left="0.59055118110236227" right="0.23622047244094491" top="0.39370078740157483" bottom="0.39370078740157483" header="0.31496062992125984" footer="0.19685039370078741"/>
  <pageSetup paperSize="9" scale="90" firstPageNumber="2" orientation="portrait" r:id="rId1"/>
  <headerFooter>
    <oddFooter>&amp;L&amp;"Arial,Italic"&amp;9AISHE 2023-24&amp;RT-41</oddFooter>
  </headerFooter>
  <rowBreaks count="4" manualBreakCount="4">
    <brk id="45" max="8" man="1"/>
    <brk id="87" max="8" man="1"/>
    <brk id="129" max="8" man="1"/>
    <brk id="171" max="8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5F32-0FBC-49CA-9275-1C4291E4F4EB}">
  <dimension ref="A1:Q41"/>
  <sheetViews>
    <sheetView view="pageBreakPreview" zoomScaleNormal="60" zoomScaleSheetLayoutView="100" workbookViewId="0">
      <pane xSplit="2" ySplit="4" topLeftCell="S5" activePane="bottomRight" state="frozen"/>
      <selection activeCell="H18" sqref="H18"/>
      <selection pane="topRight" activeCell="H18" sqref="H18"/>
      <selection pane="bottomLeft" activeCell="H18" sqref="H18"/>
      <selection pane="bottomRight" activeCell="A41" sqref="A41"/>
    </sheetView>
  </sheetViews>
  <sheetFormatPr defaultColWidth="9.1796875" defaultRowHeight="14" x14ac:dyDescent="0.3"/>
  <cols>
    <col min="1" max="1" width="8.54296875" style="474" bestFit="1" customWidth="1"/>
    <col min="2" max="2" width="35.54296875" style="477" customWidth="1"/>
    <col min="3" max="5" width="15.7265625" style="483" customWidth="1"/>
    <col min="6" max="6" width="16" style="483" customWidth="1"/>
    <col min="7" max="10" width="15.7265625" style="483" customWidth="1"/>
    <col min="11" max="11" width="16" style="483" customWidth="1"/>
    <col min="12" max="12" width="15.7265625" style="483" customWidth="1"/>
    <col min="13" max="17" width="16.1796875" style="483" customWidth="1"/>
    <col min="18" max="18" width="15.1796875" style="474" customWidth="1"/>
    <col min="19" max="19" width="11.1796875" style="474" bestFit="1" customWidth="1"/>
    <col min="20" max="16384" width="9.1796875" style="474"/>
  </cols>
  <sheetData>
    <row r="1" spans="1:17" s="484" customFormat="1" ht="36.75" customHeight="1" x14ac:dyDescent="0.3">
      <c r="A1" s="474"/>
      <c r="B1" s="626"/>
      <c r="C1" s="934" t="s">
        <v>1020</v>
      </c>
      <c r="D1" s="934"/>
      <c r="E1" s="934"/>
      <c r="F1" s="934"/>
      <c r="G1" s="934"/>
      <c r="H1" s="934" t="str">
        <f>C1</f>
        <v>Table 42. Trends in Various College Indicators Over the Last 5 Years</v>
      </c>
      <c r="I1" s="934"/>
      <c r="J1" s="934"/>
      <c r="K1" s="934"/>
      <c r="L1" s="934"/>
      <c r="M1" s="934" t="str">
        <f>H1</f>
        <v>Table 42. Trends in Various College Indicators Over the Last 5 Years</v>
      </c>
      <c r="N1" s="934"/>
      <c r="O1" s="934"/>
      <c r="P1" s="934"/>
      <c r="Q1" s="934"/>
    </row>
    <row r="2" spans="1:17" s="485" customFormat="1" ht="18" customHeight="1" x14ac:dyDescent="0.3">
      <c r="A2" s="932" t="s">
        <v>48</v>
      </c>
      <c r="B2" s="932" t="s">
        <v>1</v>
      </c>
      <c r="C2" s="933" t="s">
        <v>963</v>
      </c>
      <c r="D2" s="933"/>
      <c r="E2" s="933"/>
      <c r="F2" s="933"/>
      <c r="G2" s="933"/>
      <c r="H2" s="933" t="s">
        <v>964</v>
      </c>
      <c r="I2" s="933"/>
      <c r="J2" s="933"/>
      <c r="K2" s="933"/>
      <c r="L2" s="933"/>
      <c r="M2" s="933" t="s">
        <v>926</v>
      </c>
      <c r="N2" s="933"/>
      <c r="O2" s="933"/>
      <c r="P2" s="933"/>
      <c r="Q2" s="933"/>
    </row>
    <row r="3" spans="1:17" s="485" customFormat="1" ht="24" customHeight="1" x14ac:dyDescent="0.3">
      <c r="A3" s="932"/>
      <c r="B3" s="932"/>
      <c r="C3" s="475" t="s">
        <v>956</v>
      </c>
      <c r="D3" s="475" t="s">
        <v>957</v>
      </c>
      <c r="E3" s="475" t="s">
        <v>958</v>
      </c>
      <c r="F3" s="475" t="s">
        <v>959</v>
      </c>
      <c r="G3" s="475" t="s">
        <v>960</v>
      </c>
      <c r="H3" s="475" t="s">
        <v>956</v>
      </c>
      <c r="I3" s="475" t="s">
        <v>957</v>
      </c>
      <c r="J3" s="475" t="s">
        <v>958</v>
      </c>
      <c r="K3" s="475" t="s">
        <v>959</v>
      </c>
      <c r="L3" s="475" t="s">
        <v>960</v>
      </c>
      <c r="M3" s="475" t="s">
        <v>956</v>
      </c>
      <c r="N3" s="475" t="s">
        <v>957</v>
      </c>
      <c r="O3" s="475" t="s">
        <v>958</v>
      </c>
      <c r="P3" s="475" t="s">
        <v>959</v>
      </c>
      <c r="Q3" s="475" t="s">
        <v>960</v>
      </c>
    </row>
    <row r="4" spans="1:17" s="487" customFormat="1" ht="15.75" customHeight="1" x14ac:dyDescent="0.25">
      <c r="A4" s="486">
        <v>1</v>
      </c>
      <c r="B4" s="486">
        <v>2</v>
      </c>
      <c r="C4" s="486">
        <v>3</v>
      </c>
      <c r="D4" s="486">
        <v>4</v>
      </c>
      <c r="E4" s="486">
        <v>5</v>
      </c>
      <c r="F4" s="486">
        <v>6</v>
      </c>
      <c r="G4" s="486">
        <v>7</v>
      </c>
      <c r="H4" s="486">
        <v>3</v>
      </c>
      <c r="I4" s="486">
        <v>4</v>
      </c>
      <c r="J4" s="486">
        <v>5</v>
      </c>
      <c r="K4" s="486">
        <v>6</v>
      </c>
      <c r="L4" s="486">
        <v>7</v>
      </c>
      <c r="M4" s="486">
        <v>3</v>
      </c>
      <c r="N4" s="486">
        <v>4</v>
      </c>
      <c r="O4" s="486">
        <v>5</v>
      </c>
      <c r="P4" s="486">
        <v>6</v>
      </c>
      <c r="Q4" s="486">
        <v>7</v>
      </c>
    </row>
    <row r="5" spans="1:17" s="490" customFormat="1" ht="26.25" customHeight="1" x14ac:dyDescent="0.35">
      <c r="A5" s="488"/>
      <c r="B5" s="489" t="s">
        <v>46</v>
      </c>
      <c r="C5" s="492">
        <v>679.60803403829311</v>
      </c>
      <c r="D5" s="492">
        <v>646</v>
      </c>
      <c r="E5" s="492">
        <v>709</v>
      </c>
      <c r="F5" s="492">
        <v>687.89934884777949</v>
      </c>
      <c r="G5" s="627">
        <v>670</v>
      </c>
      <c r="H5" s="627">
        <v>30</v>
      </c>
      <c r="I5" s="627">
        <v>31</v>
      </c>
      <c r="J5" s="627">
        <v>29.827745853284753</v>
      </c>
      <c r="K5" s="627">
        <v>30.843934612763874</v>
      </c>
      <c r="L5" s="627">
        <v>32.186633390702973</v>
      </c>
      <c r="M5" s="627">
        <v>42343</v>
      </c>
      <c r="N5" s="627">
        <v>43796</v>
      </c>
      <c r="O5" s="627">
        <v>45473</v>
      </c>
      <c r="P5" s="627">
        <v>46624</v>
      </c>
      <c r="Q5" s="627">
        <v>48246</v>
      </c>
    </row>
    <row r="6" spans="1:17" s="491" customFormat="1" ht="28.4" customHeight="1" x14ac:dyDescent="0.35">
      <c r="A6" s="480">
        <v>1</v>
      </c>
      <c r="B6" s="249" t="s">
        <v>56</v>
      </c>
      <c r="C6" s="493">
        <v>738.5</v>
      </c>
      <c r="D6" s="493">
        <v>845.33333333333337</v>
      </c>
      <c r="E6" s="493">
        <v>808</v>
      </c>
      <c r="F6" s="493">
        <v>335.88888888888891</v>
      </c>
      <c r="G6" s="627">
        <v>548.66666666666663</v>
      </c>
      <c r="H6" s="628">
        <v>15.781894221853978</v>
      </c>
      <c r="I6" s="629">
        <v>17.319016279875303</v>
      </c>
      <c r="J6" s="629">
        <v>17.813795327053992</v>
      </c>
      <c r="K6" s="629">
        <v>24.954174097974992</v>
      </c>
      <c r="L6" s="627">
        <v>25.228616270996056</v>
      </c>
      <c r="M6" s="629">
        <v>8</v>
      </c>
      <c r="N6" s="629">
        <v>9</v>
      </c>
      <c r="O6" s="629">
        <v>9</v>
      </c>
      <c r="P6" s="629">
        <v>9</v>
      </c>
      <c r="Q6" s="627">
        <v>9</v>
      </c>
    </row>
    <row r="7" spans="1:17" s="491" customFormat="1" ht="26.25" customHeight="1" x14ac:dyDescent="0.35">
      <c r="A7" s="480">
        <v>2</v>
      </c>
      <c r="B7" s="489" t="s">
        <v>13</v>
      </c>
      <c r="C7" s="493">
        <v>546.52738904438229</v>
      </c>
      <c r="D7" s="493">
        <v>540.55478662053054</v>
      </c>
      <c r="E7" s="493">
        <v>554</v>
      </c>
      <c r="F7" s="493">
        <v>533.10337367733234</v>
      </c>
      <c r="G7" s="627">
        <v>516.83287778211638</v>
      </c>
      <c r="H7" s="628">
        <v>51.03848468780501</v>
      </c>
      <c r="I7" s="629">
        <v>48.758394935875494</v>
      </c>
      <c r="J7" s="629">
        <v>49.233680227057711</v>
      </c>
      <c r="K7" s="629">
        <v>50.007720219254225</v>
      </c>
      <c r="L7" s="627">
        <v>50.80435672847937</v>
      </c>
      <c r="M7" s="629">
        <v>2750</v>
      </c>
      <c r="N7" s="629">
        <v>2601</v>
      </c>
      <c r="O7" s="629">
        <v>2602</v>
      </c>
      <c r="P7" s="629">
        <v>2591</v>
      </c>
      <c r="Q7" s="627">
        <v>2587</v>
      </c>
    </row>
    <row r="8" spans="1:17" s="491" customFormat="1" ht="26.25" customHeight="1" x14ac:dyDescent="0.35">
      <c r="A8" s="480">
        <v>3</v>
      </c>
      <c r="B8" s="489" t="s">
        <v>14</v>
      </c>
      <c r="C8" s="493">
        <v>552.97368421052636</v>
      </c>
      <c r="D8" s="493">
        <v>547.11904761904759</v>
      </c>
      <c r="E8" s="493">
        <v>666</v>
      </c>
      <c r="F8" s="493">
        <v>644.72727272727275</v>
      </c>
      <c r="G8" s="627">
        <v>642.46511627906978</v>
      </c>
      <c r="H8" s="628">
        <v>24.721252036333901</v>
      </c>
      <c r="I8" s="629">
        <v>26.809138086210528</v>
      </c>
      <c r="J8" s="629">
        <v>24.763619990995046</v>
      </c>
      <c r="K8" s="629">
        <v>24.849095396919687</v>
      </c>
      <c r="L8" s="627">
        <v>24.368454661413359</v>
      </c>
      <c r="M8" s="629">
        <v>39</v>
      </c>
      <c r="N8" s="629">
        <v>42</v>
      </c>
      <c r="O8" s="629">
        <v>44</v>
      </c>
      <c r="P8" s="629">
        <v>44</v>
      </c>
      <c r="Q8" s="627">
        <v>43</v>
      </c>
    </row>
    <row r="9" spans="1:17" s="491" customFormat="1" ht="26.25" customHeight="1" x14ac:dyDescent="0.35">
      <c r="A9" s="480">
        <v>4</v>
      </c>
      <c r="B9" s="489" t="s">
        <v>15</v>
      </c>
      <c r="C9" s="493">
        <v>870.01688555347096</v>
      </c>
      <c r="D9" s="493">
        <v>795.42857142857144</v>
      </c>
      <c r="E9" s="493">
        <v>906</v>
      </c>
      <c r="F9" s="493">
        <v>851.94667393675036</v>
      </c>
      <c r="G9" s="627">
        <v>863.98802395209577</v>
      </c>
      <c r="H9" s="628">
        <v>14.84070971571796</v>
      </c>
      <c r="I9" s="629">
        <v>15.762361864091353</v>
      </c>
      <c r="J9" s="629">
        <v>15.103259517292859</v>
      </c>
      <c r="K9" s="629">
        <v>16.308136639776915</v>
      </c>
      <c r="L9" s="627">
        <v>16.76631788739412</v>
      </c>
      <c r="M9" s="629">
        <v>558</v>
      </c>
      <c r="N9" s="629">
        <v>595</v>
      </c>
      <c r="O9" s="629">
        <v>607</v>
      </c>
      <c r="P9" s="629">
        <v>655</v>
      </c>
      <c r="Q9" s="627">
        <v>673</v>
      </c>
    </row>
    <row r="10" spans="1:17" s="491" customFormat="1" ht="26.25" customHeight="1" x14ac:dyDescent="0.35">
      <c r="A10" s="480">
        <v>5</v>
      </c>
      <c r="B10" s="489" t="s">
        <v>16</v>
      </c>
      <c r="C10" s="493">
        <v>1703.0509849362688</v>
      </c>
      <c r="D10" s="493">
        <v>1880.6299516908211</v>
      </c>
      <c r="E10" s="493">
        <v>2088</v>
      </c>
      <c r="F10" s="493">
        <v>1922.8173803627701</v>
      </c>
      <c r="G10" s="627">
        <v>1884.0921366163623</v>
      </c>
      <c r="H10" s="628">
        <v>7.269127036062522</v>
      </c>
      <c r="I10" s="629">
        <v>8.4588457132694845</v>
      </c>
      <c r="J10" s="629">
        <v>7.1029010016911673</v>
      </c>
      <c r="K10" s="629">
        <v>7.54501888077918</v>
      </c>
      <c r="L10" s="627">
        <v>8.1052957763828228</v>
      </c>
      <c r="M10" s="629">
        <v>874</v>
      </c>
      <c r="N10" s="629">
        <v>1035</v>
      </c>
      <c r="O10" s="629">
        <v>1092</v>
      </c>
      <c r="P10" s="629">
        <v>1175</v>
      </c>
      <c r="Q10" s="627">
        <v>1261</v>
      </c>
    </row>
    <row r="11" spans="1:17" s="491" customFormat="1" ht="26.25" customHeight="1" x14ac:dyDescent="0.35">
      <c r="A11" s="480">
        <v>6</v>
      </c>
      <c r="B11" s="489" t="s">
        <v>17</v>
      </c>
      <c r="C11" s="493">
        <v>2022.24</v>
      </c>
      <c r="D11" s="493">
        <v>1890.2307692307693</v>
      </c>
      <c r="E11" s="493">
        <v>1888</v>
      </c>
      <c r="F11" s="493">
        <v>1883.0384615384614</v>
      </c>
      <c r="G11" s="627">
        <v>1941.84</v>
      </c>
      <c r="H11" s="628">
        <v>12.22189087318077</v>
      </c>
      <c r="I11" s="629">
        <v>12.153678591295161</v>
      </c>
      <c r="J11" s="629">
        <v>15.184311681101704</v>
      </c>
      <c r="K11" s="629">
        <v>20.357942164115808</v>
      </c>
      <c r="L11" s="627">
        <v>19.706481736058105</v>
      </c>
      <c r="M11" s="629">
        <v>25</v>
      </c>
      <c r="N11" s="629">
        <v>26</v>
      </c>
      <c r="O11" s="629">
        <v>26</v>
      </c>
      <c r="P11" s="629">
        <v>26</v>
      </c>
      <c r="Q11" s="627">
        <v>25</v>
      </c>
    </row>
    <row r="12" spans="1:17" s="491" customFormat="1" ht="26.25" customHeight="1" x14ac:dyDescent="0.35">
      <c r="A12" s="480">
        <v>7</v>
      </c>
      <c r="B12" s="489" t="s">
        <v>18</v>
      </c>
      <c r="C12" s="493">
        <v>557.02106567534076</v>
      </c>
      <c r="D12" s="493">
        <v>545.62643678160919</v>
      </c>
      <c r="E12" s="493">
        <v>606</v>
      </c>
      <c r="F12" s="493">
        <v>588.04345703232377</v>
      </c>
      <c r="G12" s="627">
        <v>482.04247104247105</v>
      </c>
      <c r="H12" s="628">
        <v>25.551308921002924</v>
      </c>
      <c r="I12" s="629">
        <v>27.264547908354768</v>
      </c>
      <c r="J12" s="629">
        <v>27.356801909307876</v>
      </c>
      <c r="K12" s="629">
        <v>28.947684185265182</v>
      </c>
      <c r="L12" s="627">
        <v>31.344274164353806</v>
      </c>
      <c r="M12" s="629">
        <v>810</v>
      </c>
      <c r="N12" s="629">
        <v>870</v>
      </c>
      <c r="O12" s="629">
        <v>917</v>
      </c>
      <c r="P12" s="629">
        <v>965</v>
      </c>
      <c r="Q12" s="627">
        <v>1039</v>
      </c>
    </row>
    <row r="13" spans="1:17" s="491" customFormat="1" ht="26.25" customHeight="1" x14ac:dyDescent="0.35">
      <c r="A13" s="480">
        <v>8</v>
      </c>
      <c r="B13" s="489" t="s">
        <v>19</v>
      </c>
      <c r="C13" s="493">
        <v>1620.0977011494253</v>
      </c>
      <c r="D13" s="493">
        <v>1566.5722222222223</v>
      </c>
      <c r="E13" s="493">
        <v>1752</v>
      </c>
      <c r="F13" s="493">
        <v>2207.1376265132299</v>
      </c>
      <c r="G13" s="627">
        <v>1747</v>
      </c>
      <c r="H13" s="628">
        <v>7.5875396491335154</v>
      </c>
      <c r="I13" s="629">
        <v>7.5316580694184552</v>
      </c>
      <c r="J13" s="629">
        <v>8.0376229157759731</v>
      </c>
      <c r="K13" s="629">
        <v>7.7386124038566475</v>
      </c>
      <c r="L13" s="627">
        <v>7.6462434546012563</v>
      </c>
      <c r="M13" s="629">
        <v>179</v>
      </c>
      <c r="N13" s="629">
        <v>180</v>
      </c>
      <c r="O13" s="629">
        <v>188</v>
      </c>
      <c r="P13" s="629">
        <v>196</v>
      </c>
      <c r="Q13" s="627">
        <v>194</v>
      </c>
    </row>
    <row r="14" spans="1:17" s="491" customFormat="1" ht="26.25" customHeight="1" x14ac:dyDescent="0.35">
      <c r="A14" s="480">
        <v>9</v>
      </c>
      <c r="B14" s="489" t="s">
        <v>20</v>
      </c>
      <c r="C14" s="493">
        <v>670.32758620689651</v>
      </c>
      <c r="D14" s="493">
        <v>684.01639344262298</v>
      </c>
      <c r="E14" s="493">
        <v>680</v>
      </c>
      <c r="F14" s="493">
        <v>670.96825396825398</v>
      </c>
      <c r="G14" s="627">
        <v>646.12121212121212</v>
      </c>
      <c r="H14" s="628">
        <v>31.255388860148301</v>
      </c>
      <c r="I14" s="629">
        <v>32.055829694208406</v>
      </c>
      <c r="J14" s="629">
        <v>33.929788301799661</v>
      </c>
      <c r="K14" s="629">
        <v>46.214668262453031</v>
      </c>
      <c r="L14" s="627">
        <v>48.811184554611707</v>
      </c>
      <c r="M14" s="629">
        <v>58</v>
      </c>
      <c r="N14" s="629">
        <v>61</v>
      </c>
      <c r="O14" s="629">
        <v>62</v>
      </c>
      <c r="P14" s="629">
        <v>63</v>
      </c>
      <c r="Q14" s="627">
        <v>66</v>
      </c>
    </row>
    <row r="15" spans="1:17" s="491" customFormat="1" ht="26.25" customHeight="1" x14ac:dyDescent="0.35">
      <c r="A15" s="480">
        <v>10</v>
      </c>
      <c r="B15" s="489" t="s">
        <v>21</v>
      </c>
      <c r="C15" s="493">
        <v>527.68777679362267</v>
      </c>
      <c r="D15" s="493">
        <v>526.00485222761358</v>
      </c>
      <c r="E15" s="493">
        <v>537</v>
      </c>
      <c r="F15" s="493">
        <v>519.10364372469633</v>
      </c>
      <c r="G15" s="627">
        <v>515.01586671955579</v>
      </c>
      <c r="H15" s="628">
        <v>31.396927268983479</v>
      </c>
      <c r="I15" s="629">
        <v>31.228992406960469</v>
      </c>
      <c r="J15" s="629">
        <v>32.031563461281266</v>
      </c>
      <c r="K15" s="629">
        <v>34.300707433290228</v>
      </c>
      <c r="L15" s="627">
        <v>34.141592602923069</v>
      </c>
      <c r="M15" s="629">
        <v>2275</v>
      </c>
      <c r="N15" s="629">
        <v>2267</v>
      </c>
      <c r="O15" s="629">
        <v>2395</v>
      </c>
      <c r="P15" s="629">
        <v>2470</v>
      </c>
      <c r="Q15" s="627">
        <v>2521</v>
      </c>
    </row>
    <row r="16" spans="1:17" s="491" customFormat="1" ht="26.25" customHeight="1" x14ac:dyDescent="0.35">
      <c r="A16" s="480">
        <v>11</v>
      </c>
      <c r="B16" s="489" t="s">
        <v>22</v>
      </c>
      <c r="C16" s="493">
        <v>590.30270793036755</v>
      </c>
      <c r="D16" s="493">
        <v>584.2853185595568</v>
      </c>
      <c r="E16" s="493">
        <v>614</v>
      </c>
      <c r="F16" s="493">
        <v>620.75779162956371</v>
      </c>
      <c r="G16" s="627">
        <v>601.46301131418625</v>
      </c>
      <c r="H16" s="628">
        <v>34.158640014757033</v>
      </c>
      <c r="I16" s="629">
        <v>34.050928618815107</v>
      </c>
      <c r="J16" s="629">
        <v>32.910628019323674</v>
      </c>
      <c r="K16" s="629">
        <v>34.142040617779401</v>
      </c>
      <c r="L16" s="627">
        <v>35.187113370490607</v>
      </c>
      <c r="M16" s="629">
        <v>1087</v>
      </c>
      <c r="N16" s="629">
        <v>1083</v>
      </c>
      <c r="O16" s="629">
        <v>1090</v>
      </c>
      <c r="P16" s="629">
        <v>1123</v>
      </c>
      <c r="Q16" s="627">
        <v>1149</v>
      </c>
    </row>
    <row r="17" spans="1:17" s="491" customFormat="1" ht="26.25" customHeight="1" x14ac:dyDescent="0.35">
      <c r="A17" s="480">
        <v>12</v>
      </c>
      <c r="B17" s="489" t="s">
        <v>23</v>
      </c>
      <c r="C17" s="493">
        <v>540.58139534883719</v>
      </c>
      <c r="D17" s="493">
        <v>510.20689655172413</v>
      </c>
      <c r="E17" s="493">
        <v>577</v>
      </c>
      <c r="F17" s="493">
        <v>561.66530570561565</v>
      </c>
      <c r="G17" s="627">
        <v>554.97687861271675</v>
      </c>
      <c r="H17" s="628">
        <v>48.537935783182171</v>
      </c>
      <c r="I17" s="629">
        <v>49.725722630490729</v>
      </c>
      <c r="J17" s="629">
        <v>47.035040431266843</v>
      </c>
      <c r="K17" s="629">
        <v>48.677392964275974</v>
      </c>
      <c r="L17" s="627">
        <v>50.840451915128128</v>
      </c>
      <c r="M17" s="629">
        <v>344</v>
      </c>
      <c r="N17" s="629">
        <v>348</v>
      </c>
      <c r="O17" s="629">
        <v>349</v>
      </c>
      <c r="P17" s="629">
        <v>357</v>
      </c>
      <c r="Q17" s="627">
        <v>369</v>
      </c>
    </row>
    <row r="18" spans="1:17" s="491" customFormat="1" ht="26.25" customHeight="1" x14ac:dyDescent="0.35">
      <c r="A18" s="480">
        <v>13</v>
      </c>
      <c r="B18" s="489" t="s">
        <v>24</v>
      </c>
      <c r="C18" s="493">
        <v>721.31309904153352</v>
      </c>
      <c r="D18" s="493">
        <v>593.72413793103453</v>
      </c>
      <c r="E18" s="493">
        <v>633</v>
      </c>
      <c r="F18" s="493">
        <v>652.07878787878792</v>
      </c>
      <c r="G18" s="627">
        <v>544.11343283582084</v>
      </c>
      <c r="H18" s="628">
        <v>25.909014252271419</v>
      </c>
      <c r="I18" s="629">
        <v>29.00954897653811</v>
      </c>
      <c r="J18" s="629">
        <v>21.114551083591333</v>
      </c>
      <c r="K18" s="629">
        <v>20.262802406975315</v>
      </c>
      <c r="L18" s="627">
        <v>20.467836257309941</v>
      </c>
      <c r="M18" s="629">
        <v>316</v>
      </c>
      <c r="N18" s="629">
        <v>348</v>
      </c>
      <c r="O18" s="629">
        <v>341</v>
      </c>
      <c r="P18" s="629">
        <v>330</v>
      </c>
      <c r="Q18" s="627">
        <v>336</v>
      </c>
    </row>
    <row r="19" spans="1:17" s="491" customFormat="1" ht="26.25" customHeight="1" x14ac:dyDescent="0.35">
      <c r="A19" s="480">
        <v>14</v>
      </c>
      <c r="B19" s="489" t="s">
        <v>25</v>
      </c>
      <c r="C19" s="493">
        <v>1938.1104100946372</v>
      </c>
      <c r="D19" s="493">
        <v>1761.0863095238096</v>
      </c>
      <c r="E19" s="493">
        <v>1848</v>
      </c>
      <c r="F19" s="493">
        <v>1615.4705882352941</v>
      </c>
      <c r="G19" s="627">
        <v>1610.8110599078341</v>
      </c>
      <c r="H19" s="628">
        <v>8.2622811262896061</v>
      </c>
      <c r="I19" s="629">
        <v>8.5087093984519715</v>
      </c>
      <c r="J19" s="629">
        <v>7.7476714648602885</v>
      </c>
      <c r="K19" s="629">
        <v>8.9764710852025509</v>
      </c>
      <c r="L19" s="627">
        <v>9.1460844643007668</v>
      </c>
      <c r="M19" s="629">
        <v>323</v>
      </c>
      <c r="N19" s="629">
        <v>336</v>
      </c>
      <c r="O19" s="629">
        <v>366</v>
      </c>
      <c r="P19" s="629">
        <v>425</v>
      </c>
      <c r="Q19" s="627">
        <v>434</v>
      </c>
    </row>
    <row r="20" spans="1:17" s="491" customFormat="1" ht="26.25" customHeight="1" x14ac:dyDescent="0.35">
      <c r="A20" s="480">
        <v>15</v>
      </c>
      <c r="B20" s="489" t="s">
        <v>26</v>
      </c>
      <c r="C20" s="493">
        <v>414.57794006547471</v>
      </c>
      <c r="D20" s="493">
        <v>392.45239782660053</v>
      </c>
      <c r="E20" s="493">
        <v>413</v>
      </c>
      <c r="F20" s="493">
        <v>417.68497817015316</v>
      </c>
      <c r="G20" s="627">
        <v>432.57359813084111</v>
      </c>
      <c r="H20" s="628">
        <v>59.141764870931532</v>
      </c>
      <c r="I20" s="629">
        <v>62.498440491902443</v>
      </c>
      <c r="J20" s="629">
        <v>65.844233055885852</v>
      </c>
      <c r="K20" s="629">
        <v>67.97283490594387</v>
      </c>
      <c r="L20" s="627">
        <v>68.781702760987756</v>
      </c>
      <c r="M20" s="629">
        <v>4047</v>
      </c>
      <c r="N20" s="629">
        <v>4233</v>
      </c>
      <c r="O20" s="629">
        <v>4430</v>
      </c>
      <c r="P20" s="629">
        <v>4524</v>
      </c>
      <c r="Q20" s="627">
        <v>4529</v>
      </c>
    </row>
    <row r="21" spans="1:17" s="491" customFormat="1" ht="26.25" customHeight="1" x14ac:dyDescent="0.35">
      <c r="A21" s="480">
        <v>16</v>
      </c>
      <c r="B21" s="489" t="s">
        <v>27</v>
      </c>
      <c r="C21" s="493">
        <v>574.73267326732673</v>
      </c>
      <c r="D21" s="493">
        <v>530.83149171270713</v>
      </c>
      <c r="E21" s="493">
        <v>594</v>
      </c>
      <c r="F21" s="493">
        <v>573.36933382080565</v>
      </c>
      <c r="G21" s="627">
        <v>552.04344827586203</v>
      </c>
      <c r="H21" s="628">
        <v>48.301966029776096</v>
      </c>
      <c r="I21" s="629">
        <v>49.860044095837338</v>
      </c>
      <c r="J21" s="629">
        <v>46.370839936608562</v>
      </c>
      <c r="K21" s="629">
        <v>48.069547430324725</v>
      </c>
      <c r="L21" s="627">
        <v>50.188520321363534</v>
      </c>
      <c r="M21" s="629">
        <v>1417</v>
      </c>
      <c r="N21" s="629">
        <v>1448</v>
      </c>
      <c r="O21" s="629">
        <v>1463</v>
      </c>
      <c r="P21" s="629">
        <v>1504</v>
      </c>
      <c r="Q21" s="627">
        <v>1564</v>
      </c>
    </row>
    <row r="22" spans="1:17" s="491" customFormat="1" ht="26.25" customHeight="1" x14ac:dyDescent="0.35">
      <c r="A22" s="480">
        <v>17</v>
      </c>
      <c r="B22" s="489" t="s">
        <v>28</v>
      </c>
      <c r="C22" s="493">
        <v>479.6</v>
      </c>
      <c r="D22" s="493">
        <v>777.33333333333337</v>
      </c>
      <c r="E22" s="493">
        <v>514</v>
      </c>
      <c r="F22" s="493">
        <v>518.33333333333337</v>
      </c>
      <c r="G22" s="627">
        <v>432.16666666666669</v>
      </c>
      <c r="H22" s="628">
        <v>13.665582406093526</v>
      </c>
      <c r="I22" s="629">
        <v>8.3363436796621002</v>
      </c>
      <c r="J22" s="629">
        <v>15.585733858783277</v>
      </c>
      <c r="K22" s="629">
        <v>21.890277571596044</v>
      </c>
      <c r="L22" s="627">
        <v>25.816116623616189</v>
      </c>
      <c r="M22" s="629">
        <v>5</v>
      </c>
      <c r="N22" s="629">
        <v>3</v>
      </c>
      <c r="O22" s="629">
        <v>6</v>
      </c>
      <c r="P22" s="629">
        <v>6</v>
      </c>
      <c r="Q22" s="627">
        <v>7</v>
      </c>
    </row>
    <row r="23" spans="1:17" s="491" customFormat="1" ht="26.25" customHeight="1" x14ac:dyDescent="0.35">
      <c r="A23" s="480">
        <v>18</v>
      </c>
      <c r="B23" s="489" t="s">
        <v>82</v>
      </c>
      <c r="C23" s="493">
        <v>0</v>
      </c>
      <c r="D23" s="493"/>
      <c r="E23" s="493"/>
      <c r="F23" s="493">
        <v>128.25</v>
      </c>
      <c r="G23" s="627">
        <v>118.4</v>
      </c>
      <c r="H23" s="628">
        <v>0</v>
      </c>
      <c r="I23" s="629">
        <v>0</v>
      </c>
      <c r="J23" s="629">
        <v>0</v>
      </c>
      <c r="K23" s="629">
        <v>65.779734514142064</v>
      </c>
      <c r="L23" s="627">
        <v>82.676075519461918</v>
      </c>
      <c r="M23" s="629">
        <v>0</v>
      </c>
      <c r="N23" s="629">
        <v>0</v>
      </c>
      <c r="O23" s="629">
        <v>0</v>
      </c>
      <c r="P23" s="629">
        <v>4</v>
      </c>
      <c r="Q23" s="627">
        <v>5</v>
      </c>
    </row>
    <row r="24" spans="1:17" s="491" customFormat="1" ht="26.25" customHeight="1" x14ac:dyDescent="0.35">
      <c r="A24" s="480">
        <v>19</v>
      </c>
      <c r="B24" s="489" t="s">
        <v>29</v>
      </c>
      <c r="C24" s="493">
        <v>771.44707091469684</v>
      </c>
      <c r="D24" s="493">
        <v>665.77969348659008</v>
      </c>
      <c r="E24" s="493">
        <v>808</v>
      </c>
      <c r="F24" s="493">
        <v>744.05959077893033</v>
      </c>
      <c r="G24" s="627">
        <v>708.95035727717186</v>
      </c>
      <c r="H24" s="628">
        <v>26.726399597031072</v>
      </c>
      <c r="I24" s="629">
        <v>28.751013032580847</v>
      </c>
      <c r="J24" s="629">
        <v>28.297213622291022</v>
      </c>
      <c r="K24" s="629">
        <v>26.720457552733784</v>
      </c>
      <c r="L24" s="627">
        <v>28.372131936165317</v>
      </c>
      <c r="M24" s="629">
        <v>2411</v>
      </c>
      <c r="N24" s="629">
        <v>2610</v>
      </c>
      <c r="O24" s="629">
        <v>2742</v>
      </c>
      <c r="P24" s="629">
        <v>2582</v>
      </c>
      <c r="Q24" s="627">
        <v>2713</v>
      </c>
    </row>
    <row r="25" spans="1:17" s="491" customFormat="1" ht="26.25" customHeight="1" x14ac:dyDescent="0.35">
      <c r="A25" s="480">
        <v>20</v>
      </c>
      <c r="B25" s="489" t="s">
        <v>30</v>
      </c>
      <c r="C25" s="493">
        <v>669.65264797507791</v>
      </c>
      <c r="D25" s="493">
        <v>671.52140335392767</v>
      </c>
      <c r="E25" s="493">
        <v>685</v>
      </c>
      <c r="F25" s="493">
        <v>643.77152586907664</v>
      </c>
      <c r="G25" s="627">
        <v>606.84700999811355</v>
      </c>
      <c r="H25" s="628">
        <v>34.063299069171464</v>
      </c>
      <c r="I25" s="629">
        <v>34.456326757892299</v>
      </c>
      <c r="J25" s="629">
        <v>36.189741612032392</v>
      </c>
      <c r="K25" s="629">
        <v>41.889455359363346</v>
      </c>
      <c r="L25" s="627">
        <v>42.04259154369737</v>
      </c>
      <c r="M25" s="629">
        <v>4494</v>
      </c>
      <c r="N25" s="629">
        <v>4532</v>
      </c>
      <c r="O25" s="629">
        <v>4692</v>
      </c>
      <c r="P25" s="629">
        <v>5390</v>
      </c>
      <c r="Q25" s="627">
        <v>5380</v>
      </c>
    </row>
    <row r="26" spans="1:17" s="491" customFormat="1" ht="26.25" customHeight="1" x14ac:dyDescent="0.35">
      <c r="A26" s="480">
        <v>21</v>
      </c>
      <c r="B26" s="489" t="s">
        <v>31</v>
      </c>
      <c r="C26" s="493">
        <v>1056.4158415841584</v>
      </c>
      <c r="D26" s="493">
        <v>1089.5904761904762</v>
      </c>
      <c r="E26" s="493">
        <v>1013</v>
      </c>
      <c r="F26" s="493">
        <v>891.6019573727707</v>
      </c>
      <c r="G26" s="627">
        <v>741.66379310344826</v>
      </c>
      <c r="H26" s="628">
        <v>31.388188809187508</v>
      </c>
      <c r="I26" s="629">
        <v>32.537355983464828</v>
      </c>
      <c r="J26" s="629">
        <v>29.322256760341318</v>
      </c>
      <c r="K26" s="629">
        <v>29.971378423473883</v>
      </c>
      <c r="L26" s="627">
        <v>31.718884061845916</v>
      </c>
      <c r="M26" s="629">
        <v>102</v>
      </c>
      <c r="N26" s="629">
        <v>105</v>
      </c>
      <c r="O26" s="629">
        <v>108</v>
      </c>
      <c r="P26" s="629">
        <v>110</v>
      </c>
      <c r="Q26" s="627">
        <v>116</v>
      </c>
    </row>
    <row r="27" spans="1:17" s="491" customFormat="1" ht="26.25" customHeight="1" x14ac:dyDescent="0.35">
      <c r="A27" s="480">
        <v>22</v>
      </c>
      <c r="B27" s="489" t="s">
        <v>32</v>
      </c>
      <c r="C27" s="493">
        <v>1105.3859649122808</v>
      </c>
      <c r="D27" s="493">
        <v>817.02666666666664</v>
      </c>
      <c r="E27" s="493">
        <v>909</v>
      </c>
      <c r="F27" s="493">
        <v>885.67548906789409</v>
      </c>
      <c r="G27" s="627">
        <v>960.82051282051282</v>
      </c>
      <c r="H27" s="628">
        <v>19.985622283670555</v>
      </c>
      <c r="I27" s="629">
        <v>22.528475993655981</v>
      </c>
      <c r="J27" s="629">
        <v>20.248813209168663</v>
      </c>
      <c r="K27" s="629">
        <v>20.84760888745706</v>
      </c>
      <c r="L27" s="627">
        <v>21.450619033086596</v>
      </c>
      <c r="M27" s="629">
        <v>67</v>
      </c>
      <c r="N27" s="629">
        <v>75</v>
      </c>
      <c r="O27" s="629">
        <v>77</v>
      </c>
      <c r="P27" s="629">
        <v>79</v>
      </c>
      <c r="Q27" s="627">
        <v>81</v>
      </c>
    </row>
    <row r="28" spans="1:17" s="491" customFormat="1" ht="26.25" customHeight="1" x14ac:dyDescent="0.35">
      <c r="A28" s="480">
        <v>23</v>
      </c>
      <c r="B28" s="489" t="s">
        <v>33</v>
      </c>
      <c r="C28" s="493">
        <v>559.42857142857144</v>
      </c>
      <c r="D28" s="493">
        <v>650.46153846153845</v>
      </c>
      <c r="E28" s="493">
        <v>669</v>
      </c>
      <c r="F28" s="493">
        <v>659.77499999999998</v>
      </c>
      <c r="G28" s="627">
        <v>601.4</v>
      </c>
      <c r="H28" s="628">
        <v>27.536722185943685</v>
      </c>
      <c r="I28" s="629">
        <v>30.897941721728383</v>
      </c>
      <c r="J28" s="629">
        <v>27.601092451239218</v>
      </c>
      <c r="K28" s="629">
        <v>27.701406538917013</v>
      </c>
      <c r="L28" s="627">
        <v>27.802452454331004</v>
      </c>
      <c r="M28" s="629">
        <v>35</v>
      </c>
      <c r="N28" s="629">
        <v>39</v>
      </c>
      <c r="O28" s="629">
        <v>40</v>
      </c>
      <c r="P28" s="629">
        <v>40</v>
      </c>
      <c r="Q28" s="627">
        <v>40</v>
      </c>
    </row>
    <row r="29" spans="1:17" s="491" customFormat="1" ht="26.25" customHeight="1" x14ac:dyDescent="0.35">
      <c r="A29" s="480">
        <v>24</v>
      </c>
      <c r="B29" s="489" t="s">
        <v>34</v>
      </c>
      <c r="C29" s="493">
        <v>507.030303030303</v>
      </c>
      <c r="D29" s="493">
        <v>489.64705882352939</v>
      </c>
      <c r="E29" s="493">
        <v>533</v>
      </c>
      <c r="F29" s="493">
        <v>527.81428571428569</v>
      </c>
      <c r="G29" s="627">
        <v>478.42465753424659</v>
      </c>
      <c r="H29" s="628">
        <v>27.798522944154012</v>
      </c>
      <c r="I29" s="629">
        <v>28.410515233049786</v>
      </c>
      <c r="J29" s="629">
        <v>25.267580010341394</v>
      </c>
      <c r="K29" s="629">
        <v>25.724225134890489</v>
      </c>
      <c r="L29" s="627">
        <v>26.921684598229628</v>
      </c>
      <c r="M29" s="629">
        <v>67</v>
      </c>
      <c r="N29" s="629">
        <v>68</v>
      </c>
      <c r="O29" s="629">
        <v>69</v>
      </c>
      <c r="P29" s="629">
        <v>70</v>
      </c>
      <c r="Q29" s="627">
        <v>73</v>
      </c>
    </row>
    <row r="30" spans="1:17" s="491" customFormat="1" ht="26.25" customHeight="1" x14ac:dyDescent="0.35">
      <c r="A30" s="480">
        <v>25</v>
      </c>
      <c r="B30" s="489" t="s">
        <v>35</v>
      </c>
      <c r="C30" s="493">
        <v>658.6471680594243</v>
      </c>
      <c r="D30" s="493">
        <v>573.31343283582089</v>
      </c>
      <c r="E30" s="493">
        <v>576</v>
      </c>
      <c r="F30" s="493">
        <v>556.24671532846719</v>
      </c>
      <c r="G30" s="627">
        <v>524.96062992125985</v>
      </c>
      <c r="H30" s="628">
        <v>23.679838131859011</v>
      </c>
      <c r="I30" s="629">
        <v>26.372253764934438</v>
      </c>
      <c r="J30" s="629">
        <v>26.710499280871176</v>
      </c>
      <c r="K30" s="629">
        <v>28.430314601145515</v>
      </c>
      <c r="L30" s="627">
        <v>31.85985518707496</v>
      </c>
      <c r="M30" s="629">
        <v>1087</v>
      </c>
      <c r="N30" s="629">
        <v>1206</v>
      </c>
      <c r="O30" s="629">
        <v>1300</v>
      </c>
      <c r="P30" s="629">
        <v>1370</v>
      </c>
      <c r="Q30" s="627">
        <v>1524</v>
      </c>
    </row>
    <row r="31" spans="1:17" s="491" customFormat="1" ht="26.25" customHeight="1" x14ac:dyDescent="0.35">
      <c r="A31" s="480">
        <v>26</v>
      </c>
      <c r="B31" s="489" t="s">
        <v>36</v>
      </c>
      <c r="C31" s="493">
        <v>667.68115942028987</v>
      </c>
      <c r="D31" s="493">
        <v>610.65432098765427</v>
      </c>
      <c r="E31" s="493">
        <v>760</v>
      </c>
      <c r="F31" s="493">
        <v>658.23388157894738</v>
      </c>
      <c r="G31" s="627">
        <v>670.96153846153845</v>
      </c>
      <c r="H31" s="628">
        <v>45.686658917284014</v>
      </c>
      <c r="I31" s="629">
        <v>45.066096942181865</v>
      </c>
      <c r="J31" s="629">
        <v>53.322446743099206</v>
      </c>
      <c r="K31" s="629">
        <v>79.109616825375682</v>
      </c>
      <c r="L31" s="627">
        <v>84.584840928913309</v>
      </c>
      <c r="M31" s="629">
        <v>79</v>
      </c>
      <c r="N31" s="629">
        <v>81</v>
      </c>
      <c r="O31" s="629">
        <v>82</v>
      </c>
      <c r="P31" s="629">
        <v>88</v>
      </c>
      <c r="Q31" s="627">
        <v>93</v>
      </c>
    </row>
    <row r="32" spans="1:17" s="491" customFormat="1" ht="26.25" customHeight="1" x14ac:dyDescent="0.35">
      <c r="A32" s="480">
        <v>27</v>
      </c>
      <c r="B32" s="489" t="s">
        <v>37</v>
      </c>
      <c r="C32" s="493">
        <v>521.34890656063624</v>
      </c>
      <c r="D32" s="493">
        <v>484.42925890279116</v>
      </c>
      <c r="E32" s="493">
        <v>494</v>
      </c>
      <c r="F32" s="493">
        <v>514.31325947603125</v>
      </c>
      <c r="G32" s="627">
        <v>505.55185537583253</v>
      </c>
      <c r="H32" s="628">
        <v>35.0486035453985</v>
      </c>
      <c r="I32" s="629">
        <v>34.213093900947989</v>
      </c>
      <c r="J32" s="629">
        <v>33.301435406698566</v>
      </c>
      <c r="K32" s="629">
        <v>33.737753844157531</v>
      </c>
      <c r="L32" s="627">
        <v>34.517189624704038</v>
      </c>
      <c r="M32" s="629">
        <v>1079</v>
      </c>
      <c r="N32" s="629">
        <v>1039</v>
      </c>
      <c r="O32" s="629">
        <v>1044</v>
      </c>
      <c r="P32" s="629">
        <v>1040</v>
      </c>
      <c r="Q32" s="627">
        <v>1051</v>
      </c>
    </row>
    <row r="33" spans="1:17" s="491" customFormat="1" ht="26.25" customHeight="1" x14ac:dyDescent="0.35">
      <c r="A33" s="480">
        <v>28</v>
      </c>
      <c r="B33" s="489" t="s">
        <v>38</v>
      </c>
      <c r="C33" s="493">
        <v>517.23024830699774</v>
      </c>
      <c r="D33" s="493">
        <v>466.7715213860314</v>
      </c>
      <c r="E33" s="493">
        <v>513</v>
      </c>
      <c r="F33" s="493">
        <v>480.88825724793389</v>
      </c>
      <c r="G33" s="627">
        <v>451.75544794188863</v>
      </c>
      <c r="H33" s="628">
        <v>36.914462092396903</v>
      </c>
      <c r="I33" s="629">
        <v>39.849620004638695</v>
      </c>
      <c r="J33" s="629">
        <v>41.784386617100374</v>
      </c>
      <c r="K33" s="629">
        <v>41.612275032634983</v>
      </c>
      <c r="L33" s="627">
        <v>46.952235873158607</v>
      </c>
      <c r="M33" s="629">
        <v>3380</v>
      </c>
      <c r="N33" s="629">
        <v>3694</v>
      </c>
      <c r="O33" s="629">
        <v>3934</v>
      </c>
      <c r="P33" s="629">
        <v>3889</v>
      </c>
      <c r="Q33" s="627">
        <v>4344</v>
      </c>
    </row>
    <row r="34" spans="1:17" s="491" customFormat="1" ht="26.25" customHeight="1" x14ac:dyDescent="0.35">
      <c r="A34" s="480">
        <v>29</v>
      </c>
      <c r="B34" s="489" t="s">
        <v>39</v>
      </c>
      <c r="C34" s="493">
        <v>633.89473684210532</v>
      </c>
      <c r="D34" s="493">
        <v>577.86956521739125</v>
      </c>
      <c r="E34" s="493">
        <v>712</v>
      </c>
      <c r="F34" s="493">
        <v>677.6388888888888</v>
      </c>
      <c r="G34" s="627">
        <v>636.63636363636363</v>
      </c>
      <c r="H34" s="628">
        <v>28.73150409423933</v>
      </c>
      <c r="I34" s="629">
        <v>30.247636081484501</v>
      </c>
      <c r="J34" s="629">
        <v>27.434246398397839</v>
      </c>
      <c r="K34" s="629">
        <v>27.532685886928764</v>
      </c>
      <c r="L34" s="627">
        <v>25.32918149671055</v>
      </c>
      <c r="M34" s="629">
        <v>22</v>
      </c>
      <c r="N34" s="629">
        <v>23</v>
      </c>
      <c r="O34" s="629">
        <v>24</v>
      </c>
      <c r="P34" s="629">
        <v>24</v>
      </c>
      <c r="Q34" s="627">
        <v>22</v>
      </c>
    </row>
    <row r="35" spans="1:17" s="491" customFormat="1" ht="26.25" customHeight="1" x14ac:dyDescent="0.35">
      <c r="A35" s="480">
        <v>30</v>
      </c>
      <c r="B35" s="489" t="s">
        <v>40</v>
      </c>
      <c r="C35" s="493">
        <v>872.42714723926383</v>
      </c>
      <c r="D35" s="493">
        <v>838.15598050243716</v>
      </c>
      <c r="E35" s="493">
        <v>808</v>
      </c>
      <c r="F35" s="493">
        <v>828.43590525309924</v>
      </c>
      <c r="G35" s="627">
        <v>839.67473576542784</v>
      </c>
      <c r="H35" s="628">
        <v>38.086382542252899</v>
      </c>
      <c r="I35" s="629">
        <v>39.549993148820086</v>
      </c>
      <c r="J35" s="629">
        <v>40.2189365936878</v>
      </c>
      <c r="K35" s="629">
        <v>41.988583948339482</v>
      </c>
      <c r="L35" s="627">
        <v>43.607285910592644</v>
      </c>
      <c r="M35" s="629">
        <v>2610</v>
      </c>
      <c r="N35" s="629">
        <v>2667</v>
      </c>
      <c r="O35" s="629">
        <v>2829</v>
      </c>
      <c r="P35" s="629">
        <v>2913</v>
      </c>
      <c r="Q35" s="627">
        <v>2983</v>
      </c>
    </row>
    <row r="36" spans="1:17" s="491" customFormat="1" ht="26.25" customHeight="1" x14ac:dyDescent="0.35">
      <c r="A36" s="480">
        <v>31</v>
      </c>
      <c r="B36" s="489" t="s">
        <v>41</v>
      </c>
      <c r="C36" s="493">
        <v>545.16013712047015</v>
      </c>
      <c r="D36" s="493">
        <v>555.6028128031038</v>
      </c>
      <c r="E36" s="493">
        <v>611</v>
      </c>
      <c r="F36" s="493">
        <v>629.1820068098267</v>
      </c>
      <c r="G36" s="627">
        <v>618.02415730337077</v>
      </c>
      <c r="H36" s="628">
        <v>53.071959272716839</v>
      </c>
      <c r="I36" s="629">
        <v>53.372690731658835</v>
      </c>
      <c r="J36" s="629">
        <v>52.166291009266217</v>
      </c>
      <c r="K36" s="629">
        <v>53.642587105343821</v>
      </c>
      <c r="L36" s="627">
        <v>55.492152992031457</v>
      </c>
      <c r="M36" s="629">
        <v>2071</v>
      </c>
      <c r="N36" s="629">
        <v>2062</v>
      </c>
      <c r="O36" s="629">
        <v>2083</v>
      </c>
      <c r="P36" s="629">
        <v>2100</v>
      </c>
      <c r="Q36" s="627">
        <v>2160</v>
      </c>
    </row>
    <row r="37" spans="1:17" s="491" customFormat="1" ht="33" customHeight="1" x14ac:dyDescent="0.35">
      <c r="A37" s="480">
        <v>32</v>
      </c>
      <c r="B37" s="249" t="s">
        <v>58</v>
      </c>
      <c r="C37" s="493">
        <v>1154.2</v>
      </c>
      <c r="D37" s="493">
        <v>589</v>
      </c>
      <c r="E37" s="493">
        <v>654</v>
      </c>
      <c r="F37" s="493">
        <v>659.52631578947364</v>
      </c>
      <c r="G37" s="627">
        <v>667.61111111111109</v>
      </c>
      <c r="H37" s="629">
        <v>27.272037757119307</v>
      </c>
      <c r="I37" s="629">
        <v>13.798111837327523</v>
      </c>
      <c r="J37" s="629">
        <v>16.631378255536365</v>
      </c>
      <c r="K37" s="629">
        <v>20.382534685066467</v>
      </c>
      <c r="L37" s="627">
        <v>19.217166588876481</v>
      </c>
      <c r="M37" s="629">
        <v>18</v>
      </c>
      <c r="N37" s="629">
        <v>19</v>
      </c>
      <c r="O37" s="629">
        <v>19</v>
      </c>
      <c r="P37" s="629">
        <v>19</v>
      </c>
      <c r="Q37" s="627">
        <v>18</v>
      </c>
    </row>
    <row r="38" spans="1:17" s="491" customFormat="1" ht="26.25" customHeight="1" x14ac:dyDescent="0.35">
      <c r="A38" s="480">
        <v>33</v>
      </c>
      <c r="B38" s="489" t="s">
        <v>42</v>
      </c>
      <c r="C38" s="493">
        <v>1174.6603773584907</v>
      </c>
      <c r="D38" s="493">
        <v>1197.5</v>
      </c>
      <c r="E38" s="493">
        <v>1387</v>
      </c>
      <c r="F38" s="493">
        <v>1332.3728813559321</v>
      </c>
      <c r="G38" s="627">
        <v>1392.1803278688524</v>
      </c>
      <c r="H38" s="628">
        <v>12.413195460986262</v>
      </c>
      <c r="I38" s="629">
        <v>12.735849056603774</v>
      </c>
      <c r="J38" s="629">
        <v>11.127931231033575</v>
      </c>
      <c r="K38" s="629">
        <v>12.202507520157196</v>
      </c>
      <c r="L38" s="627">
        <v>12.662196509983126</v>
      </c>
      <c r="M38" s="629">
        <v>53</v>
      </c>
      <c r="N38" s="629">
        <v>54</v>
      </c>
      <c r="O38" s="629">
        <v>54</v>
      </c>
      <c r="P38" s="629">
        <v>59</v>
      </c>
      <c r="Q38" s="627">
        <v>61</v>
      </c>
    </row>
    <row r="39" spans="1:17" s="491" customFormat="1" ht="26.25" customHeight="1" x14ac:dyDescent="0.35">
      <c r="A39" s="480">
        <v>34</v>
      </c>
      <c r="B39" s="489" t="s">
        <v>43</v>
      </c>
      <c r="C39" s="493">
        <v>691.991724738676</v>
      </c>
      <c r="D39" s="493">
        <v>613.866526990387</v>
      </c>
      <c r="E39" s="493">
        <v>761</v>
      </c>
      <c r="F39" s="493">
        <v>742.49249345772193</v>
      </c>
      <c r="G39" s="627">
        <v>725.6251808972504</v>
      </c>
      <c r="H39" s="628">
        <v>30.795564742732079</v>
      </c>
      <c r="I39" s="629">
        <v>31.840085388249697</v>
      </c>
      <c r="J39" s="629">
        <v>28.978236047195598</v>
      </c>
      <c r="K39" s="629">
        <v>29.09435359350633</v>
      </c>
      <c r="L39" s="627">
        <v>30.825656364056101</v>
      </c>
      <c r="M39" s="629">
        <v>7788</v>
      </c>
      <c r="N39" s="629">
        <v>8114</v>
      </c>
      <c r="O39" s="629">
        <v>8375</v>
      </c>
      <c r="P39" s="629">
        <v>8310</v>
      </c>
      <c r="Q39" s="627">
        <v>8625</v>
      </c>
    </row>
    <row r="40" spans="1:17" s="491" customFormat="1" ht="26.25" customHeight="1" x14ac:dyDescent="0.35">
      <c r="A40" s="480">
        <v>35</v>
      </c>
      <c r="B40" s="489" t="s">
        <v>44</v>
      </c>
      <c r="C40" s="493">
        <v>633.90594059405942</v>
      </c>
      <c r="D40" s="493">
        <v>545.55136268343813</v>
      </c>
      <c r="E40" s="493">
        <v>646</v>
      </c>
      <c r="F40" s="493">
        <v>561.9179940235382</v>
      </c>
      <c r="G40" s="627">
        <v>630.06544502617805</v>
      </c>
      <c r="H40" s="628">
        <v>38.190188822724345</v>
      </c>
      <c r="I40" s="629">
        <v>40.387140802103858</v>
      </c>
      <c r="J40" s="629">
        <v>36.845983787767132</v>
      </c>
      <c r="K40" s="629">
        <v>38.30073167089742</v>
      </c>
      <c r="L40" s="627">
        <v>42.529082943042752</v>
      </c>
      <c r="M40" s="629">
        <v>454</v>
      </c>
      <c r="N40" s="629">
        <v>477</v>
      </c>
      <c r="O40" s="629">
        <v>500</v>
      </c>
      <c r="P40" s="629">
        <v>513</v>
      </c>
      <c r="Q40" s="627">
        <v>563</v>
      </c>
    </row>
    <row r="41" spans="1:17" s="491" customFormat="1" ht="26.25" customHeight="1" x14ac:dyDescent="0.35">
      <c r="A41" s="480">
        <v>36</v>
      </c>
      <c r="B41" s="489" t="s">
        <v>45</v>
      </c>
      <c r="C41" s="493">
        <v>1179.3669268985095</v>
      </c>
      <c r="D41" s="493">
        <v>1161.2918395573997</v>
      </c>
      <c r="E41" s="493">
        <v>1189</v>
      </c>
      <c r="F41" s="493">
        <v>1131.562139654068</v>
      </c>
      <c r="G41" s="627">
        <v>1083.7899746192893</v>
      </c>
      <c r="H41" s="628">
        <v>13.024762464240748</v>
      </c>
      <c r="I41" s="629">
        <v>13.37394103312862</v>
      </c>
      <c r="J41" s="629">
        <v>14.646415787946212</v>
      </c>
      <c r="K41" s="629">
        <v>15.356917991500076</v>
      </c>
      <c r="L41" s="627">
        <v>15.892396068933767</v>
      </c>
      <c r="M41" s="629">
        <v>1411</v>
      </c>
      <c r="N41" s="629">
        <v>1446</v>
      </c>
      <c r="O41" s="629">
        <v>1514</v>
      </c>
      <c r="P41" s="629">
        <v>1561</v>
      </c>
      <c r="Q41" s="627">
        <v>1588</v>
      </c>
    </row>
  </sheetData>
  <mergeCells count="8">
    <mergeCell ref="A2:A3"/>
    <mergeCell ref="B2:B3"/>
    <mergeCell ref="C2:G2"/>
    <mergeCell ref="H2:L2"/>
    <mergeCell ref="M2:Q2"/>
    <mergeCell ref="C1:G1"/>
    <mergeCell ref="H1:L1"/>
    <mergeCell ref="M1:Q1"/>
  </mergeCells>
  <pageMargins left="0.55118110236220474" right="0.15748031496062992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2023-24&amp;RT-42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56A5-1EAA-4E93-BE94-8B4C4CB3EE39}">
  <dimension ref="A1:AC226"/>
  <sheetViews>
    <sheetView showZeros="0" view="pageBreakPreview" zoomScale="99" zoomScaleSheetLayoutView="99" workbookViewId="0">
      <pane xSplit="2" ySplit="3" topLeftCell="C4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8.81640625" defaultRowHeight="14" x14ac:dyDescent="0.3"/>
  <cols>
    <col min="1" max="1" width="4.453125" style="482" bestFit="1" customWidth="1"/>
    <col min="2" max="2" width="28.1796875" style="482" customWidth="1"/>
    <col min="3" max="3" width="10.81640625" style="482" customWidth="1"/>
    <col min="4" max="5" width="9.453125" style="482" customWidth="1"/>
    <col min="6" max="8" width="8.54296875" style="482" customWidth="1"/>
    <col min="9" max="9" width="10" style="482" customWidth="1"/>
    <col min="10" max="10" width="10.1796875" style="482" bestFit="1" customWidth="1"/>
    <col min="11" max="11" width="11.1796875" style="482" customWidth="1"/>
    <col min="12" max="14" width="11.81640625" style="482" bestFit="1" customWidth="1"/>
    <col min="15" max="15" width="9" style="482" bestFit="1" customWidth="1"/>
    <col min="16" max="16" width="9.54296875" style="482" bestFit="1" customWidth="1"/>
    <col min="17" max="17" width="8.81640625" style="482" customWidth="1"/>
    <col min="18" max="19" width="10.1796875" style="482" bestFit="1" customWidth="1"/>
    <col min="20" max="20" width="10" style="482" customWidth="1"/>
    <col min="21" max="26" width="9.26953125" style="482" customWidth="1"/>
    <col min="27" max="29" width="11.81640625" style="482" bestFit="1" customWidth="1"/>
    <col min="30" max="16384" width="8.81640625" style="474"/>
  </cols>
  <sheetData>
    <row r="1" spans="1:29" s="495" customFormat="1" ht="28.5" customHeight="1" x14ac:dyDescent="0.3">
      <c r="A1" s="482"/>
      <c r="B1" s="494"/>
      <c r="C1" s="942" t="s">
        <v>1021</v>
      </c>
      <c r="D1" s="942"/>
      <c r="E1" s="942"/>
      <c r="F1" s="942"/>
      <c r="G1" s="942"/>
      <c r="H1" s="942"/>
      <c r="I1" s="942"/>
      <c r="J1" s="942"/>
      <c r="K1" s="942"/>
      <c r="L1" s="930" t="str">
        <f>C1</f>
        <v>Table 43. Estimated Student Enrolment Trends at Various Levels Over the Last 5 Years</v>
      </c>
      <c r="M1" s="930"/>
      <c r="N1" s="930"/>
      <c r="O1" s="930"/>
      <c r="P1" s="930"/>
      <c r="Q1" s="930"/>
      <c r="R1" s="930"/>
      <c r="S1" s="930"/>
      <c r="T1" s="930"/>
      <c r="U1" s="930" t="str">
        <f>L1</f>
        <v>Table 43. Estimated Student Enrolment Trends at Various Levels Over the Last 5 Years</v>
      </c>
      <c r="V1" s="930"/>
      <c r="W1" s="930"/>
      <c r="X1" s="930"/>
      <c r="Y1" s="930"/>
      <c r="Z1" s="930"/>
      <c r="AA1" s="930"/>
      <c r="AB1" s="930"/>
      <c r="AC1" s="930"/>
    </row>
    <row r="2" spans="1:29" s="497" customFormat="1" ht="18.75" customHeight="1" x14ac:dyDescent="0.3">
      <c r="A2" s="939" t="s">
        <v>84</v>
      </c>
      <c r="B2" s="941" t="s">
        <v>1</v>
      </c>
      <c r="C2" s="938" t="s">
        <v>95</v>
      </c>
      <c r="D2" s="940"/>
      <c r="E2" s="940"/>
      <c r="F2" s="938" t="s">
        <v>96</v>
      </c>
      <c r="G2" s="940"/>
      <c r="H2" s="940"/>
      <c r="I2" s="938" t="s">
        <v>97</v>
      </c>
      <c r="J2" s="938"/>
      <c r="K2" s="938"/>
      <c r="L2" s="938" t="s">
        <v>98</v>
      </c>
      <c r="M2" s="938"/>
      <c r="N2" s="938"/>
      <c r="O2" s="938" t="s">
        <v>99</v>
      </c>
      <c r="P2" s="938"/>
      <c r="Q2" s="938"/>
      <c r="R2" s="938" t="s">
        <v>100</v>
      </c>
      <c r="S2" s="938"/>
      <c r="T2" s="938"/>
      <c r="U2" s="938" t="s">
        <v>101</v>
      </c>
      <c r="V2" s="938"/>
      <c r="W2" s="938"/>
      <c r="X2" s="938" t="s">
        <v>102</v>
      </c>
      <c r="Y2" s="940"/>
      <c r="Z2" s="940"/>
      <c r="AA2" s="938" t="s">
        <v>12</v>
      </c>
      <c r="AB2" s="940"/>
      <c r="AC2" s="940"/>
    </row>
    <row r="3" spans="1:29" s="497" customFormat="1" ht="18.75" customHeight="1" x14ac:dyDescent="0.3">
      <c r="A3" s="939"/>
      <c r="B3" s="941"/>
      <c r="C3" s="496" t="s">
        <v>103</v>
      </c>
      <c r="D3" s="496" t="s">
        <v>104</v>
      </c>
      <c r="E3" s="496" t="s">
        <v>965</v>
      </c>
      <c r="F3" s="496" t="s">
        <v>103</v>
      </c>
      <c r="G3" s="496" t="s">
        <v>104</v>
      </c>
      <c r="H3" s="496" t="s">
        <v>965</v>
      </c>
      <c r="I3" s="496" t="s">
        <v>103</v>
      </c>
      <c r="J3" s="496" t="s">
        <v>104</v>
      </c>
      <c r="K3" s="496" t="s">
        <v>965</v>
      </c>
      <c r="L3" s="496" t="s">
        <v>103</v>
      </c>
      <c r="M3" s="496" t="s">
        <v>104</v>
      </c>
      <c r="N3" s="496" t="s">
        <v>965</v>
      </c>
      <c r="O3" s="496" t="s">
        <v>103</v>
      </c>
      <c r="P3" s="496" t="s">
        <v>104</v>
      </c>
      <c r="Q3" s="496" t="s">
        <v>965</v>
      </c>
      <c r="R3" s="496" t="s">
        <v>103</v>
      </c>
      <c r="S3" s="496" t="s">
        <v>104</v>
      </c>
      <c r="T3" s="496" t="s">
        <v>965</v>
      </c>
      <c r="U3" s="496" t="s">
        <v>103</v>
      </c>
      <c r="V3" s="496" t="s">
        <v>104</v>
      </c>
      <c r="W3" s="496" t="s">
        <v>965</v>
      </c>
      <c r="X3" s="496" t="s">
        <v>103</v>
      </c>
      <c r="Y3" s="496" t="s">
        <v>104</v>
      </c>
      <c r="Z3" s="496" t="s">
        <v>965</v>
      </c>
      <c r="AA3" s="496" t="s">
        <v>103</v>
      </c>
      <c r="AB3" s="496" t="s">
        <v>104</v>
      </c>
      <c r="AC3" s="496" t="s">
        <v>965</v>
      </c>
    </row>
    <row r="4" spans="1:29" s="499" customFormat="1" x14ac:dyDescent="0.3">
      <c r="A4" s="577">
        <v>1</v>
      </c>
      <c r="B4" s="498">
        <v>2</v>
      </c>
      <c r="C4" s="578">
        <v>3</v>
      </c>
      <c r="D4" s="498">
        <v>4</v>
      </c>
      <c r="E4" s="578">
        <v>5</v>
      </c>
      <c r="F4" s="498">
        <v>6</v>
      </c>
      <c r="G4" s="578">
        <v>7</v>
      </c>
      <c r="H4" s="498">
        <v>8</v>
      </c>
      <c r="I4" s="578">
        <v>9</v>
      </c>
      <c r="J4" s="498">
        <v>10</v>
      </c>
      <c r="K4" s="578">
        <v>11</v>
      </c>
      <c r="L4" s="498">
        <v>12</v>
      </c>
      <c r="M4" s="578">
        <v>13</v>
      </c>
      <c r="N4" s="498">
        <v>14</v>
      </c>
      <c r="O4" s="578">
        <v>15</v>
      </c>
      <c r="P4" s="498">
        <v>16</v>
      </c>
      <c r="Q4" s="578">
        <v>17</v>
      </c>
      <c r="R4" s="498">
        <v>18</v>
      </c>
      <c r="S4" s="578">
        <v>19</v>
      </c>
      <c r="T4" s="498">
        <v>20</v>
      </c>
      <c r="U4" s="578">
        <v>21</v>
      </c>
      <c r="V4" s="498">
        <v>22</v>
      </c>
      <c r="W4" s="578">
        <v>23</v>
      </c>
      <c r="X4" s="498">
        <v>24</v>
      </c>
      <c r="Y4" s="578">
        <v>25</v>
      </c>
      <c r="Z4" s="498">
        <v>26</v>
      </c>
      <c r="AA4" s="578">
        <v>27</v>
      </c>
      <c r="AB4" s="498">
        <v>28</v>
      </c>
      <c r="AC4" s="578">
        <v>29</v>
      </c>
    </row>
    <row r="5" spans="1:29" x14ac:dyDescent="0.3">
      <c r="A5" s="931"/>
      <c r="B5" s="935" t="s">
        <v>46</v>
      </c>
      <c r="C5" s="935"/>
      <c r="D5" s="935"/>
      <c r="E5" s="935"/>
      <c r="F5" s="935"/>
      <c r="G5" s="935"/>
      <c r="H5" s="935"/>
      <c r="I5" s="935"/>
      <c r="J5" s="935"/>
      <c r="K5" s="935"/>
      <c r="L5" s="935"/>
      <c r="M5" s="935"/>
      <c r="N5" s="935"/>
      <c r="O5" s="935"/>
      <c r="P5" s="935"/>
      <c r="Q5" s="935"/>
      <c r="R5" s="935"/>
      <c r="S5" s="935"/>
      <c r="T5" s="935"/>
      <c r="U5" s="935"/>
      <c r="V5" s="935"/>
      <c r="W5" s="935"/>
      <c r="X5" s="935"/>
      <c r="Y5" s="935"/>
      <c r="Z5" s="935"/>
      <c r="AA5" s="935"/>
      <c r="AB5" s="935"/>
      <c r="AC5" s="935"/>
    </row>
    <row r="6" spans="1:29" x14ac:dyDescent="0.3">
      <c r="A6" s="931"/>
      <c r="B6" s="463" t="s">
        <v>960</v>
      </c>
      <c r="C6" s="579">
        <v>172356</v>
      </c>
      <c r="D6" s="579">
        <v>171203</v>
      </c>
      <c r="E6" s="579">
        <v>343559</v>
      </c>
      <c r="F6" s="579">
        <v>668</v>
      </c>
      <c r="G6" s="579">
        <v>1418</v>
      </c>
      <c r="H6" s="579">
        <v>2086</v>
      </c>
      <c r="I6" s="579">
        <v>2532581.6072257962</v>
      </c>
      <c r="J6" s="579">
        <v>3253270.4159643059</v>
      </c>
      <c r="K6" s="579">
        <v>5785852.0231901025</v>
      </c>
      <c r="L6" s="579">
        <v>17458030.011022341</v>
      </c>
      <c r="M6" s="579">
        <v>17124237.520693302</v>
      </c>
      <c r="N6" s="579">
        <v>34582267.531715646</v>
      </c>
      <c r="O6" s="579">
        <v>102257</v>
      </c>
      <c r="P6" s="579">
        <v>91332</v>
      </c>
      <c r="Q6" s="579">
        <v>193589</v>
      </c>
      <c r="R6" s="579">
        <v>1988079</v>
      </c>
      <c r="S6" s="579">
        <v>1327649</v>
      </c>
      <c r="T6" s="579">
        <v>3315728</v>
      </c>
      <c r="U6" s="579">
        <v>97842</v>
      </c>
      <c r="V6" s="579">
        <v>110790</v>
      </c>
      <c r="W6" s="579">
        <v>208632</v>
      </c>
      <c r="X6" s="579">
        <v>296361</v>
      </c>
      <c r="Y6" s="579">
        <v>273048</v>
      </c>
      <c r="Z6" s="579">
        <v>569409</v>
      </c>
      <c r="AA6" s="579">
        <v>22648174.618248139</v>
      </c>
      <c r="AB6" s="579">
        <v>22352947.936657611</v>
      </c>
      <c r="AC6" s="579">
        <v>45001122.554905757</v>
      </c>
    </row>
    <row r="7" spans="1:29" x14ac:dyDescent="0.3">
      <c r="A7" s="931"/>
      <c r="B7" s="464" t="s">
        <v>959</v>
      </c>
      <c r="C7" s="580">
        <v>120981</v>
      </c>
      <c r="D7" s="580">
        <v>112441</v>
      </c>
      <c r="E7" s="580">
        <v>233422</v>
      </c>
      <c r="F7" s="580">
        <v>1270</v>
      </c>
      <c r="G7" s="580">
        <v>1964</v>
      </c>
      <c r="H7" s="580">
        <v>3234</v>
      </c>
      <c r="I7" s="580">
        <v>2511463.3475124459</v>
      </c>
      <c r="J7" s="580">
        <v>3202950.2386886091</v>
      </c>
      <c r="K7" s="580">
        <v>5714413.586201055</v>
      </c>
      <c r="L7" s="580">
        <v>17855691.27810438</v>
      </c>
      <c r="M7" s="580">
        <v>16819897.376373429</v>
      </c>
      <c r="N7" s="580">
        <v>34675588.654477812</v>
      </c>
      <c r="O7" s="580">
        <v>116482</v>
      </c>
      <c r="P7" s="580">
        <v>98009</v>
      </c>
      <c r="Q7" s="580">
        <v>214491</v>
      </c>
      <c r="R7" s="580">
        <v>1909954</v>
      </c>
      <c r="S7" s="580">
        <v>1192121</v>
      </c>
      <c r="T7" s="580">
        <v>3102075</v>
      </c>
      <c r="U7" s="580">
        <v>76413</v>
      </c>
      <c r="V7" s="580">
        <v>73826</v>
      </c>
      <c r="W7" s="580">
        <v>150239</v>
      </c>
      <c r="X7" s="580">
        <v>285117</v>
      </c>
      <c r="Y7" s="580">
        <v>253681</v>
      </c>
      <c r="Z7" s="580">
        <v>538798</v>
      </c>
      <c r="AA7" s="580">
        <v>22877371.62561683</v>
      </c>
      <c r="AB7" s="580">
        <v>21754889.615062039</v>
      </c>
      <c r="AC7" s="580">
        <v>44632261.240678862</v>
      </c>
    </row>
    <row r="8" spans="1:29" x14ac:dyDescent="0.3">
      <c r="A8" s="931"/>
      <c r="B8" s="464" t="s">
        <v>958</v>
      </c>
      <c r="C8" s="580">
        <v>113932</v>
      </c>
      <c r="D8" s="580">
        <v>98636</v>
      </c>
      <c r="E8" s="580">
        <v>212568</v>
      </c>
      <c r="F8" s="580">
        <v>3393</v>
      </c>
      <c r="G8" s="580">
        <v>6127</v>
      </c>
      <c r="H8" s="580">
        <v>9520</v>
      </c>
      <c r="I8" s="580">
        <v>2325040</v>
      </c>
      <c r="J8" s="580">
        <v>2892713</v>
      </c>
      <c r="K8" s="580">
        <v>5217753</v>
      </c>
      <c r="L8" s="580">
        <v>17854294</v>
      </c>
      <c r="M8" s="580">
        <v>16284939</v>
      </c>
      <c r="N8" s="580">
        <v>34139233</v>
      </c>
      <c r="O8" s="580">
        <v>130028</v>
      </c>
      <c r="P8" s="580">
        <v>104755</v>
      </c>
      <c r="Q8" s="580">
        <v>234783</v>
      </c>
      <c r="R8" s="580">
        <v>1860546</v>
      </c>
      <c r="S8" s="580">
        <v>1055899</v>
      </c>
      <c r="T8" s="580">
        <v>2916445</v>
      </c>
      <c r="U8" s="580">
        <v>40558</v>
      </c>
      <c r="V8" s="580">
        <v>36742</v>
      </c>
      <c r="W8" s="580">
        <v>77300</v>
      </c>
      <c r="X8" s="580">
        <v>248598</v>
      </c>
      <c r="Y8" s="580">
        <v>211981</v>
      </c>
      <c r="Z8" s="580">
        <v>460579</v>
      </c>
      <c r="AA8" s="580">
        <v>22576389</v>
      </c>
      <c r="AB8" s="580">
        <v>20691792</v>
      </c>
      <c r="AC8" s="580">
        <v>43268181</v>
      </c>
    </row>
    <row r="9" spans="1:29" x14ac:dyDescent="0.3">
      <c r="A9" s="931"/>
      <c r="B9" s="464" t="s">
        <v>957</v>
      </c>
      <c r="C9" s="580">
        <v>116764</v>
      </c>
      <c r="D9" s="580">
        <v>95088</v>
      </c>
      <c r="E9" s="580">
        <v>211852</v>
      </c>
      <c r="F9" s="580">
        <v>6345</v>
      </c>
      <c r="G9" s="580">
        <v>10399</v>
      </c>
      <c r="H9" s="580">
        <v>16744</v>
      </c>
      <c r="I9" s="580">
        <v>2053794</v>
      </c>
      <c r="J9" s="580">
        <v>2662855</v>
      </c>
      <c r="K9" s="580">
        <v>4716649</v>
      </c>
      <c r="L9" s="580">
        <v>16747674</v>
      </c>
      <c r="M9" s="580">
        <v>15909835</v>
      </c>
      <c r="N9" s="580">
        <v>32657509</v>
      </c>
      <c r="O9" s="580">
        <v>143723</v>
      </c>
      <c r="P9" s="580">
        <v>113464</v>
      </c>
      <c r="Q9" s="580">
        <v>257187</v>
      </c>
      <c r="R9" s="580">
        <v>1873568</v>
      </c>
      <c r="S9" s="580">
        <v>1105752</v>
      </c>
      <c r="T9" s="580">
        <v>2979320</v>
      </c>
      <c r="U9" s="580">
        <v>83841</v>
      </c>
      <c r="V9" s="580">
        <v>72070</v>
      </c>
      <c r="W9" s="580">
        <v>155911</v>
      </c>
      <c r="X9" s="580">
        <v>212201</v>
      </c>
      <c r="Y9" s="580">
        <v>173340</v>
      </c>
      <c r="Z9" s="580">
        <v>385541</v>
      </c>
      <c r="AA9" s="580">
        <v>21237910</v>
      </c>
      <c r="AB9" s="580">
        <v>20142803</v>
      </c>
      <c r="AC9" s="580">
        <v>41380713</v>
      </c>
    </row>
    <row r="10" spans="1:29" x14ac:dyDescent="0.3">
      <c r="A10" s="931"/>
      <c r="B10" s="464" t="s">
        <v>956</v>
      </c>
      <c r="C10" s="580">
        <v>111444</v>
      </c>
      <c r="D10" s="580">
        <v>91106</v>
      </c>
      <c r="E10" s="580">
        <v>202550</v>
      </c>
      <c r="F10" s="580">
        <v>9043</v>
      </c>
      <c r="G10" s="580">
        <v>14891</v>
      </c>
      <c r="H10" s="580">
        <v>23934</v>
      </c>
      <c r="I10" s="580">
        <v>1860163</v>
      </c>
      <c r="J10" s="580">
        <v>2452372</v>
      </c>
      <c r="K10" s="580">
        <v>4312535</v>
      </c>
      <c r="L10" s="580">
        <v>15563077</v>
      </c>
      <c r="M10" s="580">
        <v>15084210</v>
      </c>
      <c r="N10" s="580">
        <v>30647287</v>
      </c>
      <c r="O10" s="580">
        <v>116346</v>
      </c>
      <c r="P10" s="580">
        <v>100903</v>
      </c>
      <c r="Q10" s="580">
        <v>217249</v>
      </c>
      <c r="R10" s="580">
        <v>1740798</v>
      </c>
      <c r="S10" s="580">
        <v>931764</v>
      </c>
      <c r="T10" s="580">
        <v>2672562</v>
      </c>
      <c r="U10" s="580">
        <v>74164</v>
      </c>
      <c r="V10" s="580">
        <v>85705</v>
      </c>
      <c r="W10" s="580">
        <v>159869</v>
      </c>
      <c r="X10" s="580">
        <v>168712</v>
      </c>
      <c r="Y10" s="580">
        <v>131661</v>
      </c>
      <c r="Z10" s="580">
        <v>300373</v>
      </c>
      <c r="AA10" s="580">
        <v>19643747</v>
      </c>
      <c r="AB10" s="580">
        <v>18892612</v>
      </c>
      <c r="AC10" s="580">
        <v>38536359</v>
      </c>
    </row>
    <row r="11" spans="1:29" ht="14.5" x14ac:dyDescent="0.35">
      <c r="A11" s="929">
        <v>1</v>
      </c>
      <c r="B11" s="937" t="s">
        <v>56</v>
      </c>
      <c r="C11" s="936"/>
      <c r="D11" s="936"/>
      <c r="E11" s="936"/>
      <c r="F11" s="936"/>
      <c r="G11" s="936"/>
      <c r="H11" s="936"/>
      <c r="I11" s="936"/>
      <c r="J11" s="936"/>
      <c r="K11" s="936"/>
      <c r="L11" s="936"/>
      <c r="M11" s="936"/>
      <c r="N11" s="936"/>
      <c r="O11" s="936"/>
      <c r="P11" s="936"/>
      <c r="Q11" s="936"/>
      <c r="R11" s="936"/>
      <c r="S11" s="936"/>
      <c r="T11" s="936"/>
      <c r="U11" s="936"/>
      <c r="V11" s="936"/>
      <c r="W11" s="936"/>
      <c r="X11" s="936"/>
      <c r="Y11" s="936"/>
      <c r="Z11" s="936"/>
      <c r="AA11" s="936"/>
      <c r="AB11" s="936"/>
      <c r="AC11" s="936"/>
    </row>
    <row r="12" spans="1:29" x14ac:dyDescent="0.3">
      <c r="A12" s="929"/>
      <c r="B12" s="463" t="s">
        <v>960</v>
      </c>
      <c r="C12" s="579"/>
      <c r="D12" s="579"/>
      <c r="E12" s="579"/>
      <c r="F12" s="579"/>
      <c r="G12" s="579"/>
      <c r="H12" s="579"/>
      <c r="I12" s="579">
        <v>492</v>
      </c>
      <c r="J12" s="579">
        <v>813</v>
      </c>
      <c r="K12" s="579">
        <v>1305</v>
      </c>
      <c r="L12" s="579">
        <v>2575</v>
      </c>
      <c r="M12" s="579">
        <v>2338</v>
      </c>
      <c r="N12" s="579">
        <v>4913</v>
      </c>
      <c r="O12" s="579">
        <v>23</v>
      </c>
      <c r="P12" s="579">
        <v>30</v>
      </c>
      <c r="Q12" s="579">
        <v>53</v>
      </c>
      <c r="R12" s="579">
        <v>369</v>
      </c>
      <c r="S12" s="579">
        <v>309</v>
      </c>
      <c r="T12" s="579">
        <v>678</v>
      </c>
      <c r="U12" s="579"/>
      <c r="V12" s="579"/>
      <c r="W12" s="579"/>
      <c r="X12" s="579">
        <v>48</v>
      </c>
      <c r="Y12" s="579">
        <v>131</v>
      </c>
      <c r="Z12" s="579">
        <v>179</v>
      </c>
      <c r="AA12" s="579">
        <v>3507</v>
      </c>
      <c r="AB12" s="579">
        <v>3621</v>
      </c>
      <c r="AC12" s="579">
        <v>7128</v>
      </c>
    </row>
    <row r="13" spans="1:29" x14ac:dyDescent="0.3">
      <c r="A13" s="929"/>
      <c r="B13" s="464" t="s">
        <v>959</v>
      </c>
      <c r="C13" s="580"/>
      <c r="D13" s="580"/>
      <c r="E13" s="580"/>
      <c r="F13" s="580"/>
      <c r="G13" s="580"/>
      <c r="H13" s="580"/>
      <c r="I13" s="580">
        <v>534</v>
      </c>
      <c r="J13" s="580">
        <v>751</v>
      </c>
      <c r="K13" s="580">
        <v>1285</v>
      </c>
      <c r="L13" s="580">
        <v>2794</v>
      </c>
      <c r="M13" s="580">
        <v>2331</v>
      </c>
      <c r="N13" s="580">
        <v>5125</v>
      </c>
      <c r="O13" s="580">
        <v>34</v>
      </c>
      <c r="P13" s="580">
        <v>41</v>
      </c>
      <c r="Q13" s="580">
        <v>75</v>
      </c>
      <c r="R13" s="580">
        <v>443</v>
      </c>
      <c r="S13" s="580">
        <v>334</v>
      </c>
      <c r="T13" s="580">
        <v>777</v>
      </c>
      <c r="U13" s="580">
        <v>0</v>
      </c>
      <c r="V13" s="580">
        <v>0</v>
      </c>
      <c r="W13" s="580">
        <v>0</v>
      </c>
      <c r="X13" s="580">
        <v>48</v>
      </c>
      <c r="Y13" s="580">
        <v>131</v>
      </c>
      <c r="Z13" s="580">
        <v>179</v>
      </c>
      <c r="AA13" s="580">
        <v>3853</v>
      </c>
      <c r="AB13" s="580">
        <v>3588</v>
      </c>
      <c r="AC13" s="580">
        <v>7441</v>
      </c>
    </row>
    <row r="14" spans="1:29" x14ac:dyDescent="0.3">
      <c r="A14" s="929"/>
      <c r="B14" s="464" t="s">
        <v>958</v>
      </c>
      <c r="C14" s="580">
        <v>5</v>
      </c>
      <c r="D14" s="580">
        <v>9</v>
      </c>
      <c r="E14" s="580">
        <v>14</v>
      </c>
      <c r="F14" s="580"/>
      <c r="G14" s="580"/>
      <c r="H14" s="580"/>
      <c r="I14" s="580">
        <v>575</v>
      </c>
      <c r="J14" s="580">
        <v>942</v>
      </c>
      <c r="K14" s="580">
        <v>1517</v>
      </c>
      <c r="L14" s="580">
        <v>3807</v>
      </c>
      <c r="M14" s="580">
        <v>4444</v>
      </c>
      <c r="N14" s="580">
        <v>8251</v>
      </c>
      <c r="O14" s="580">
        <v>26</v>
      </c>
      <c r="P14" s="580">
        <v>37</v>
      </c>
      <c r="Q14" s="580">
        <v>63</v>
      </c>
      <c r="R14" s="580">
        <v>555</v>
      </c>
      <c r="S14" s="580">
        <v>407</v>
      </c>
      <c r="T14" s="580">
        <v>962</v>
      </c>
      <c r="U14" s="580">
        <v>39</v>
      </c>
      <c r="V14" s="580">
        <v>33</v>
      </c>
      <c r="W14" s="580">
        <v>72</v>
      </c>
      <c r="X14" s="580">
        <v>193</v>
      </c>
      <c r="Y14" s="580">
        <v>355</v>
      </c>
      <c r="Z14" s="580">
        <v>548</v>
      </c>
      <c r="AA14" s="580">
        <v>5200</v>
      </c>
      <c r="AB14" s="580">
        <v>6227</v>
      </c>
      <c r="AC14" s="580">
        <v>11427</v>
      </c>
    </row>
    <row r="15" spans="1:29" x14ac:dyDescent="0.3">
      <c r="A15" s="929"/>
      <c r="B15" s="464" t="s">
        <v>957</v>
      </c>
      <c r="C15" s="580">
        <v>7</v>
      </c>
      <c r="D15" s="580">
        <v>12</v>
      </c>
      <c r="E15" s="580">
        <v>19</v>
      </c>
      <c r="F15" s="580">
        <v>0</v>
      </c>
      <c r="G15" s="580">
        <v>0</v>
      </c>
      <c r="H15" s="580">
        <v>0</v>
      </c>
      <c r="I15" s="580">
        <v>582</v>
      </c>
      <c r="J15" s="580">
        <v>979</v>
      </c>
      <c r="K15" s="580">
        <v>1561</v>
      </c>
      <c r="L15" s="580">
        <v>4055</v>
      </c>
      <c r="M15" s="580">
        <v>4672</v>
      </c>
      <c r="N15" s="580">
        <v>8727</v>
      </c>
      <c r="O15" s="580">
        <v>85</v>
      </c>
      <c r="P15" s="580">
        <v>56</v>
      </c>
      <c r="Q15" s="580">
        <v>141</v>
      </c>
      <c r="R15" s="580">
        <v>621</v>
      </c>
      <c r="S15" s="580">
        <v>455</v>
      </c>
      <c r="T15" s="580">
        <v>1076</v>
      </c>
      <c r="U15" s="580">
        <v>39</v>
      </c>
      <c r="V15" s="580">
        <v>33</v>
      </c>
      <c r="W15" s="580">
        <v>72</v>
      </c>
      <c r="X15" s="580">
        <v>145</v>
      </c>
      <c r="Y15" s="580">
        <v>224</v>
      </c>
      <c r="Z15" s="580">
        <v>369</v>
      </c>
      <c r="AA15" s="580">
        <v>5534</v>
      </c>
      <c r="AB15" s="580">
        <v>6431</v>
      </c>
      <c r="AC15" s="580">
        <v>11965</v>
      </c>
    </row>
    <row r="16" spans="1:29" x14ac:dyDescent="0.3">
      <c r="A16" s="929"/>
      <c r="B16" s="464" t="s">
        <v>956</v>
      </c>
      <c r="C16" s="580">
        <v>5</v>
      </c>
      <c r="D16" s="580">
        <v>9</v>
      </c>
      <c r="E16" s="580">
        <v>14</v>
      </c>
      <c r="F16" s="580">
        <v>0</v>
      </c>
      <c r="G16" s="580">
        <v>0</v>
      </c>
      <c r="H16" s="580">
        <v>0</v>
      </c>
      <c r="I16" s="580">
        <v>571</v>
      </c>
      <c r="J16" s="580">
        <v>969</v>
      </c>
      <c r="K16" s="580">
        <v>1540</v>
      </c>
      <c r="L16" s="580">
        <v>3397</v>
      </c>
      <c r="M16" s="580">
        <v>4059</v>
      </c>
      <c r="N16" s="580">
        <v>7456</v>
      </c>
      <c r="O16" s="580">
        <v>58</v>
      </c>
      <c r="P16" s="580">
        <v>40</v>
      </c>
      <c r="Q16" s="580">
        <v>98</v>
      </c>
      <c r="R16" s="580">
        <v>310</v>
      </c>
      <c r="S16" s="580">
        <v>262</v>
      </c>
      <c r="T16" s="580">
        <v>572</v>
      </c>
      <c r="U16" s="580">
        <v>46</v>
      </c>
      <c r="V16" s="580">
        <v>36</v>
      </c>
      <c r="W16" s="580">
        <v>82</v>
      </c>
      <c r="X16" s="580">
        <v>145</v>
      </c>
      <c r="Y16" s="580">
        <v>224</v>
      </c>
      <c r="Z16" s="580">
        <v>369</v>
      </c>
      <c r="AA16" s="580">
        <v>4532</v>
      </c>
      <c r="AB16" s="580">
        <v>5599</v>
      </c>
      <c r="AC16" s="580">
        <v>10131</v>
      </c>
    </row>
    <row r="17" spans="1:29" ht="14.5" x14ac:dyDescent="0.35">
      <c r="A17" s="929">
        <v>2</v>
      </c>
      <c r="B17" s="935" t="s">
        <v>13</v>
      </c>
      <c r="C17" s="936"/>
      <c r="D17" s="936"/>
      <c r="E17" s="936"/>
      <c r="F17" s="936"/>
      <c r="G17" s="936"/>
      <c r="H17" s="936"/>
      <c r="I17" s="936"/>
      <c r="J17" s="936"/>
      <c r="K17" s="936"/>
      <c r="L17" s="936"/>
      <c r="M17" s="936"/>
      <c r="N17" s="936"/>
      <c r="O17" s="936"/>
      <c r="P17" s="936"/>
      <c r="Q17" s="936"/>
      <c r="R17" s="936"/>
      <c r="S17" s="936"/>
      <c r="T17" s="936"/>
      <c r="U17" s="936"/>
      <c r="V17" s="936"/>
      <c r="W17" s="936"/>
      <c r="X17" s="936"/>
      <c r="Y17" s="936"/>
      <c r="Z17" s="936"/>
      <c r="AA17" s="936"/>
      <c r="AB17" s="936"/>
      <c r="AC17" s="936"/>
    </row>
    <row r="18" spans="1:29" x14ac:dyDescent="0.3">
      <c r="A18" s="929"/>
      <c r="B18" s="463" t="s">
        <v>960</v>
      </c>
      <c r="C18" s="579">
        <v>4490</v>
      </c>
      <c r="D18" s="579">
        <v>3837</v>
      </c>
      <c r="E18" s="579">
        <v>8327</v>
      </c>
      <c r="F18" s="579"/>
      <c r="G18" s="579"/>
      <c r="H18" s="579"/>
      <c r="I18" s="579">
        <v>99603.977204532159</v>
      </c>
      <c r="J18" s="579">
        <v>103195.37268088624</v>
      </c>
      <c r="K18" s="579">
        <v>202799.3498854184</v>
      </c>
      <c r="L18" s="579">
        <v>731768.60589461378</v>
      </c>
      <c r="M18" s="579">
        <v>701269.8314645018</v>
      </c>
      <c r="N18" s="579">
        <v>1433038.4373591156</v>
      </c>
      <c r="O18" s="579">
        <v>1638</v>
      </c>
      <c r="P18" s="579">
        <v>1027</v>
      </c>
      <c r="Q18" s="579">
        <v>2665</v>
      </c>
      <c r="R18" s="579">
        <v>83707</v>
      </c>
      <c r="S18" s="579">
        <v>61212</v>
      </c>
      <c r="T18" s="579">
        <v>144919</v>
      </c>
      <c r="U18" s="579">
        <v>385</v>
      </c>
      <c r="V18" s="579">
        <v>191</v>
      </c>
      <c r="W18" s="579">
        <v>576</v>
      </c>
      <c r="X18" s="579">
        <v>7512</v>
      </c>
      <c r="Y18" s="579">
        <v>4531</v>
      </c>
      <c r="Z18" s="579">
        <v>12043</v>
      </c>
      <c r="AA18" s="579">
        <v>929104.58309914614</v>
      </c>
      <c r="AB18" s="579">
        <v>875263.20414538798</v>
      </c>
      <c r="AC18" s="579">
        <v>1804367.7872445341</v>
      </c>
    </row>
    <row r="19" spans="1:29" x14ac:dyDescent="0.3">
      <c r="A19" s="929"/>
      <c r="B19" s="464" t="s">
        <v>959</v>
      </c>
      <c r="C19" s="580">
        <v>3348</v>
      </c>
      <c r="D19" s="580">
        <v>2846</v>
      </c>
      <c r="E19" s="580">
        <v>6194</v>
      </c>
      <c r="F19" s="580"/>
      <c r="G19" s="580"/>
      <c r="H19" s="580"/>
      <c r="I19" s="580">
        <v>98766.668650207779</v>
      </c>
      <c r="J19" s="580">
        <v>98877.896160230943</v>
      </c>
      <c r="K19" s="580" t="s">
        <v>976</v>
      </c>
      <c r="L19" s="580">
        <v>763277.22869092692</v>
      </c>
      <c r="M19" s="580">
        <v>712084.04769660253</v>
      </c>
      <c r="N19" s="580">
        <v>1475361.276387529</v>
      </c>
      <c r="O19" s="580">
        <v>918</v>
      </c>
      <c r="P19" s="580">
        <v>545</v>
      </c>
      <c r="Q19" s="580">
        <v>1463</v>
      </c>
      <c r="R19" s="580">
        <v>86764</v>
      </c>
      <c r="S19" s="580">
        <v>59646</v>
      </c>
      <c r="T19" s="580">
        <v>146410</v>
      </c>
      <c r="U19" s="580">
        <v>257</v>
      </c>
      <c r="V19" s="580">
        <v>65</v>
      </c>
      <c r="W19" s="580">
        <v>322</v>
      </c>
      <c r="X19" s="580">
        <v>7834</v>
      </c>
      <c r="Y19" s="580">
        <v>5116</v>
      </c>
      <c r="Z19" s="580">
        <v>12950</v>
      </c>
      <c r="AA19" s="580">
        <v>961164.89734113473</v>
      </c>
      <c r="AB19" s="580">
        <v>879179.94385683339</v>
      </c>
      <c r="AC19" s="580">
        <v>1840344.841197968</v>
      </c>
    </row>
    <row r="20" spans="1:29" x14ac:dyDescent="0.3">
      <c r="A20" s="929"/>
      <c r="B20" s="464" t="s">
        <v>958</v>
      </c>
      <c r="C20" s="580">
        <v>3237</v>
      </c>
      <c r="D20" s="580">
        <v>2346</v>
      </c>
      <c r="E20" s="580">
        <v>5583</v>
      </c>
      <c r="F20" s="580">
        <v>7</v>
      </c>
      <c r="G20" s="580">
        <v>16</v>
      </c>
      <c r="H20" s="580">
        <v>23</v>
      </c>
      <c r="I20" s="580">
        <v>93141</v>
      </c>
      <c r="J20" s="580">
        <v>91801</v>
      </c>
      <c r="K20" s="580" t="s">
        <v>966</v>
      </c>
      <c r="L20" s="580">
        <v>828981</v>
      </c>
      <c r="M20" s="580">
        <v>740069</v>
      </c>
      <c r="N20" s="580">
        <v>1569050</v>
      </c>
      <c r="O20" s="580">
        <v>997</v>
      </c>
      <c r="P20" s="580">
        <v>574</v>
      </c>
      <c r="Q20" s="580">
        <v>1571</v>
      </c>
      <c r="R20" s="580">
        <v>95265</v>
      </c>
      <c r="S20" s="580">
        <v>61698</v>
      </c>
      <c r="T20" s="580">
        <v>156963</v>
      </c>
      <c r="U20" s="580">
        <v>357</v>
      </c>
      <c r="V20" s="580">
        <v>154</v>
      </c>
      <c r="W20" s="580">
        <v>511</v>
      </c>
      <c r="X20" s="580">
        <v>6754</v>
      </c>
      <c r="Y20" s="580">
        <v>3762</v>
      </c>
      <c r="Z20" s="580">
        <v>10516</v>
      </c>
      <c r="AA20" s="580">
        <v>1028739</v>
      </c>
      <c r="AB20" s="580">
        <v>900420</v>
      </c>
      <c r="AC20" s="580">
        <v>1929159</v>
      </c>
    </row>
    <row r="21" spans="1:29" x14ac:dyDescent="0.3">
      <c r="A21" s="929"/>
      <c r="B21" s="464" t="s">
        <v>957</v>
      </c>
      <c r="C21" s="580">
        <v>4283</v>
      </c>
      <c r="D21" s="580">
        <v>2708</v>
      </c>
      <c r="E21" s="580">
        <v>6991</v>
      </c>
      <c r="F21" s="580">
        <v>70</v>
      </c>
      <c r="G21" s="580">
        <v>48</v>
      </c>
      <c r="H21" s="580">
        <v>118</v>
      </c>
      <c r="I21" s="580">
        <v>98570</v>
      </c>
      <c r="J21" s="580">
        <v>97244</v>
      </c>
      <c r="K21" s="580">
        <v>195814</v>
      </c>
      <c r="L21" s="580">
        <v>846588</v>
      </c>
      <c r="M21" s="580">
        <v>759307</v>
      </c>
      <c r="N21" s="580">
        <v>1605895</v>
      </c>
      <c r="O21" s="580">
        <v>758</v>
      </c>
      <c r="P21" s="580">
        <v>431</v>
      </c>
      <c r="Q21" s="580">
        <v>1189</v>
      </c>
      <c r="R21" s="580">
        <v>96913</v>
      </c>
      <c r="S21" s="580">
        <v>66591</v>
      </c>
      <c r="T21" s="580">
        <v>163504</v>
      </c>
      <c r="U21" s="580">
        <v>454</v>
      </c>
      <c r="V21" s="580">
        <v>696</v>
      </c>
      <c r="W21" s="580">
        <v>1150</v>
      </c>
      <c r="X21" s="580">
        <v>8429</v>
      </c>
      <c r="Y21" s="580">
        <v>4528</v>
      </c>
      <c r="Z21" s="580">
        <v>12957</v>
      </c>
      <c r="AA21" s="580">
        <v>1056065</v>
      </c>
      <c r="AB21" s="580">
        <v>931553</v>
      </c>
      <c r="AC21" s="580">
        <v>1987618</v>
      </c>
    </row>
    <row r="22" spans="1:29" x14ac:dyDescent="0.3">
      <c r="A22" s="929"/>
      <c r="B22" s="464" t="s">
        <v>956</v>
      </c>
      <c r="C22" s="580">
        <v>3837</v>
      </c>
      <c r="D22" s="580">
        <v>2879</v>
      </c>
      <c r="E22" s="580">
        <v>6716</v>
      </c>
      <c r="F22" s="580">
        <v>175</v>
      </c>
      <c r="G22" s="580">
        <v>102</v>
      </c>
      <c r="H22" s="580">
        <v>277</v>
      </c>
      <c r="I22" s="580">
        <v>112024</v>
      </c>
      <c r="J22" s="580">
        <v>105816</v>
      </c>
      <c r="K22" s="580">
        <v>217840</v>
      </c>
      <c r="L22" s="580">
        <v>798084</v>
      </c>
      <c r="M22" s="580">
        <v>694983</v>
      </c>
      <c r="N22" s="580">
        <v>1493067</v>
      </c>
      <c r="O22" s="580">
        <v>1402</v>
      </c>
      <c r="P22" s="580">
        <v>879</v>
      </c>
      <c r="Q22" s="580">
        <v>2281</v>
      </c>
      <c r="R22" s="580">
        <v>93033</v>
      </c>
      <c r="S22" s="580">
        <v>60085</v>
      </c>
      <c r="T22" s="580">
        <v>153118</v>
      </c>
      <c r="U22" s="580">
        <v>3921</v>
      </c>
      <c r="V22" s="580">
        <v>6917</v>
      </c>
      <c r="W22" s="580">
        <v>10838</v>
      </c>
      <c r="X22" s="580">
        <v>8650</v>
      </c>
      <c r="Y22" s="580">
        <v>4362</v>
      </c>
      <c r="Z22" s="580">
        <v>13012</v>
      </c>
      <c r="AA22" s="580">
        <v>1021126</v>
      </c>
      <c r="AB22" s="580">
        <v>876023</v>
      </c>
      <c r="AC22" s="580">
        <v>1897149</v>
      </c>
    </row>
    <row r="23" spans="1:29" ht="14.5" x14ac:dyDescent="0.35">
      <c r="A23" s="929">
        <v>3</v>
      </c>
      <c r="B23" s="935" t="s">
        <v>14</v>
      </c>
      <c r="C23" s="936"/>
      <c r="D23" s="936"/>
      <c r="E23" s="936"/>
      <c r="F23" s="936"/>
      <c r="G23" s="936"/>
      <c r="H23" s="936"/>
      <c r="I23" s="936"/>
      <c r="J23" s="936"/>
      <c r="K23" s="936"/>
      <c r="L23" s="936"/>
      <c r="M23" s="936"/>
      <c r="N23" s="936"/>
      <c r="O23" s="936"/>
      <c r="P23" s="936"/>
      <c r="Q23" s="936"/>
      <c r="R23" s="936"/>
      <c r="S23" s="936"/>
      <c r="T23" s="936"/>
      <c r="U23" s="936"/>
      <c r="V23" s="936"/>
      <c r="W23" s="936"/>
      <c r="X23" s="936"/>
      <c r="Y23" s="936"/>
      <c r="Z23" s="936"/>
      <c r="AA23" s="936"/>
      <c r="AB23" s="936"/>
      <c r="AC23" s="936"/>
    </row>
    <row r="24" spans="1:29" x14ac:dyDescent="0.3">
      <c r="A24" s="929"/>
      <c r="B24" s="463" t="s">
        <v>960</v>
      </c>
      <c r="C24" s="579">
        <v>750</v>
      </c>
      <c r="D24" s="579">
        <v>607</v>
      </c>
      <c r="E24" s="579">
        <v>1357</v>
      </c>
      <c r="F24" s="579"/>
      <c r="G24" s="579"/>
      <c r="H24" s="579"/>
      <c r="I24" s="579">
        <v>5269</v>
      </c>
      <c r="J24" s="579">
        <v>5519</v>
      </c>
      <c r="K24" s="579">
        <v>10788</v>
      </c>
      <c r="L24" s="579">
        <v>22695</v>
      </c>
      <c r="M24" s="579">
        <v>20562</v>
      </c>
      <c r="N24" s="579">
        <v>43257</v>
      </c>
      <c r="O24" s="579">
        <v>109</v>
      </c>
      <c r="P24" s="579">
        <v>86</v>
      </c>
      <c r="Q24" s="579">
        <v>195</v>
      </c>
      <c r="R24" s="579">
        <v>1146</v>
      </c>
      <c r="S24" s="579">
        <v>1366</v>
      </c>
      <c r="T24" s="579">
        <v>2512</v>
      </c>
      <c r="U24" s="579">
        <v>332</v>
      </c>
      <c r="V24" s="579">
        <v>186</v>
      </c>
      <c r="W24" s="579">
        <v>518</v>
      </c>
      <c r="X24" s="579">
        <v>1086</v>
      </c>
      <c r="Y24" s="579">
        <v>735</v>
      </c>
      <c r="Z24" s="579">
        <v>1821</v>
      </c>
      <c r="AA24" s="579">
        <v>31387</v>
      </c>
      <c r="AB24" s="579">
        <v>29061</v>
      </c>
      <c r="AC24" s="579">
        <v>60448</v>
      </c>
    </row>
    <row r="25" spans="1:29" x14ac:dyDescent="0.3">
      <c r="A25" s="929"/>
      <c r="B25" s="464" t="s">
        <v>959</v>
      </c>
      <c r="C25" s="580">
        <v>402</v>
      </c>
      <c r="D25" s="580">
        <v>275</v>
      </c>
      <c r="E25" s="580">
        <v>677</v>
      </c>
      <c r="F25" s="580">
        <v>23</v>
      </c>
      <c r="G25" s="580">
        <v>18</v>
      </c>
      <c r="H25" s="580">
        <v>41</v>
      </c>
      <c r="I25" s="580">
        <v>5733</v>
      </c>
      <c r="J25" s="580">
        <v>5844</v>
      </c>
      <c r="K25" s="580">
        <v>11577</v>
      </c>
      <c r="L25" s="580">
        <v>24535</v>
      </c>
      <c r="M25" s="580">
        <v>20952</v>
      </c>
      <c r="N25" s="580">
        <v>45487</v>
      </c>
      <c r="O25" s="580">
        <v>125</v>
      </c>
      <c r="P25" s="580">
        <v>93</v>
      </c>
      <c r="Q25" s="580">
        <v>218</v>
      </c>
      <c r="R25" s="580">
        <v>1450</v>
      </c>
      <c r="S25" s="580">
        <v>1660</v>
      </c>
      <c r="T25" s="580">
        <v>3110</v>
      </c>
      <c r="U25" s="580">
        <v>329</v>
      </c>
      <c r="V25" s="580">
        <v>194</v>
      </c>
      <c r="W25" s="580">
        <v>523</v>
      </c>
      <c r="X25" s="580">
        <v>1113</v>
      </c>
      <c r="Y25" s="580">
        <v>766</v>
      </c>
      <c r="Z25" s="580">
        <v>1879</v>
      </c>
      <c r="AA25" s="580">
        <v>33710</v>
      </c>
      <c r="AB25" s="580">
        <v>29802</v>
      </c>
      <c r="AC25" s="580">
        <v>63512</v>
      </c>
    </row>
    <row r="26" spans="1:29" x14ac:dyDescent="0.3">
      <c r="A26" s="929"/>
      <c r="B26" s="464" t="s">
        <v>958</v>
      </c>
      <c r="C26" s="580">
        <v>441</v>
      </c>
      <c r="D26" s="580">
        <v>240</v>
      </c>
      <c r="E26" s="580">
        <v>681</v>
      </c>
      <c r="F26" s="580"/>
      <c r="G26" s="580"/>
      <c r="H26" s="580"/>
      <c r="I26" s="580">
        <v>6481</v>
      </c>
      <c r="J26" s="580">
        <v>6215</v>
      </c>
      <c r="K26" s="580" t="s">
        <v>967</v>
      </c>
      <c r="L26" s="580">
        <v>25094</v>
      </c>
      <c r="M26" s="580">
        <v>21201</v>
      </c>
      <c r="N26" s="580">
        <v>46295</v>
      </c>
      <c r="O26" s="580">
        <v>152</v>
      </c>
      <c r="P26" s="580">
        <v>101</v>
      </c>
      <c r="Q26" s="580">
        <v>253</v>
      </c>
      <c r="R26" s="580">
        <v>1335</v>
      </c>
      <c r="S26" s="580">
        <v>1260</v>
      </c>
      <c r="T26" s="580">
        <v>2595</v>
      </c>
      <c r="U26" s="580">
        <v>329</v>
      </c>
      <c r="V26" s="580">
        <v>163</v>
      </c>
      <c r="W26" s="580">
        <v>492</v>
      </c>
      <c r="X26" s="580">
        <v>1163</v>
      </c>
      <c r="Y26" s="580">
        <v>715</v>
      </c>
      <c r="Z26" s="580">
        <v>1878</v>
      </c>
      <c r="AA26" s="580">
        <v>34995</v>
      </c>
      <c r="AB26" s="580">
        <v>29895</v>
      </c>
      <c r="AC26" s="580">
        <v>64890</v>
      </c>
    </row>
    <row r="27" spans="1:29" x14ac:dyDescent="0.3">
      <c r="A27" s="929"/>
      <c r="B27" s="464" t="s">
        <v>957</v>
      </c>
      <c r="C27" s="580">
        <v>470</v>
      </c>
      <c r="D27" s="580">
        <v>258</v>
      </c>
      <c r="E27" s="580">
        <v>728</v>
      </c>
      <c r="F27" s="580">
        <v>56</v>
      </c>
      <c r="G27" s="580">
        <v>74</v>
      </c>
      <c r="H27" s="580">
        <v>130</v>
      </c>
      <c r="I27" s="580">
        <v>5623</v>
      </c>
      <c r="J27" s="580">
        <v>5814</v>
      </c>
      <c r="K27" s="580">
        <v>11437</v>
      </c>
      <c r="L27" s="580">
        <v>22310</v>
      </c>
      <c r="M27" s="580">
        <v>20017</v>
      </c>
      <c r="N27" s="580">
        <v>42327</v>
      </c>
      <c r="O27" s="580">
        <v>97</v>
      </c>
      <c r="P27" s="580">
        <v>80</v>
      </c>
      <c r="Q27" s="580">
        <v>177</v>
      </c>
      <c r="R27" s="580">
        <v>1403</v>
      </c>
      <c r="S27" s="580">
        <v>1139</v>
      </c>
      <c r="T27" s="580">
        <v>2542</v>
      </c>
      <c r="U27" s="580">
        <v>310</v>
      </c>
      <c r="V27" s="580">
        <v>162</v>
      </c>
      <c r="W27" s="580">
        <v>472</v>
      </c>
      <c r="X27" s="580">
        <v>1196</v>
      </c>
      <c r="Y27" s="580">
        <v>726</v>
      </c>
      <c r="Z27" s="580">
        <v>1922</v>
      </c>
      <c r="AA27" s="580">
        <v>31465</v>
      </c>
      <c r="AB27" s="580">
        <v>28270</v>
      </c>
      <c r="AC27" s="580">
        <v>59735</v>
      </c>
    </row>
    <row r="28" spans="1:29" x14ac:dyDescent="0.3">
      <c r="A28" s="929"/>
      <c r="B28" s="464" t="s">
        <v>956</v>
      </c>
      <c r="C28" s="580">
        <v>597</v>
      </c>
      <c r="D28" s="580">
        <v>469</v>
      </c>
      <c r="E28" s="580">
        <v>1066</v>
      </c>
      <c r="F28" s="580">
        <v>77</v>
      </c>
      <c r="G28" s="580">
        <v>113</v>
      </c>
      <c r="H28" s="580">
        <v>190</v>
      </c>
      <c r="I28" s="580">
        <v>4960</v>
      </c>
      <c r="J28" s="580">
        <v>5880</v>
      </c>
      <c r="K28" s="580">
        <v>10840</v>
      </c>
      <c r="L28" s="580">
        <v>20418</v>
      </c>
      <c r="M28" s="580">
        <v>19017</v>
      </c>
      <c r="N28" s="580">
        <v>39435</v>
      </c>
      <c r="O28" s="580">
        <v>127</v>
      </c>
      <c r="P28" s="580">
        <v>144</v>
      </c>
      <c r="Q28" s="580">
        <v>271</v>
      </c>
      <c r="R28" s="580">
        <v>1308</v>
      </c>
      <c r="S28" s="580">
        <v>645</v>
      </c>
      <c r="T28" s="580">
        <v>1953</v>
      </c>
      <c r="U28" s="580">
        <v>299</v>
      </c>
      <c r="V28" s="580">
        <v>119</v>
      </c>
      <c r="W28" s="580">
        <v>418</v>
      </c>
      <c r="X28" s="580">
        <v>1015</v>
      </c>
      <c r="Y28" s="580">
        <v>628</v>
      </c>
      <c r="Z28" s="580">
        <v>1643</v>
      </c>
      <c r="AA28" s="580">
        <v>28801</v>
      </c>
      <c r="AB28" s="580">
        <v>27015</v>
      </c>
      <c r="AC28" s="580">
        <v>55816</v>
      </c>
    </row>
    <row r="29" spans="1:29" ht="14.5" x14ac:dyDescent="0.35">
      <c r="A29" s="929">
        <v>4</v>
      </c>
      <c r="B29" s="935" t="s">
        <v>15</v>
      </c>
      <c r="C29" s="936"/>
      <c r="D29" s="936"/>
      <c r="E29" s="936"/>
      <c r="F29" s="936"/>
      <c r="G29" s="936"/>
      <c r="H29" s="936"/>
      <c r="I29" s="936"/>
      <c r="J29" s="936"/>
      <c r="K29" s="936"/>
      <c r="L29" s="936"/>
      <c r="M29" s="936"/>
      <c r="N29" s="936"/>
      <c r="O29" s="936"/>
      <c r="P29" s="936"/>
      <c r="Q29" s="936"/>
      <c r="R29" s="936"/>
      <c r="S29" s="936"/>
      <c r="T29" s="936"/>
      <c r="U29" s="936"/>
      <c r="V29" s="936"/>
      <c r="W29" s="936"/>
      <c r="X29" s="936"/>
      <c r="Y29" s="936"/>
      <c r="Z29" s="936"/>
      <c r="AA29" s="936"/>
      <c r="AB29" s="936"/>
      <c r="AC29" s="936"/>
    </row>
    <row r="30" spans="1:29" x14ac:dyDescent="0.3">
      <c r="A30" s="929"/>
      <c r="B30" s="463" t="s">
        <v>960</v>
      </c>
      <c r="C30" s="579">
        <v>5818</v>
      </c>
      <c r="D30" s="579">
        <v>5510</v>
      </c>
      <c r="E30" s="579">
        <v>11328</v>
      </c>
      <c r="F30" s="579">
        <v>9</v>
      </c>
      <c r="G30" s="579">
        <v>49</v>
      </c>
      <c r="H30" s="579">
        <v>58</v>
      </c>
      <c r="I30" s="579">
        <v>41593</v>
      </c>
      <c r="J30" s="579">
        <v>66887.947368421053</v>
      </c>
      <c r="K30" s="579" t="s">
        <v>977</v>
      </c>
      <c r="L30" s="579">
        <v>289003.05263157899</v>
      </c>
      <c r="M30" s="579">
        <v>311786.68421052629</v>
      </c>
      <c r="N30" s="579">
        <v>600789.73684210528</v>
      </c>
      <c r="O30" s="579">
        <v>526</v>
      </c>
      <c r="P30" s="579">
        <v>576</v>
      </c>
      <c r="Q30" s="579">
        <v>1102</v>
      </c>
      <c r="R30" s="579">
        <v>17683</v>
      </c>
      <c r="S30" s="579">
        <v>21509</v>
      </c>
      <c r="T30" s="579">
        <v>39192</v>
      </c>
      <c r="U30" s="579">
        <v>10511</v>
      </c>
      <c r="V30" s="579">
        <v>14612</v>
      </c>
      <c r="W30" s="579">
        <v>25123</v>
      </c>
      <c r="X30" s="579">
        <v>3155</v>
      </c>
      <c r="Y30" s="579">
        <v>4231</v>
      </c>
      <c r="Z30" s="579">
        <v>7386</v>
      </c>
      <c r="AA30" s="579">
        <v>368298.05263157893</v>
      </c>
      <c r="AB30" s="579">
        <v>425161.63157894736</v>
      </c>
      <c r="AC30" s="579">
        <v>793459.68421052629</v>
      </c>
    </row>
    <row r="31" spans="1:29" x14ac:dyDescent="0.3">
      <c r="A31" s="929"/>
      <c r="B31" s="464" t="s">
        <v>959</v>
      </c>
      <c r="C31" s="580">
        <v>3048</v>
      </c>
      <c r="D31" s="580">
        <v>2359</v>
      </c>
      <c r="E31" s="580">
        <v>5407</v>
      </c>
      <c r="F31" s="580">
        <v>16</v>
      </c>
      <c r="G31" s="580">
        <v>42</v>
      </c>
      <c r="H31" s="580">
        <v>58</v>
      </c>
      <c r="I31" s="580">
        <v>40226.071428571428</v>
      </c>
      <c r="J31" s="580">
        <v>58561.571428571428</v>
      </c>
      <c r="K31" s="580" t="s">
        <v>978</v>
      </c>
      <c r="L31" s="580">
        <v>279108.5</v>
      </c>
      <c r="M31" s="580">
        <v>281003.92857142858</v>
      </c>
      <c r="N31" s="580">
        <v>560112.42857142852</v>
      </c>
      <c r="O31" s="580">
        <v>758</v>
      </c>
      <c r="P31" s="580">
        <v>842</v>
      </c>
      <c r="Q31" s="580">
        <v>1600</v>
      </c>
      <c r="R31" s="580">
        <v>19056</v>
      </c>
      <c r="S31" s="580">
        <v>20514</v>
      </c>
      <c r="T31" s="580">
        <v>39570</v>
      </c>
      <c r="U31" s="580">
        <v>16041</v>
      </c>
      <c r="V31" s="580">
        <v>23220</v>
      </c>
      <c r="W31" s="580">
        <v>39261</v>
      </c>
      <c r="X31" s="580">
        <v>2879</v>
      </c>
      <c r="Y31" s="580">
        <v>3598</v>
      </c>
      <c r="Z31" s="580">
        <v>6477</v>
      </c>
      <c r="AA31" s="580">
        <v>361132.57142857142</v>
      </c>
      <c r="AB31" s="580">
        <v>390140.5</v>
      </c>
      <c r="AC31" s="580">
        <v>751273.07142857148</v>
      </c>
    </row>
    <row r="32" spans="1:29" x14ac:dyDescent="0.3">
      <c r="A32" s="929"/>
      <c r="B32" s="464" t="s">
        <v>958</v>
      </c>
      <c r="C32" s="580">
        <v>3140</v>
      </c>
      <c r="D32" s="580">
        <v>2230</v>
      </c>
      <c r="E32" s="580">
        <v>5370</v>
      </c>
      <c r="F32" s="580">
        <v>82</v>
      </c>
      <c r="G32" s="580">
        <v>132</v>
      </c>
      <c r="H32" s="580">
        <v>214</v>
      </c>
      <c r="I32" s="580">
        <v>26134</v>
      </c>
      <c r="J32" s="580">
        <v>36830</v>
      </c>
      <c r="K32" s="580">
        <v>62964</v>
      </c>
      <c r="L32" s="580">
        <v>288411</v>
      </c>
      <c r="M32" s="580">
        <v>290995</v>
      </c>
      <c r="N32" s="580">
        <v>579406</v>
      </c>
      <c r="O32" s="580">
        <v>693</v>
      </c>
      <c r="P32" s="580">
        <v>828</v>
      </c>
      <c r="Q32" s="580">
        <v>1521</v>
      </c>
      <c r="R32" s="580">
        <v>12793</v>
      </c>
      <c r="S32" s="580">
        <v>9470</v>
      </c>
      <c r="T32" s="580">
        <v>22263</v>
      </c>
      <c r="U32" s="580">
        <v>102</v>
      </c>
      <c r="V32" s="580">
        <v>688</v>
      </c>
      <c r="W32" s="580">
        <v>790</v>
      </c>
      <c r="X32" s="580">
        <v>2571</v>
      </c>
      <c r="Y32" s="580">
        <v>2913</v>
      </c>
      <c r="Z32" s="580">
        <v>5484</v>
      </c>
      <c r="AA32" s="580">
        <v>333926</v>
      </c>
      <c r="AB32" s="580">
        <v>344086</v>
      </c>
      <c r="AC32" s="580">
        <v>678012</v>
      </c>
    </row>
    <row r="33" spans="1:29" x14ac:dyDescent="0.3">
      <c r="A33" s="929"/>
      <c r="B33" s="464" t="s">
        <v>957</v>
      </c>
      <c r="C33" s="580">
        <v>3648</v>
      </c>
      <c r="D33" s="580">
        <v>2356</v>
      </c>
      <c r="E33" s="580">
        <v>6004</v>
      </c>
      <c r="F33" s="580">
        <v>126</v>
      </c>
      <c r="G33" s="580">
        <v>180</v>
      </c>
      <c r="H33" s="580">
        <v>306</v>
      </c>
      <c r="I33" s="580">
        <v>23461</v>
      </c>
      <c r="J33" s="580">
        <v>33328</v>
      </c>
      <c r="K33" s="580">
        <v>56789</v>
      </c>
      <c r="L33" s="580">
        <v>297876</v>
      </c>
      <c r="M33" s="580">
        <v>304835</v>
      </c>
      <c r="N33" s="580">
        <v>602711</v>
      </c>
      <c r="O33" s="580">
        <v>984</v>
      </c>
      <c r="P33" s="580">
        <v>946</v>
      </c>
      <c r="Q33" s="580">
        <v>1930</v>
      </c>
      <c r="R33" s="580">
        <v>12972</v>
      </c>
      <c r="S33" s="580">
        <v>9814</v>
      </c>
      <c r="T33" s="580">
        <v>22786</v>
      </c>
      <c r="U33" s="580">
        <v>459</v>
      </c>
      <c r="V33" s="580">
        <v>866</v>
      </c>
      <c r="W33" s="580">
        <v>1325</v>
      </c>
      <c r="X33" s="580">
        <v>2459</v>
      </c>
      <c r="Y33" s="580">
        <v>2783</v>
      </c>
      <c r="Z33" s="580">
        <v>5242</v>
      </c>
      <c r="AA33" s="580">
        <v>341985</v>
      </c>
      <c r="AB33" s="580">
        <v>355108</v>
      </c>
      <c r="AC33" s="580">
        <v>697093</v>
      </c>
    </row>
    <row r="34" spans="1:29" x14ac:dyDescent="0.3">
      <c r="A34" s="929"/>
      <c r="B34" s="464" t="s">
        <v>956</v>
      </c>
      <c r="C34" s="580">
        <v>3214</v>
      </c>
      <c r="D34" s="580">
        <v>2413</v>
      </c>
      <c r="E34" s="580">
        <v>5627</v>
      </c>
      <c r="F34" s="580">
        <v>245</v>
      </c>
      <c r="G34" s="580">
        <v>371</v>
      </c>
      <c r="H34" s="580">
        <v>616</v>
      </c>
      <c r="I34" s="580">
        <v>27523</v>
      </c>
      <c r="J34" s="580">
        <v>39800</v>
      </c>
      <c r="K34" s="580">
        <v>67323</v>
      </c>
      <c r="L34" s="580">
        <v>269915</v>
      </c>
      <c r="M34" s="580">
        <v>278078</v>
      </c>
      <c r="N34" s="580">
        <v>547993</v>
      </c>
      <c r="O34" s="580">
        <v>1683</v>
      </c>
      <c r="P34" s="580">
        <v>1530</v>
      </c>
      <c r="Q34" s="580">
        <v>3213</v>
      </c>
      <c r="R34" s="580">
        <v>11139</v>
      </c>
      <c r="S34" s="580">
        <v>8078</v>
      </c>
      <c r="T34" s="580">
        <v>19217</v>
      </c>
      <c r="U34" s="580">
        <v>743</v>
      </c>
      <c r="V34" s="580">
        <v>1176</v>
      </c>
      <c r="W34" s="580">
        <v>1919</v>
      </c>
      <c r="X34" s="580">
        <v>2446</v>
      </c>
      <c r="Y34" s="580">
        <v>2247</v>
      </c>
      <c r="Z34" s="580">
        <v>4693</v>
      </c>
      <c r="AA34" s="580">
        <v>316908</v>
      </c>
      <c r="AB34" s="580">
        <v>333693</v>
      </c>
      <c r="AC34" s="580">
        <v>650601</v>
      </c>
    </row>
    <row r="35" spans="1:29" ht="14.5" x14ac:dyDescent="0.35">
      <c r="A35" s="929">
        <v>5</v>
      </c>
      <c r="B35" s="935" t="s">
        <v>16</v>
      </c>
      <c r="C35" s="936"/>
      <c r="D35" s="936"/>
      <c r="E35" s="936"/>
      <c r="F35" s="936"/>
      <c r="G35" s="936"/>
      <c r="H35" s="936"/>
      <c r="I35" s="936"/>
      <c r="J35" s="936"/>
      <c r="K35" s="936"/>
      <c r="L35" s="936"/>
      <c r="M35" s="936"/>
      <c r="N35" s="936"/>
      <c r="O35" s="936"/>
      <c r="P35" s="936"/>
      <c r="Q35" s="936"/>
      <c r="R35" s="936"/>
      <c r="S35" s="936"/>
      <c r="T35" s="936"/>
      <c r="U35" s="936"/>
      <c r="V35" s="936"/>
      <c r="W35" s="936"/>
      <c r="X35" s="936"/>
      <c r="Y35" s="936"/>
      <c r="Z35" s="936"/>
      <c r="AA35" s="936"/>
      <c r="AB35" s="936"/>
      <c r="AC35" s="936"/>
    </row>
    <row r="36" spans="1:29" x14ac:dyDescent="0.3">
      <c r="A36" s="929"/>
      <c r="B36" s="463" t="s">
        <v>960</v>
      </c>
      <c r="C36" s="579">
        <v>3287</v>
      </c>
      <c r="D36" s="579">
        <v>2407</v>
      </c>
      <c r="E36" s="579">
        <v>5694</v>
      </c>
      <c r="F36" s="579">
        <v>4</v>
      </c>
      <c r="G36" s="579">
        <v>4</v>
      </c>
      <c r="H36" s="579">
        <v>8</v>
      </c>
      <c r="I36" s="579">
        <v>87198.416666666672</v>
      </c>
      <c r="J36" s="579">
        <v>98826.361111111109</v>
      </c>
      <c r="K36" s="579">
        <v>186024.77777777778</v>
      </c>
      <c r="L36" s="579">
        <v>1188996.8888888888</v>
      </c>
      <c r="M36" s="579">
        <v>1221731.5833333333</v>
      </c>
      <c r="N36" s="579">
        <v>2410728.472222222</v>
      </c>
      <c r="O36" s="579">
        <v>1712</v>
      </c>
      <c r="P36" s="579">
        <v>1007</v>
      </c>
      <c r="Q36" s="579">
        <v>2719</v>
      </c>
      <c r="R36" s="579">
        <v>74984</v>
      </c>
      <c r="S36" s="579">
        <v>65178</v>
      </c>
      <c r="T36" s="579">
        <v>140162</v>
      </c>
      <c r="U36" s="579">
        <v>5998</v>
      </c>
      <c r="V36" s="579">
        <v>3965</v>
      </c>
      <c r="W36" s="579">
        <v>9963</v>
      </c>
      <c r="X36" s="579">
        <v>2624</v>
      </c>
      <c r="Y36" s="579">
        <v>1947</v>
      </c>
      <c r="Z36" s="579">
        <v>4571</v>
      </c>
      <c r="AA36" s="579">
        <v>1364804.3055555555</v>
      </c>
      <c r="AB36" s="579">
        <v>1395065.9444444445</v>
      </c>
      <c r="AC36" s="579">
        <v>2759870.25</v>
      </c>
    </row>
    <row r="37" spans="1:29" x14ac:dyDescent="0.3">
      <c r="A37" s="929"/>
      <c r="B37" s="464" t="s">
        <v>959</v>
      </c>
      <c r="C37" s="580">
        <v>3434</v>
      </c>
      <c r="D37" s="580">
        <v>2205</v>
      </c>
      <c r="E37" s="580">
        <v>5639</v>
      </c>
      <c r="F37" s="580"/>
      <c r="G37" s="580"/>
      <c r="H37" s="580"/>
      <c r="I37" s="580">
        <v>78027.407413907407</v>
      </c>
      <c r="J37" s="580">
        <v>86469.176683176687</v>
      </c>
      <c r="K37" s="580">
        <v>164496.58409708409</v>
      </c>
      <c r="L37" s="580">
        <v>1202318.2088018749</v>
      </c>
      <c r="M37" s="580">
        <v>1118963.6290272961</v>
      </c>
      <c r="N37" s="580">
        <v>2321281.8378291712</v>
      </c>
      <c r="O37" s="580">
        <v>1812</v>
      </c>
      <c r="P37" s="580">
        <v>920</v>
      </c>
      <c r="Q37" s="580">
        <v>2732</v>
      </c>
      <c r="R37" s="580">
        <v>67553</v>
      </c>
      <c r="S37" s="580">
        <v>57795</v>
      </c>
      <c r="T37" s="580">
        <v>125348</v>
      </c>
      <c r="U37" s="580">
        <v>2060</v>
      </c>
      <c r="V37" s="580">
        <v>1694</v>
      </c>
      <c r="W37" s="580">
        <v>3754</v>
      </c>
      <c r="X37" s="580">
        <v>2659</v>
      </c>
      <c r="Y37" s="580">
        <v>1981</v>
      </c>
      <c r="Z37" s="580">
        <v>4640</v>
      </c>
      <c r="AA37" s="580">
        <v>1357863.6162157829</v>
      </c>
      <c r="AB37" s="580">
        <v>1270027.8057104719</v>
      </c>
      <c r="AC37" s="580">
        <v>2627891.4219262549</v>
      </c>
    </row>
    <row r="38" spans="1:29" x14ac:dyDescent="0.3">
      <c r="A38" s="929"/>
      <c r="B38" s="464" t="s">
        <v>958</v>
      </c>
      <c r="C38" s="580">
        <v>3720</v>
      </c>
      <c r="D38" s="580">
        <v>1854</v>
      </c>
      <c r="E38" s="580">
        <v>5574</v>
      </c>
      <c r="F38" s="580"/>
      <c r="G38" s="580"/>
      <c r="H38" s="580"/>
      <c r="I38" s="580">
        <v>80756</v>
      </c>
      <c r="J38" s="580">
        <v>74667</v>
      </c>
      <c r="K38" s="580">
        <v>155423</v>
      </c>
      <c r="L38" s="580">
        <v>1291227</v>
      </c>
      <c r="M38" s="580">
        <v>1041776</v>
      </c>
      <c r="N38" s="580">
        <v>2333003</v>
      </c>
      <c r="O38" s="580">
        <v>1989</v>
      </c>
      <c r="P38" s="580">
        <v>808</v>
      </c>
      <c r="Q38" s="580">
        <v>2797</v>
      </c>
      <c r="R38" s="580">
        <v>65540</v>
      </c>
      <c r="S38" s="580">
        <v>53449</v>
      </c>
      <c r="T38" s="580">
        <v>118989</v>
      </c>
      <c r="U38" s="580">
        <v>1419</v>
      </c>
      <c r="V38" s="580">
        <v>1292</v>
      </c>
      <c r="W38" s="580">
        <v>2711</v>
      </c>
      <c r="X38" s="580">
        <v>2809</v>
      </c>
      <c r="Y38" s="580">
        <v>1640</v>
      </c>
      <c r="Z38" s="580">
        <v>4449</v>
      </c>
      <c r="AA38" s="580">
        <v>1447460</v>
      </c>
      <c r="AB38" s="580">
        <v>1175486</v>
      </c>
      <c r="AC38" s="580">
        <v>2622946</v>
      </c>
    </row>
    <row r="39" spans="1:29" x14ac:dyDescent="0.3">
      <c r="A39" s="929"/>
      <c r="B39" s="464" t="s">
        <v>957</v>
      </c>
      <c r="C39" s="580">
        <v>2625</v>
      </c>
      <c r="D39" s="580">
        <v>1183</v>
      </c>
      <c r="E39" s="580">
        <v>3808</v>
      </c>
      <c r="F39" s="580">
        <v>50</v>
      </c>
      <c r="G39" s="580">
        <v>23</v>
      </c>
      <c r="H39" s="580">
        <v>73</v>
      </c>
      <c r="I39" s="580">
        <v>99157</v>
      </c>
      <c r="J39" s="580">
        <v>84462</v>
      </c>
      <c r="K39" s="580">
        <v>183619</v>
      </c>
      <c r="L39" s="580">
        <v>1141620</v>
      </c>
      <c r="M39" s="580">
        <v>911387</v>
      </c>
      <c r="N39" s="580">
        <v>2053007</v>
      </c>
      <c r="O39" s="580">
        <v>2798</v>
      </c>
      <c r="P39" s="580">
        <v>1077</v>
      </c>
      <c r="Q39" s="580">
        <v>3875</v>
      </c>
      <c r="R39" s="580">
        <v>57296</v>
      </c>
      <c r="S39" s="580">
        <v>49189</v>
      </c>
      <c r="T39" s="580">
        <v>106485</v>
      </c>
      <c r="U39" s="580">
        <v>3264</v>
      </c>
      <c r="V39" s="580">
        <v>2885</v>
      </c>
      <c r="W39" s="580">
        <v>6149</v>
      </c>
      <c r="X39" s="580">
        <v>2592</v>
      </c>
      <c r="Y39" s="580">
        <v>1333</v>
      </c>
      <c r="Z39" s="580">
        <v>3925</v>
      </c>
      <c r="AA39" s="580">
        <v>1309402</v>
      </c>
      <c r="AB39" s="580">
        <v>1051539</v>
      </c>
      <c r="AC39" s="580">
        <v>2360941</v>
      </c>
    </row>
    <row r="40" spans="1:29" x14ac:dyDescent="0.3">
      <c r="A40" s="929"/>
      <c r="B40" s="464" t="s">
        <v>956</v>
      </c>
      <c r="C40" s="580">
        <v>1665</v>
      </c>
      <c r="D40" s="580">
        <v>1034</v>
      </c>
      <c r="E40" s="580">
        <v>2699</v>
      </c>
      <c r="F40" s="580">
        <v>55</v>
      </c>
      <c r="G40" s="580">
        <v>15</v>
      </c>
      <c r="H40" s="580">
        <v>70</v>
      </c>
      <c r="I40" s="580">
        <v>61287</v>
      </c>
      <c r="J40" s="580">
        <v>59654</v>
      </c>
      <c r="K40" s="580">
        <v>120941</v>
      </c>
      <c r="L40" s="580">
        <v>855740</v>
      </c>
      <c r="M40" s="580">
        <v>677529</v>
      </c>
      <c r="N40" s="580">
        <v>1533269</v>
      </c>
      <c r="O40" s="580">
        <v>1814</v>
      </c>
      <c r="P40" s="580">
        <v>801</v>
      </c>
      <c r="Q40" s="580">
        <v>2615</v>
      </c>
      <c r="R40" s="580">
        <v>43054</v>
      </c>
      <c r="S40" s="580">
        <v>25907</v>
      </c>
      <c r="T40" s="580">
        <v>68961</v>
      </c>
      <c r="U40" s="580">
        <v>4029</v>
      </c>
      <c r="V40" s="580">
        <v>2564</v>
      </c>
      <c r="W40" s="580">
        <v>6593</v>
      </c>
      <c r="X40" s="580">
        <v>2258</v>
      </c>
      <c r="Y40" s="580">
        <v>1026</v>
      </c>
      <c r="Z40" s="580">
        <v>3284</v>
      </c>
      <c r="AA40" s="580">
        <v>969902</v>
      </c>
      <c r="AB40" s="580">
        <v>768530</v>
      </c>
      <c r="AC40" s="580">
        <v>1738432</v>
      </c>
    </row>
    <row r="41" spans="1:29" ht="14.5" x14ac:dyDescent="0.35">
      <c r="A41" s="929">
        <v>6</v>
      </c>
      <c r="B41" s="935" t="s">
        <v>17</v>
      </c>
      <c r="C41" s="936"/>
      <c r="D41" s="936"/>
      <c r="E41" s="936"/>
      <c r="F41" s="936"/>
      <c r="G41" s="936"/>
      <c r="H41" s="936"/>
      <c r="I41" s="936"/>
      <c r="J41" s="936"/>
      <c r="K41" s="936"/>
      <c r="L41" s="936"/>
      <c r="M41" s="936"/>
      <c r="N41" s="936"/>
      <c r="O41" s="936"/>
      <c r="P41" s="936"/>
      <c r="Q41" s="936"/>
      <c r="R41" s="936"/>
      <c r="S41" s="936"/>
      <c r="T41" s="936"/>
      <c r="U41" s="936"/>
      <c r="V41" s="936"/>
      <c r="W41" s="936"/>
      <c r="X41" s="936"/>
      <c r="Y41" s="936"/>
      <c r="Z41" s="936"/>
      <c r="AA41" s="936"/>
      <c r="AB41" s="936"/>
      <c r="AC41" s="936"/>
    </row>
    <row r="42" spans="1:29" x14ac:dyDescent="0.3">
      <c r="A42" s="929"/>
      <c r="B42" s="463" t="s">
        <v>960</v>
      </c>
      <c r="C42" s="579">
        <v>1320</v>
      </c>
      <c r="D42" s="579">
        <v>2032</v>
      </c>
      <c r="E42" s="579">
        <v>3352</v>
      </c>
      <c r="F42" s="579"/>
      <c r="G42" s="579"/>
      <c r="H42" s="579"/>
      <c r="I42" s="579">
        <v>8235</v>
      </c>
      <c r="J42" s="579">
        <v>12255</v>
      </c>
      <c r="K42" s="579">
        <v>20490</v>
      </c>
      <c r="L42" s="579">
        <v>36798</v>
      </c>
      <c r="M42" s="579">
        <v>34547</v>
      </c>
      <c r="N42" s="579">
        <v>71345</v>
      </c>
      <c r="O42" s="579">
        <v>769</v>
      </c>
      <c r="P42" s="579">
        <v>868</v>
      </c>
      <c r="Q42" s="579">
        <v>1637</v>
      </c>
      <c r="R42" s="579">
        <v>2120</v>
      </c>
      <c r="S42" s="579">
        <v>2942</v>
      </c>
      <c r="T42" s="579">
        <v>5062</v>
      </c>
      <c r="U42" s="579">
        <v>400</v>
      </c>
      <c r="V42" s="579">
        <v>217</v>
      </c>
      <c r="W42" s="579">
        <v>617</v>
      </c>
      <c r="X42" s="579">
        <v>878</v>
      </c>
      <c r="Y42" s="579">
        <v>1333</v>
      </c>
      <c r="Z42" s="579">
        <v>2211</v>
      </c>
      <c r="AA42" s="579">
        <v>50520</v>
      </c>
      <c r="AB42" s="579">
        <v>54194</v>
      </c>
      <c r="AC42" s="579">
        <v>104714</v>
      </c>
    </row>
    <row r="43" spans="1:29" x14ac:dyDescent="0.3">
      <c r="A43" s="929"/>
      <c r="B43" s="464" t="s">
        <v>959</v>
      </c>
      <c r="C43" s="580">
        <v>340</v>
      </c>
      <c r="D43" s="580">
        <v>350</v>
      </c>
      <c r="E43" s="580">
        <v>690</v>
      </c>
      <c r="F43" s="580">
        <v>0</v>
      </c>
      <c r="G43" s="580">
        <v>1</v>
      </c>
      <c r="H43" s="580">
        <v>1</v>
      </c>
      <c r="I43" s="580">
        <v>8819</v>
      </c>
      <c r="J43" s="580">
        <v>12692</v>
      </c>
      <c r="K43" s="580">
        <v>21511</v>
      </c>
      <c r="L43" s="580">
        <v>40140</v>
      </c>
      <c r="M43" s="580">
        <v>35871</v>
      </c>
      <c r="N43" s="580">
        <v>76011</v>
      </c>
      <c r="O43" s="580">
        <v>846</v>
      </c>
      <c r="P43" s="580">
        <v>938</v>
      </c>
      <c r="Q43" s="580">
        <v>1784</v>
      </c>
      <c r="R43" s="580">
        <v>2359</v>
      </c>
      <c r="S43" s="580">
        <v>2305</v>
      </c>
      <c r="T43" s="580">
        <v>4664</v>
      </c>
      <c r="U43" s="580">
        <v>473</v>
      </c>
      <c r="V43" s="580">
        <v>314</v>
      </c>
      <c r="W43" s="580">
        <v>787</v>
      </c>
      <c r="X43" s="580">
        <v>1094</v>
      </c>
      <c r="Y43" s="580">
        <v>1553</v>
      </c>
      <c r="Z43" s="580">
        <v>2647</v>
      </c>
      <c r="AA43" s="580">
        <v>54071</v>
      </c>
      <c r="AB43" s="580">
        <v>54024</v>
      </c>
      <c r="AC43" s="580">
        <v>108095</v>
      </c>
    </row>
    <row r="44" spans="1:29" x14ac:dyDescent="0.3">
      <c r="A44" s="929"/>
      <c r="B44" s="464" t="s">
        <v>958</v>
      </c>
      <c r="C44" s="580">
        <v>343</v>
      </c>
      <c r="D44" s="580">
        <v>454</v>
      </c>
      <c r="E44" s="580">
        <v>797</v>
      </c>
      <c r="F44" s="580">
        <v>19</v>
      </c>
      <c r="G44" s="580">
        <v>25</v>
      </c>
      <c r="H44" s="580">
        <v>44</v>
      </c>
      <c r="I44" s="580">
        <v>9172</v>
      </c>
      <c r="J44" s="580">
        <v>13600</v>
      </c>
      <c r="K44" s="580">
        <v>22772</v>
      </c>
      <c r="L44" s="580">
        <v>41264</v>
      </c>
      <c r="M44" s="580">
        <v>36134</v>
      </c>
      <c r="N44" s="580">
        <v>77398</v>
      </c>
      <c r="O44" s="580">
        <v>899</v>
      </c>
      <c r="P44" s="580">
        <v>965</v>
      </c>
      <c r="Q44" s="580">
        <v>1864</v>
      </c>
      <c r="R44" s="580">
        <v>2152</v>
      </c>
      <c r="S44" s="580">
        <v>2828</v>
      </c>
      <c r="T44" s="580">
        <v>4980</v>
      </c>
      <c r="U44" s="580">
        <v>319</v>
      </c>
      <c r="V44" s="580">
        <v>288</v>
      </c>
      <c r="W44" s="580">
        <v>607</v>
      </c>
      <c r="X44" s="580">
        <v>1123</v>
      </c>
      <c r="Y44" s="580">
        <v>1418</v>
      </c>
      <c r="Z44" s="580">
        <v>2541</v>
      </c>
      <c r="AA44" s="580">
        <v>55291</v>
      </c>
      <c r="AB44" s="580">
        <v>55712</v>
      </c>
      <c r="AC44" s="580">
        <v>111003</v>
      </c>
    </row>
    <row r="45" spans="1:29" x14ac:dyDescent="0.3">
      <c r="A45" s="929"/>
      <c r="B45" s="464" t="s">
        <v>957</v>
      </c>
      <c r="C45" s="580">
        <v>323</v>
      </c>
      <c r="D45" s="580">
        <v>427</v>
      </c>
      <c r="E45" s="580">
        <v>750</v>
      </c>
      <c r="F45" s="580">
        <v>158</v>
      </c>
      <c r="G45" s="580">
        <v>29</v>
      </c>
      <c r="H45" s="580">
        <v>187</v>
      </c>
      <c r="I45" s="580">
        <v>8669</v>
      </c>
      <c r="J45" s="580">
        <v>13715</v>
      </c>
      <c r="K45" s="580">
        <v>22384</v>
      </c>
      <c r="L45" s="580">
        <v>40358</v>
      </c>
      <c r="M45" s="580">
        <v>35349</v>
      </c>
      <c r="N45" s="580">
        <v>75707</v>
      </c>
      <c r="O45" s="580">
        <v>1138</v>
      </c>
      <c r="P45" s="580">
        <v>1181</v>
      </c>
      <c r="Q45" s="580">
        <v>2319</v>
      </c>
      <c r="R45" s="580">
        <v>3035</v>
      </c>
      <c r="S45" s="580">
        <v>3631</v>
      </c>
      <c r="T45" s="580">
        <v>6666</v>
      </c>
      <c r="U45" s="580">
        <v>245</v>
      </c>
      <c r="V45" s="580">
        <v>237</v>
      </c>
      <c r="W45" s="580">
        <v>482</v>
      </c>
      <c r="X45" s="580">
        <v>883</v>
      </c>
      <c r="Y45" s="580">
        <v>1087</v>
      </c>
      <c r="Z45" s="580">
        <v>1970</v>
      </c>
      <c r="AA45" s="580">
        <v>54809</v>
      </c>
      <c r="AB45" s="580">
        <v>55656</v>
      </c>
      <c r="AC45" s="580">
        <v>110465</v>
      </c>
    </row>
    <row r="46" spans="1:29" x14ac:dyDescent="0.3">
      <c r="A46" s="929"/>
      <c r="B46" s="464" t="s">
        <v>956</v>
      </c>
      <c r="C46" s="580">
        <v>409</v>
      </c>
      <c r="D46" s="580">
        <v>550</v>
      </c>
      <c r="E46" s="580">
        <v>959</v>
      </c>
      <c r="F46" s="580">
        <v>140</v>
      </c>
      <c r="G46" s="580">
        <v>48</v>
      </c>
      <c r="H46" s="580">
        <v>188</v>
      </c>
      <c r="I46" s="580">
        <v>8560</v>
      </c>
      <c r="J46" s="580">
        <v>13854</v>
      </c>
      <c r="K46" s="580">
        <v>22414</v>
      </c>
      <c r="L46" s="580">
        <v>39098</v>
      </c>
      <c r="M46" s="580">
        <v>34415</v>
      </c>
      <c r="N46" s="580">
        <v>73513</v>
      </c>
      <c r="O46" s="580">
        <v>1065</v>
      </c>
      <c r="P46" s="580">
        <v>1115</v>
      </c>
      <c r="Q46" s="580">
        <v>2180</v>
      </c>
      <c r="R46" s="580">
        <v>2340</v>
      </c>
      <c r="S46" s="580">
        <v>1944</v>
      </c>
      <c r="T46" s="580">
        <v>4284</v>
      </c>
      <c r="U46" s="580">
        <v>419</v>
      </c>
      <c r="V46" s="580">
        <v>281</v>
      </c>
      <c r="W46" s="580">
        <v>700</v>
      </c>
      <c r="X46" s="580">
        <v>1139</v>
      </c>
      <c r="Y46" s="580">
        <v>1290</v>
      </c>
      <c r="Z46" s="580">
        <v>2429</v>
      </c>
      <c r="AA46" s="580">
        <v>53170</v>
      </c>
      <c r="AB46" s="580">
        <v>53497</v>
      </c>
      <c r="AC46" s="580">
        <v>106667</v>
      </c>
    </row>
    <row r="47" spans="1:29" ht="14.5" x14ac:dyDescent="0.35">
      <c r="A47" s="929">
        <v>7</v>
      </c>
      <c r="B47" s="935" t="s">
        <v>18</v>
      </c>
      <c r="C47" s="936"/>
      <c r="D47" s="936"/>
      <c r="E47" s="936"/>
      <c r="F47" s="936"/>
      <c r="G47" s="936"/>
      <c r="H47" s="936"/>
      <c r="I47" s="936"/>
      <c r="J47" s="936"/>
      <c r="K47" s="936"/>
      <c r="L47" s="936"/>
      <c r="M47" s="936"/>
      <c r="N47" s="936"/>
      <c r="O47" s="936"/>
      <c r="P47" s="936"/>
      <c r="Q47" s="936"/>
      <c r="R47" s="936"/>
      <c r="S47" s="936"/>
      <c r="T47" s="936"/>
      <c r="U47" s="936"/>
      <c r="V47" s="936"/>
      <c r="W47" s="936"/>
      <c r="X47" s="936"/>
      <c r="Y47" s="936"/>
      <c r="Z47" s="936"/>
      <c r="AA47" s="936"/>
      <c r="AB47" s="936"/>
      <c r="AC47" s="936"/>
    </row>
    <row r="48" spans="1:29" x14ac:dyDescent="0.3">
      <c r="A48" s="929"/>
      <c r="B48" s="463" t="s">
        <v>960</v>
      </c>
      <c r="C48" s="579">
        <v>2349</v>
      </c>
      <c r="D48" s="579">
        <v>2159</v>
      </c>
      <c r="E48" s="579">
        <v>4508</v>
      </c>
      <c r="F48" s="579">
        <v>12</v>
      </c>
      <c r="G48" s="579">
        <v>25</v>
      </c>
      <c r="H48" s="579">
        <v>37</v>
      </c>
      <c r="I48" s="579">
        <v>61020.802325581404</v>
      </c>
      <c r="J48" s="579">
        <v>90476.116279069771</v>
      </c>
      <c r="K48" s="579">
        <v>151496.91860465117</v>
      </c>
      <c r="L48" s="579">
        <v>260687.6918604651</v>
      </c>
      <c r="M48" s="579">
        <v>336555.77906976745</v>
      </c>
      <c r="N48" s="579">
        <v>597243.47093023255</v>
      </c>
      <c r="O48" s="579">
        <v>6911</v>
      </c>
      <c r="P48" s="579">
        <v>8103</v>
      </c>
      <c r="Q48" s="579">
        <v>15014</v>
      </c>
      <c r="R48" s="579">
        <v>25742</v>
      </c>
      <c r="S48" s="579">
        <v>21058</v>
      </c>
      <c r="T48" s="579">
        <v>46800</v>
      </c>
      <c r="U48" s="579">
        <v>414</v>
      </c>
      <c r="V48" s="579">
        <v>443</v>
      </c>
      <c r="W48" s="579">
        <v>857</v>
      </c>
      <c r="X48" s="579">
        <v>3169</v>
      </c>
      <c r="Y48" s="579">
        <v>2983</v>
      </c>
      <c r="Z48" s="579">
        <v>6152</v>
      </c>
      <c r="AA48" s="579">
        <v>360305.49418604642</v>
      </c>
      <c r="AB48" s="579">
        <v>461802.89534883725</v>
      </c>
      <c r="AC48" s="579">
        <v>822108.38953488367</v>
      </c>
    </row>
    <row r="49" spans="1:29" x14ac:dyDescent="0.3">
      <c r="A49" s="929"/>
      <c r="B49" s="464" t="s">
        <v>959</v>
      </c>
      <c r="C49" s="580">
        <v>1300</v>
      </c>
      <c r="D49" s="580">
        <v>1343</v>
      </c>
      <c r="E49" s="580">
        <v>2643</v>
      </c>
      <c r="F49" s="580">
        <v>7</v>
      </c>
      <c r="G49" s="580">
        <v>18</v>
      </c>
      <c r="H49" s="580">
        <v>25</v>
      </c>
      <c r="I49" s="580">
        <v>70242.249524602128</v>
      </c>
      <c r="J49" s="580">
        <v>99799.018319642899</v>
      </c>
      <c r="K49" s="580">
        <v>170041.26784424501</v>
      </c>
      <c r="L49" s="580">
        <v>319281.16906196502</v>
      </c>
      <c r="M49" s="580">
        <v>371381.49912998249</v>
      </c>
      <c r="N49" s="580">
        <v>690662.66819194739</v>
      </c>
      <c r="O49" s="580">
        <v>7446</v>
      </c>
      <c r="P49" s="580">
        <v>8598</v>
      </c>
      <c r="Q49" s="580">
        <v>16044</v>
      </c>
      <c r="R49" s="580">
        <v>23239</v>
      </c>
      <c r="S49" s="580">
        <v>19540</v>
      </c>
      <c r="T49" s="580">
        <v>42779</v>
      </c>
      <c r="U49" s="580">
        <v>274</v>
      </c>
      <c r="V49" s="580">
        <v>404</v>
      </c>
      <c r="W49" s="580">
        <v>678</v>
      </c>
      <c r="X49" s="580">
        <v>2775</v>
      </c>
      <c r="Y49" s="580">
        <v>2654</v>
      </c>
      <c r="Z49" s="580">
        <v>5429</v>
      </c>
      <c r="AA49" s="580">
        <v>424564.4185865671</v>
      </c>
      <c r="AB49" s="580">
        <v>503737.51744962542</v>
      </c>
      <c r="AC49" s="580">
        <v>928301.93603619246</v>
      </c>
    </row>
    <row r="50" spans="1:29" x14ac:dyDescent="0.3">
      <c r="A50" s="929"/>
      <c r="B50" s="464" t="s">
        <v>958</v>
      </c>
      <c r="C50" s="580">
        <v>920</v>
      </c>
      <c r="D50" s="580">
        <v>917</v>
      </c>
      <c r="E50" s="580">
        <v>1837</v>
      </c>
      <c r="F50" s="580">
        <v>4</v>
      </c>
      <c r="G50" s="580">
        <v>8</v>
      </c>
      <c r="H50" s="580">
        <v>12</v>
      </c>
      <c r="I50" s="580">
        <v>35630</v>
      </c>
      <c r="J50" s="580">
        <v>51834</v>
      </c>
      <c r="K50" s="580">
        <v>87464</v>
      </c>
      <c r="L50" s="580">
        <v>227084</v>
      </c>
      <c r="M50" s="580">
        <v>275545</v>
      </c>
      <c r="N50" s="580">
        <v>502629</v>
      </c>
      <c r="O50" s="580">
        <v>8448</v>
      </c>
      <c r="P50" s="580">
        <v>8480</v>
      </c>
      <c r="Q50" s="580">
        <v>16928</v>
      </c>
      <c r="R50" s="580">
        <v>23571</v>
      </c>
      <c r="S50" s="580">
        <v>18112</v>
      </c>
      <c r="T50" s="580">
        <v>41683</v>
      </c>
      <c r="U50" s="580">
        <v>254</v>
      </c>
      <c r="V50" s="580">
        <v>435</v>
      </c>
      <c r="W50" s="580">
        <v>689</v>
      </c>
      <c r="X50" s="580">
        <v>2690</v>
      </c>
      <c r="Y50" s="580">
        <v>2409</v>
      </c>
      <c r="Z50" s="580">
        <v>5099</v>
      </c>
      <c r="AA50" s="580">
        <v>298601</v>
      </c>
      <c r="AB50" s="580">
        <v>357740</v>
      </c>
      <c r="AC50" s="580">
        <v>656341</v>
      </c>
    </row>
    <row r="51" spans="1:29" x14ac:dyDescent="0.3">
      <c r="A51" s="929"/>
      <c r="B51" s="464" t="s">
        <v>957</v>
      </c>
      <c r="C51" s="580">
        <v>910</v>
      </c>
      <c r="D51" s="580">
        <v>744</v>
      </c>
      <c r="E51" s="580">
        <v>1654</v>
      </c>
      <c r="F51" s="580">
        <v>36</v>
      </c>
      <c r="G51" s="580">
        <v>22</v>
      </c>
      <c r="H51" s="580">
        <v>58</v>
      </c>
      <c r="I51" s="580">
        <v>33737</v>
      </c>
      <c r="J51" s="580">
        <v>46771</v>
      </c>
      <c r="K51" s="580">
        <v>80508</v>
      </c>
      <c r="L51" s="580">
        <v>215732</v>
      </c>
      <c r="M51" s="580">
        <v>259411</v>
      </c>
      <c r="N51" s="580">
        <v>475143</v>
      </c>
      <c r="O51" s="580">
        <v>14443</v>
      </c>
      <c r="P51" s="580">
        <v>14621</v>
      </c>
      <c r="Q51" s="580">
        <v>29064</v>
      </c>
      <c r="R51" s="580">
        <v>36144</v>
      </c>
      <c r="S51" s="580">
        <v>27021</v>
      </c>
      <c r="T51" s="580">
        <v>63165</v>
      </c>
      <c r="U51" s="580">
        <v>296</v>
      </c>
      <c r="V51" s="580">
        <v>435</v>
      </c>
      <c r="W51" s="580">
        <v>731</v>
      </c>
      <c r="X51" s="580">
        <v>1542</v>
      </c>
      <c r="Y51" s="580">
        <v>1540</v>
      </c>
      <c r="Z51" s="580">
        <v>3082</v>
      </c>
      <c r="AA51" s="580">
        <v>302840</v>
      </c>
      <c r="AB51" s="580">
        <v>350565</v>
      </c>
      <c r="AC51" s="580">
        <v>653405</v>
      </c>
    </row>
    <row r="52" spans="1:29" x14ac:dyDescent="0.3">
      <c r="A52" s="929"/>
      <c r="B52" s="464" t="s">
        <v>956</v>
      </c>
      <c r="C52" s="580">
        <v>824</v>
      </c>
      <c r="D52" s="580">
        <v>691</v>
      </c>
      <c r="E52" s="580">
        <v>1515</v>
      </c>
      <c r="F52" s="580">
        <v>109</v>
      </c>
      <c r="G52" s="580">
        <v>89</v>
      </c>
      <c r="H52" s="580">
        <v>198</v>
      </c>
      <c r="I52" s="580">
        <v>30137</v>
      </c>
      <c r="J52" s="580">
        <v>40444</v>
      </c>
      <c r="K52" s="580">
        <v>70581</v>
      </c>
      <c r="L52" s="580">
        <v>187304</v>
      </c>
      <c r="M52" s="580">
        <v>228077</v>
      </c>
      <c r="N52" s="580">
        <v>415381</v>
      </c>
      <c r="O52" s="580">
        <v>13986</v>
      </c>
      <c r="P52" s="580">
        <v>14396</v>
      </c>
      <c r="Q52" s="580">
        <v>28382</v>
      </c>
      <c r="R52" s="580">
        <v>38361</v>
      </c>
      <c r="S52" s="580">
        <v>27702</v>
      </c>
      <c r="T52" s="580">
        <v>66063</v>
      </c>
      <c r="U52" s="580">
        <v>210</v>
      </c>
      <c r="V52" s="580">
        <v>335</v>
      </c>
      <c r="W52" s="580">
        <v>545</v>
      </c>
      <c r="X52" s="580">
        <v>1882</v>
      </c>
      <c r="Y52" s="580">
        <v>1848</v>
      </c>
      <c r="Z52" s="580">
        <v>3730</v>
      </c>
      <c r="AA52" s="580">
        <v>272813</v>
      </c>
      <c r="AB52" s="580">
        <v>313582</v>
      </c>
      <c r="AC52" s="580">
        <v>586395</v>
      </c>
    </row>
    <row r="53" spans="1:29" ht="14.5" x14ac:dyDescent="0.35">
      <c r="A53" s="929">
        <v>8</v>
      </c>
      <c r="B53" s="935" t="s">
        <v>19</v>
      </c>
      <c r="C53" s="936"/>
      <c r="D53" s="936"/>
      <c r="E53" s="936"/>
      <c r="F53" s="936"/>
      <c r="G53" s="936"/>
      <c r="H53" s="936"/>
      <c r="I53" s="936"/>
      <c r="J53" s="936"/>
      <c r="K53" s="936"/>
      <c r="L53" s="936"/>
      <c r="M53" s="936"/>
      <c r="N53" s="936"/>
      <c r="O53" s="936"/>
      <c r="P53" s="936"/>
      <c r="Q53" s="936"/>
      <c r="R53" s="936"/>
      <c r="S53" s="936"/>
      <c r="T53" s="936"/>
      <c r="U53" s="936"/>
      <c r="V53" s="936"/>
      <c r="W53" s="936"/>
      <c r="X53" s="936"/>
      <c r="Y53" s="936"/>
      <c r="Z53" s="936"/>
      <c r="AA53" s="936"/>
      <c r="AB53" s="936"/>
      <c r="AC53" s="936"/>
    </row>
    <row r="54" spans="1:29" x14ac:dyDescent="0.3">
      <c r="A54" s="929"/>
      <c r="B54" s="463" t="s">
        <v>960</v>
      </c>
      <c r="C54" s="579">
        <v>9882</v>
      </c>
      <c r="D54" s="579">
        <v>8752</v>
      </c>
      <c r="E54" s="579">
        <v>18634</v>
      </c>
      <c r="F54" s="579">
        <v>27</v>
      </c>
      <c r="G54" s="579">
        <v>72</v>
      </c>
      <c r="H54" s="579">
        <v>99</v>
      </c>
      <c r="I54" s="579">
        <v>80040.183216374251</v>
      </c>
      <c r="J54" s="579">
        <v>108959.18298245614</v>
      </c>
      <c r="K54" s="579">
        <v>188999.36619883039</v>
      </c>
      <c r="L54" s="579">
        <v>499049.50046783627</v>
      </c>
      <c r="M54" s="579">
        <v>469236.10175438598</v>
      </c>
      <c r="N54" s="579">
        <v>968285.60222222225</v>
      </c>
      <c r="O54" s="579">
        <v>7804</v>
      </c>
      <c r="P54" s="579">
        <v>6649</v>
      </c>
      <c r="Q54" s="579">
        <v>14453</v>
      </c>
      <c r="R54" s="579">
        <v>17031</v>
      </c>
      <c r="S54" s="579">
        <v>15485</v>
      </c>
      <c r="T54" s="579">
        <v>32516</v>
      </c>
      <c r="U54" s="579">
        <v>1110</v>
      </c>
      <c r="V54" s="579">
        <v>1083</v>
      </c>
      <c r="W54" s="579">
        <v>2193</v>
      </c>
      <c r="X54" s="579">
        <v>5313</v>
      </c>
      <c r="Y54" s="579">
        <v>4465</v>
      </c>
      <c r="Z54" s="579">
        <v>9778</v>
      </c>
      <c r="AA54" s="579">
        <v>620256.68368421053</v>
      </c>
      <c r="AB54" s="579">
        <v>614701.28473684215</v>
      </c>
      <c r="AC54" s="579">
        <v>1234957.9684210527</v>
      </c>
    </row>
    <row r="55" spans="1:29" x14ac:dyDescent="0.3">
      <c r="A55" s="929"/>
      <c r="B55" s="464" t="s">
        <v>959</v>
      </c>
      <c r="C55" s="580">
        <v>11335</v>
      </c>
      <c r="D55" s="580">
        <v>9641</v>
      </c>
      <c r="E55" s="580">
        <v>20976</v>
      </c>
      <c r="F55" s="580">
        <v>249</v>
      </c>
      <c r="G55" s="580">
        <v>251</v>
      </c>
      <c r="H55" s="580">
        <v>500</v>
      </c>
      <c r="I55" s="580">
        <v>81270.440217391311</v>
      </c>
      <c r="J55" s="580">
        <v>107433.1679697432</v>
      </c>
      <c r="K55" s="580">
        <v>188703.60818713449</v>
      </c>
      <c r="L55" s="580">
        <v>541189.26039282989</v>
      </c>
      <c r="M55" s="580">
        <v>491511.10621662851</v>
      </c>
      <c r="N55" s="580">
        <v>1032700.366609458</v>
      </c>
      <c r="O55" s="580">
        <v>8489</v>
      </c>
      <c r="P55" s="580">
        <v>6452</v>
      </c>
      <c r="Q55" s="580">
        <v>14941</v>
      </c>
      <c r="R55" s="580">
        <v>17805</v>
      </c>
      <c r="S55" s="580">
        <v>14310</v>
      </c>
      <c r="T55" s="580">
        <v>32115</v>
      </c>
      <c r="U55" s="580">
        <v>1353</v>
      </c>
      <c r="V55" s="580">
        <v>1253</v>
      </c>
      <c r="W55" s="580">
        <v>2606</v>
      </c>
      <c r="X55" s="580">
        <v>5254</v>
      </c>
      <c r="Y55" s="580">
        <v>3965</v>
      </c>
      <c r="Z55" s="580">
        <v>9219</v>
      </c>
      <c r="AA55" s="580">
        <v>666944.70061022125</v>
      </c>
      <c r="AB55" s="580">
        <v>634816.27418637171</v>
      </c>
      <c r="AC55" s="580">
        <v>1301760.974796593</v>
      </c>
    </row>
    <row r="56" spans="1:29" x14ac:dyDescent="0.3">
      <c r="A56" s="929"/>
      <c r="B56" s="464" t="s">
        <v>958</v>
      </c>
      <c r="C56" s="580">
        <v>7533</v>
      </c>
      <c r="D56" s="580">
        <v>6561</v>
      </c>
      <c r="E56" s="580">
        <v>14094</v>
      </c>
      <c r="F56" s="580">
        <v>716</v>
      </c>
      <c r="G56" s="580">
        <v>761</v>
      </c>
      <c r="H56" s="580">
        <v>1477</v>
      </c>
      <c r="I56" s="580">
        <v>73783</v>
      </c>
      <c r="J56" s="580">
        <v>103616</v>
      </c>
      <c r="K56" s="580">
        <v>177399</v>
      </c>
      <c r="L56" s="580">
        <v>473724</v>
      </c>
      <c r="M56" s="580">
        <v>425006</v>
      </c>
      <c r="N56" s="580">
        <v>898730</v>
      </c>
      <c r="O56" s="580">
        <v>8389</v>
      </c>
      <c r="P56" s="580">
        <v>6686</v>
      </c>
      <c r="Q56" s="580">
        <v>15075</v>
      </c>
      <c r="R56" s="580">
        <v>16092</v>
      </c>
      <c r="S56" s="580">
        <v>13965</v>
      </c>
      <c r="T56" s="580">
        <v>30057</v>
      </c>
      <c r="U56" s="580">
        <v>1331</v>
      </c>
      <c r="V56" s="580">
        <v>1093</v>
      </c>
      <c r="W56" s="580">
        <v>2424</v>
      </c>
      <c r="X56" s="580">
        <v>3785</v>
      </c>
      <c r="Y56" s="580">
        <v>2349</v>
      </c>
      <c r="Z56" s="580">
        <v>6134</v>
      </c>
      <c r="AA56" s="580">
        <v>585353</v>
      </c>
      <c r="AB56" s="580">
        <v>560037</v>
      </c>
      <c r="AC56" s="580">
        <v>1145390</v>
      </c>
    </row>
    <row r="57" spans="1:29" x14ac:dyDescent="0.3">
      <c r="A57" s="929"/>
      <c r="B57" s="464" t="s">
        <v>957</v>
      </c>
      <c r="C57" s="580">
        <v>8112</v>
      </c>
      <c r="D57" s="580">
        <v>7332</v>
      </c>
      <c r="E57" s="580">
        <v>15444</v>
      </c>
      <c r="F57" s="580">
        <v>772</v>
      </c>
      <c r="G57" s="580">
        <v>764</v>
      </c>
      <c r="H57" s="580">
        <v>1536</v>
      </c>
      <c r="I57" s="580">
        <v>69649</v>
      </c>
      <c r="J57" s="580">
        <v>97222</v>
      </c>
      <c r="K57" s="580">
        <v>166871</v>
      </c>
      <c r="L57" s="580">
        <v>454449</v>
      </c>
      <c r="M57" s="580">
        <v>409832</v>
      </c>
      <c r="N57" s="580">
        <v>864281</v>
      </c>
      <c r="O57" s="580">
        <v>9715</v>
      </c>
      <c r="P57" s="580">
        <v>7442</v>
      </c>
      <c r="Q57" s="580">
        <v>17157</v>
      </c>
      <c r="R57" s="580">
        <v>17002</v>
      </c>
      <c r="S57" s="580">
        <v>15459</v>
      </c>
      <c r="T57" s="580">
        <v>32461</v>
      </c>
      <c r="U57" s="580">
        <v>1415</v>
      </c>
      <c r="V57" s="580">
        <v>1143</v>
      </c>
      <c r="W57" s="580">
        <v>2558</v>
      </c>
      <c r="X57" s="580">
        <v>3735</v>
      </c>
      <c r="Y57" s="580">
        <v>2228</v>
      </c>
      <c r="Z57" s="580">
        <v>5963</v>
      </c>
      <c r="AA57" s="580">
        <v>564849</v>
      </c>
      <c r="AB57" s="580">
        <v>541422</v>
      </c>
      <c r="AC57" s="580">
        <v>1106271</v>
      </c>
    </row>
    <row r="58" spans="1:29" x14ac:dyDescent="0.3">
      <c r="A58" s="929"/>
      <c r="B58" s="464" t="s">
        <v>956</v>
      </c>
      <c r="C58" s="580">
        <v>8812</v>
      </c>
      <c r="D58" s="580">
        <v>7458</v>
      </c>
      <c r="E58" s="580">
        <v>16270</v>
      </c>
      <c r="F58" s="580">
        <v>650</v>
      </c>
      <c r="G58" s="580">
        <v>672</v>
      </c>
      <c r="H58" s="580">
        <v>1322</v>
      </c>
      <c r="I58" s="580">
        <v>71734</v>
      </c>
      <c r="J58" s="580">
        <v>103717</v>
      </c>
      <c r="K58" s="580">
        <v>175451</v>
      </c>
      <c r="L58" s="580">
        <v>467104</v>
      </c>
      <c r="M58" s="580">
        <v>419284</v>
      </c>
      <c r="N58" s="580">
        <v>886388</v>
      </c>
      <c r="O58" s="580">
        <v>6054</v>
      </c>
      <c r="P58" s="580">
        <v>4758</v>
      </c>
      <c r="Q58" s="580">
        <v>10812</v>
      </c>
      <c r="R58" s="580">
        <v>18927</v>
      </c>
      <c r="S58" s="580">
        <v>15039</v>
      </c>
      <c r="T58" s="580">
        <v>33966</v>
      </c>
      <c r="U58" s="580">
        <v>2467</v>
      </c>
      <c r="V58" s="580">
        <v>1684</v>
      </c>
      <c r="W58" s="580">
        <v>4151</v>
      </c>
      <c r="X58" s="580">
        <v>2999</v>
      </c>
      <c r="Y58" s="580">
        <v>1497</v>
      </c>
      <c r="Z58" s="580">
        <v>4496</v>
      </c>
      <c r="AA58" s="580">
        <v>578747</v>
      </c>
      <c r="AB58" s="580">
        <v>554109</v>
      </c>
      <c r="AC58" s="580">
        <v>1132856</v>
      </c>
    </row>
    <row r="59" spans="1:29" ht="14.5" x14ac:dyDescent="0.35">
      <c r="A59" s="929">
        <v>9</v>
      </c>
      <c r="B59" s="935" t="s">
        <v>20</v>
      </c>
      <c r="C59" s="936"/>
      <c r="D59" s="936"/>
      <c r="E59" s="936"/>
      <c r="F59" s="936"/>
      <c r="G59" s="936"/>
      <c r="H59" s="936"/>
      <c r="I59" s="936"/>
      <c r="J59" s="936"/>
      <c r="K59" s="936"/>
      <c r="L59" s="936"/>
      <c r="M59" s="936"/>
      <c r="N59" s="936"/>
      <c r="O59" s="936"/>
      <c r="P59" s="936"/>
      <c r="Q59" s="936"/>
      <c r="R59" s="936"/>
      <c r="S59" s="936"/>
      <c r="T59" s="936"/>
      <c r="U59" s="936"/>
      <c r="V59" s="936"/>
      <c r="W59" s="936"/>
      <c r="X59" s="936"/>
      <c r="Y59" s="936"/>
      <c r="Z59" s="936"/>
      <c r="AA59" s="936"/>
      <c r="AB59" s="936"/>
      <c r="AC59" s="936"/>
    </row>
    <row r="60" spans="1:29" x14ac:dyDescent="0.3">
      <c r="A60" s="929"/>
      <c r="B60" s="463" t="s">
        <v>960</v>
      </c>
      <c r="C60" s="579">
        <v>851</v>
      </c>
      <c r="D60" s="579">
        <v>965</v>
      </c>
      <c r="E60" s="579">
        <v>1816</v>
      </c>
      <c r="F60" s="579">
        <v>4</v>
      </c>
      <c r="G60" s="579">
        <v>11</v>
      </c>
      <c r="H60" s="579">
        <v>15</v>
      </c>
      <c r="I60" s="579">
        <v>3600</v>
      </c>
      <c r="J60" s="579">
        <v>5162</v>
      </c>
      <c r="K60" s="579">
        <v>8762</v>
      </c>
      <c r="L60" s="579">
        <v>22614</v>
      </c>
      <c r="M60" s="579">
        <v>22796</v>
      </c>
      <c r="N60" s="579">
        <v>45410</v>
      </c>
      <c r="O60" s="579">
        <v>84</v>
      </c>
      <c r="P60" s="579">
        <v>105</v>
      </c>
      <c r="Q60" s="579">
        <v>189</v>
      </c>
      <c r="R60" s="579">
        <v>3373</v>
      </c>
      <c r="S60" s="579">
        <v>1405</v>
      </c>
      <c r="T60" s="579">
        <v>4778</v>
      </c>
      <c r="U60" s="579">
        <v>406</v>
      </c>
      <c r="V60" s="579">
        <v>168</v>
      </c>
      <c r="W60" s="579">
        <v>574</v>
      </c>
      <c r="X60" s="579">
        <v>1698</v>
      </c>
      <c r="Y60" s="579">
        <v>1389</v>
      </c>
      <c r="Z60" s="579">
        <v>3087</v>
      </c>
      <c r="AA60" s="579">
        <v>32630</v>
      </c>
      <c r="AB60" s="579">
        <v>32001</v>
      </c>
      <c r="AC60" s="579">
        <v>64631</v>
      </c>
    </row>
    <row r="61" spans="1:29" x14ac:dyDescent="0.3">
      <c r="A61" s="929"/>
      <c r="B61" s="464" t="s">
        <v>959</v>
      </c>
      <c r="C61" s="580">
        <v>635</v>
      </c>
      <c r="D61" s="580">
        <v>743</v>
      </c>
      <c r="E61" s="580">
        <v>1378</v>
      </c>
      <c r="F61" s="580">
        <v>4</v>
      </c>
      <c r="G61" s="580">
        <v>10</v>
      </c>
      <c r="H61" s="580">
        <v>14</v>
      </c>
      <c r="I61" s="580">
        <v>3453</v>
      </c>
      <c r="J61" s="580">
        <v>5222</v>
      </c>
      <c r="K61" s="580">
        <v>8675</v>
      </c>
      <c r="L61" s="580">
        <v>23437</v>
      </c>
      <c r="M61" s="580">
        <v>22689</v>
      </c>
      <c r="N61" s="580">
        <v>46126</v>
      </c>
      <c r="O61" s="580">
        <v>207</v>
      </c>
      <c r="P61" s="580">
        <v>135</v>
      </c>
      <c r="Q61" s="580">
        <v>342</v>
      </c>
      <c r="R61" s="580">
        <v>5150</v>
      </c>
      <c r="S61" s="580">
        <v>1252</v>
      </c>
      <c r="T61" s="580">
        <v>6402</v>
      </c>
      <c r="U61" s="580">
        <v>66</v>
      </c>
      <c r="V61" s="580">
        <v>13</v>
      </c>
      <c r="W61" s="580">
        <v>79</v>
      </c>
      <c r="X61" s="580">
        <v>1669</v>
      </c>
      <c r="Y61" s="580">
        <v>1340</v>
      </c>
      <c r="Z61" s="580">
        <v>3009</v>
      </c>
      <c r="AA61" s="580">
        <v>34621</v>
      </c>
      <c r="AB61" s="580">
        <v>31404</v>
      </c>
      <c r="AC61" s="580">
        <v>66025</v>
      </c>
    </row>
    <row r="62" spans="1:29" x14ac:dyDescent="0.3">
      <c r="A62" s="929"/>
      <c r="B62" s="464" t="s">
        <v>958</v>
      </c>
      <c r="C62" s="580">
        <v>494</v>
      </c>
      <c r="D62" s="580">
        <v>407</v>
      </c>
      <c r="E62" s="580">
        <v>901</v>
      </c>
      <c r="F62" s="580">
        <v>10</v>
      </c>
      <c r="G62" s="580"/>
      <c r="H62" s="580">
        <v>10</v>
      </c>
      <c r="I62" s="580">
        <v>3523</v>
      </c>
      <c r="J62" s="580">
        <v>4859</v>
      </c>
      <c r="K62" s="580">
        <v>8382</v>
      </c>
      <c r="L62" s="580">
        <v>23132</v>
      </c>
      <c r="M62" s="580">
        <v>22401</v>
      </c>
      <c r="N62" s="580">
        <v>45533</v>
      </c>
      <c r="O62" s="580">
        <v>131</v>
      </c>
      <c r="P62" s="580">
        <v>123</v>
      </c>
      <c r="Q62" s="580">
        <v>254</v>
      </c>
      <c r="R62" s="580">
        <v>6515</v>
      </c>
      <c r="S62" s="580">
        <v>1006</v>
      </c>
      <c r="T62" s="580">
        <v>7521</v>
      </c>
      <c r="U62" s="580">
        <v>12</v>
      </c>
      <c r="V62" s="580"/>
      <c r="W62" s="580">
        <v>12</v>
      </c>
      <c r="X62" s="580">
        <v>1581</v>
      </c>
      <c r="Y62" s="580">
        <v>1221</v>
      </c>
      <c r="Z62" s="580">
        <v>2802</v>
      </c>
      <c r="AA62" s="580">
        <v>35398</v>
      </c>
      <c r="AB62" s="580">
        <v>30017</v>
      </c>
      <c r="AC62" s="580">
        <v>65415</v>
      </c>
    </row>
    <row r="63" spans="1:29" x14ac:dyDescent="0.3">
      <c r="A63" s="929"/>
      <c r="B63" s="464" t="s">
        <v>957</v>
      </c>
      <c r="C63" s="580">
        <v>276</v>
      </c>
      <c r="D63" s="580">
        <v>340</v>
      </c>
      <c r="E63" s="580">
        <v>616</v>
      </c>
      <c r="F63" s="580">
        <v>6</v>
      </c>
      <c r="G63" s="580">
        <v>2</v>
      </c>
      <c r="H63" s="580">
        <v>8</v>
      </c>
      <c r="I63" s="580">
        <v>3113</v>
      </c>
      <c r="J63" s="580">
        <v>4464</v>
      </c>
      <c r="K63" s="580">
        <v>7577</v>
      </c>
      <c r="L63" s="580">
        <v>20785</v>
      </c>
      <c r="M63" s="580">
        <v>23406</v>
      </c>
      <c r="N63" s="580">
        <v>44191</v>
      </c>
      <c r="O63" s="580">
        <v>108</v>
      </c>
      <c r="P63" s="580">
        <v>139</v>
      </c>
      <c r="Q63" s="580">
        <v>247</v>
      </c>
      <c r="R63" s="580">
        <v>4677</v>
      </c>
      <c r="S63" s="580">
        <v>1593</v>
      </c>
      <c r="T63" s="580">
        <v>6270</v>
      </c>
      <c r="U63" s="580">
        <v>17</v>
      </c>
      <c r="V63" s="580">
        <v>14</v>
      </c>
      <c r="W63" s="580">
        <v>31</v>
      </c>
      <c r="X63" s="580">
        <v>422</v>
      </c>
      <c r="Y63" s="580">
        <v>923</v>
      </c>
      <c r="Z63" s="580">
        <v>1345</v>
      </c>
      <c r="AA63" s="580">
        <v>29404</v>
      </c>
      <c r="AB63" s="580">
        <v>30881</v>
      </c>
      <c r="AC63" s="580">
        <v>60285</v>
      </c>
    </row>
    <row r="64" spans="1:29" x14ac:dyDescent="0.3">
      <c r="A64" s="929"/>
      <c r="B64" s="464" t="s">
        <v>956</v>
      </c>
      <c r="C64" s="580">
        <v>217</v>
      </c>
      <c r="D64" s="580">
        <v>216</v>
      </c>
      <c r="E64" s="580">
        <v>433</v>
      </c>
      <c r="F64" s="580">
        <v>1</v>
      </c>
      <c r="G64" s="580">
        <v>4</v>
      </c>
      <c r="H64" s="580">
        <v>5</v>
      </c>
      <c r="I64" s="580">
        <v>2534</v>
      </c>
      <c r="J64" s="580">
        <v>4183</v>
      </c>
      <c r="K64" s="580">
        <v>6717</v>
      </c>
      <c r="L64" s="580">
        <v>17543</v>
      </c>
      <c r="M64" s="580">
        <v>21755</v>
      </c>
      <c r="N64" s="580">
        <v>39298</v>
      </c>
      <c r="O64" s="580">
        <v>105</v>
      </c>
      <c r="P64" s="580">
        <v>107</v>
      </c>
      <c r="Q64" s="580">
        <v>212</v>
      </c>
      <c r="R64" s="580">
        <v>4439</v>
      </c>
      <c r="S64" s="580">
        <v>930</v>
      </c>
      <c r="T64" s="580">
        <v>5369</v>
      </c>
      <c r="U64" s="580">
        <v>20</v>
      </c>
      <c r="V64" s="580">
        <v>4</v>
      </c>
      <c r="W64" s="580">
        <v>24</v>
      </c>
      <c r="X64" s="580">
        <v>196</v>
      </c>
      <c r="Y64" s="580">
        <v>528</v>
      </c>
      <c r="Z64" s="580">
        <v>724</v>
      </c>
      <c r="AA64" s="580">
        <v>25055</v>
      </c>
      <c r="AB64" s="580">
        <v>27727</v>
      </c>
      <c r="AC64" s="580">
        <v>52782</v>
      </c>
    </row>
    <row r="65" spans="1:29" ht="14.5" x14ac:dyDescent="0.35">
      <c r="A65" s="929">
        <v>10</v>
      </c>
      <c r="B65" s="935" t="s">
        <v>21</v>
      </c>
      <c r="C65" s="936"/>
      <c r="D65" s="936"/>
      <c r="E65" s="936"/>
      <c r="F65" s="936"/>
      <c r="G65" s="936"/>
      <c r="H65" s="936"/>
      <c r="I65" s="936"/>
      <c r="J65" s="936"/>
      <c r="K65" s="936"/>
      <c r="L65" s="936"/>
      <c r="M65" s="936"/>
      <c r="N65" s="936"/>
      <c r="O65" s="936"/>
      <c r="P65" s="936"/>
      <c r="Q65" s="936"/>
      <c r="R65" s="936"/>
      <c r="S65" s="936"/>
      <c r="T65" s="936"/>
      <c r="U65" s="936"/>
      <c r="V65" s="936"/>
      <c r="W65" s="936"/>
      <c r="X65" s="936"/>
      <c r="Y65" s="936"/>
      <c r="Z65" s="936"/>
      <c r="AA65" s="936"/>
      <c r="AB65" s="936"/>
      <c r="AC65" s="936"/>
    </row>
    <row r="66" spans="1:29" x14ac:dyDescent="0.3">
      <c r="A66" s="929"/>
      <c r="B66" s="463" t="s">
        <v>960</v>
      </c>
      <c r="C66" s="579">
        <v>9232</v>
      </c>
      <c r="D66" s="579">
        <v>7824</v>
      </c>
      <c r="E66" s="579">
        <v>17056</v>
      </c>
      <c r="F66" s="579"/>
      <c r="G66" s="579">
        <v>27</v>
      </c>
      <c r="H66" s="579">
        <v>27</v>
      </c>
      <c r="I66" s="579">
        <v>116596</v>
      </c>
      <c r="J66" s="579">
        <v>141810</v>
      </c>
      <c r="K66" s="579">
        <v>258406</v>
      </c>
      <c r="L66" s="579">
        <v>782376</v>
      </c>
      <c r="M66" s="579">
        <v>642326</v>
      </c>
      <c r="N66" s="579">
        <v>1424702</v>
      </c>
      <c r="O66" s="579">
        <v>4681</v>
      </c>
      <c r="P66" s="579">
        <v>4043</v>
      </c>
      <c r="Q66" s="579">
        <v>8724</v>
      </c>
      <c r="R66" s="579">
        <v>114602</v>
      </c>
      <c r="S66" s="579">
        <v>73245</v>
      </c>
      <c r="T66" s="579">
        <v>187847</v>
      </c>
      <c r="U66" s="579">
        <v>8365</v>
      </c>
      <c r="V66" s="579">
        <v>5981</v>
      </c>
      <c r="W66" s="579">
        <v>14346</v>
      </c>
      <c r="X66" s="579">
        <v>17646</v>
      </c>
      <c r="Y66" s="579">
        <v>13504</v>
      </c>
      <c r="Z66" s="579">
        <v>31150</v>
      </c>
      <c r="AA66" s="579">
        <v>1053498</v>
      </c>
      <c r="AB66" s="579">
        <v>888760</v>
      </c>
      <c r="AC66" s="579">
        <v>1942258</v>
      </c>
    </row>
    <row r="67" spans="1:29" x14ac:dyDescent="0.3">
      <c r="A67" s="929"/>
      <c r="B67" s="464" t="s">
        <v>959</v>
      </c>
      <c r="C67" s="580">
        <v>6166</v>
      </c>
      <c r="D67" s="580">
        <v>4963</v>
      </c>
      <c r="E67" s="580">
        <v>11129</v>
      </c>
      <c r="F67" s="580">
        <v>31</v>
      </c>
      <c r="G67" s="580">
        <v>17</v>
      </c>
      <c r="H67" s="580">
        <v>48</v>
      </c>
      <c r="I67" s="580">
        <v>114994</v>
      </c>
      <c r="J67" s="580">
        <v>135095</v>
      </c>
      <c r="K67" s="580">
        <v>250089</v>
      </c>
      <c r="L67" s="580">
        <v>784928</v>
      </c>
      <c r="M67" s="580">
        <v>617558</v>
      </c>
      <c r="N67" s="580">
        <v>1402486</v>
      </c>
      <c r="O67" s="580">
        <v>5804</v>
      </c>
      <c r="P67" s="580">
        <v>4764</v>
      </c>
      <c r="Q67" s="580">
        <v>10568</v>
      </c>
      <c r="R67" s="580">
        <v>113413</v>
      </c>
      <c r="S67" s="580">
        <v>64446</v>
      </c>
      <c r="T67" s="580">
        <v>177859</v>
      </c>
      <c r="U67" s="580">
        <v>3400</v>
      </c>
      <c r="V67" s="580">
        <v>3376</v>
      </c>
      <c r="W67" s="580">
        <v>6776</v>
      </c>
      <c r="X67" s="580">
        <v>16042</v>
      </c>
      <c r="Y67" s="580">
        <v>12544</v>
      </c>
      <c r="Z67" s="580">
        <v>28586</v>
      </c>
      <c r="AA67" s="580">
        <v>1044778</v>
      </c>
      <c r="AB67" s="580">
        <v>842763</v>
      </c>
      <c r="AC67" s="580">
        <v>1887541</v>
      </c>
    </row>
    <row r="68" spans="1:29" x14ac:dyDescent="0.3">
      <c r="A68" s="929"/>
      <c r="B68" s="464" t="s">
        <v>958</v>
      </c>
      <c r="C68" s="580">
        <v>4799</v>
      </c>
      <c r="D68" s="580">
        <v>3734</v>
      </c>
      <c r="E68" s="580">
        <v>8533</v>
      </c>
      <c r="F68" s="580">
        <v>35</v>
      </c>
      <c r="G68" s="580">
        <v>29</v>
      </c>
      <c r="H68" s="580">
        <v>64</v>
      </c>
      <c r="I68" s="580">
        <v>97560</v>
      </c>
      <c r="J68" s="580">
        <v>118747</v>
      </c>
      <c r="K68" s="580">
        <v>216307</v>
      </c>
      <c r="L68" s="580">
        <v>775408</v>
      </c>
      <c r="M68" s="580">
        <v>592468</v>
      </c>
      <c r="N68" s="580">
        <v>1367876</v>
      </c>
      <c r="O68" s="580">
        <v>4508</v>
      </c>
      <c r="P68" s="580">
        <v>4086</v>
      </c>
      <c r="Q68" s="580">
        <v>8594</v>
      </c>
      <c r="R68" s="580">
        <v>111752</v>
      </c>
      <c r="S68" s="580">
        <v>55782</v>
      </c>
      <c r="T68" s="580">
        <v>167534</v>
      </c>
      <c r="U68" s="580">
        <v>3245</v>
      </c>
      <c r="V68" s="580">
        <v>2666</v>
      </c>
      <c r="W68" s="580">
        <v>5911</v>
      </c>
      <c r="X68" s="580">
        <v>12359</v>
      </c>
      <c r="Y68" s="580">
        <v>10484</v>
      </c>
      <c r="Z68" s="580">
        <v>22843</v>
      </c>
      <c r="AA68" s="580">
        <v>1009666</v>
      </c>
      <c r="AB68" s="580">
        <v>787996</v>
      </c>
      <c r="AC68" s="580">
        <v>1797662</v>
      </c>
    </row>
    <row r="69" spans="1:29" x14ac:dyDescent="0.3">
      <c r="A69" s="929"/>
      <c r="B69" s="464" t="s">
        <v>957</v>
      </c>
      <c r="C69" s="580">
        <v>4819</v>
      </c>
      <c r="D69" s="580">
        <v>3202</v>
      </c>
      <c r="E69" s="580">
        <v>8021</v>
      </c>
      <c r="F69" s="580">
        <v>135</v>
      </c>
      <c r="G69" s="580">
        <v>177</v>
      </c>
      <c r="H69" s="580">
        <v>312</v>
      </c>
      <c r="I69" s="580">
        <v>86719</v>
      </c>
      <c r="J69" s="580">
        <v>99388</v>
      </c>
      <c r="K69" s="580">
        <v>186107</v>
      </c>
      <c r="L69" s="580">
        <v>712608</v>
      </c>
      <c r="M69" s="580">
        <v>545854</v>
      </c>
      <c r="N69" s="580">
        <v>1258462</v>
      </c>
      <c r="O69" s="580">
        <v>3856</v>
      </c>
      <c r="P69" s="580">
        <v>3072</v>
      </c>
      <c r="Q69" s="580">
        <v>6928</v>
      </c>
      <c r="R69" s="580">
        <v>103346</v>
      </c>
      <c r="S69" s="580">
        <v>50683</v>
      </c>
      <c r="T69" s="580">
        <v>154029</v>
      </c>
      <c r="U69" s="580">
        <v>17256</v>
      </c>
      <c r="V69" s="580">
        <v>5035</v>
      </c>
      <c r="W69" s="580">
        <v>22291</v>
      </c>
      <c r="X69" s="580">
        <v>9405</v>
      </c>
      <c r="Y69" s="580">
        <v>7575</v>
      </c>
      <c r="Z69" s="580">
        <v>16980</v>
      </c>
      <c r="AA69" s="580">
        <v>938144</v>
      </c>
      <c r="AB69" s="580">
        <v>714986</v>
      </c>
      <c r="AC69" s="580">
        <v>1653130</v>
      </c>
    </row>
    <row r="70" spans="1:29" x14ac:dyDescent="0.3">
      <c r="A70" s="929"/>
      <c r="B70" s="464" t="s">
        <v>956</v>
      </c>
      <c r="C70" s="580">
        <v>4380</v>
      </c>
      <c r="D70" s="580">
        <v>3050</v>
      </c>
      <c r="E70" s="580">
        <v>7430</v>
      </c>
      <c r="F70" s="580">
        <v>468</v>
      </c>
      <c r="G70" s="580">
        <v>469</v>
      </c>
      <c r="H70" s="580">
        <v>937</v>
      </c>
      <c r="I70" s="580">
        <v>67586</v>
      </c>
      <c r="J70" s="580">
        <v>87425</v>
      </c>
      <c r="K70" s="580">
        <v>155011</v>
      </c>
      <c r="L70" s="580">
        <v>681018</v>
      </c>
      <c r="M70" s="580">
        <v>526227</v>
      </c>
      <c r="N70" s="580">
        <v>1207245</v>
      </c>
      <c r="O70" s="580">
        <v>3780</v>
      </c>
      <c r="P70" s="580">
        <v>3456</v>
      </c>
      <c r="Q70" s="580">
        <v>7236</v>
      </c>
      <c r="R70" s="580">
        <v>94560</v>
      </c>
      <c r="S70" s="580">
        <v>45181</v>
      </c>
      <c r="T70" s="580">
        <v>139741</v>
      </c>
      <c r="U70" s="580">
        <v>5540</v>
      </c>
      <c r="V70" s="580">
        <v>7185</v>
      </c>
      <c r="W70" s="580">
        <v>12725</v>
      </c>
      <c r="X70" s="580">
        <v>7635</v>
      </c>
      <c r="Y70" s="580">
        <v>6880</v>
      </c>
      <c r="Z70" s="580">
        <v>14515</v>
      </c>
      <c r="AA70" s="580">
        <v>864967</v>
      </c>
      <c r="AB70" s="580">
        <v>679873</v>
      </c>
      <c r="AC70" s="580">
        <v>1544840</v>
      </c>
    </row>
    <row r="71" spans="1:29" ht="14.5" x14ac:dyDescent="0.35">
      <c r="A71" s="929">
        <v>11</v>
      </c>
      <c r="B71" s="935" t="s">
        <v>22</v>
      </c>
      <c r="C71" s="936"/>
      <c r="D71" s="936"/>
      <c r="E71" s="936"/>
      <c r="F71" s="936"/>
      <c r="G71" s="936"/>
      <c r="H71" s="936"/>
      <c r="I71" s="936"/>
      <c r="J71" s="936"/>
      <c r="K71" s="936"/>
      <c r="L71" s="936"/>
      <c r="M71" s="936"/>
      <c r="N71" s="936"/>
      <c r="O71" s="936"/>
      <c r="P71" s="936"/>
      <c r="Q71" s="936"/>
      <c r="R71" s="936"/>
      <c r="S71" s="936"/>
      <c r="T71" s="936"/>
      <c r="U71" s="936"/>
      <c r="V71" s="936"/>
      <c r="W71" s="936"/>
      <c r="X71" s="936"/>
      <c r="Y71" s="936"/>
      <c r="Z71" s="936"/>
      <c r="AA71" s="936"/>
      <c r="AB71" s="936"/>
      <c r="AC71" s="936"/>
    </row>
    <row r="72" spans="1:29" x14ac:dyDescent="0.3">
      <c r="A72" s="929"/>
      <c r="B72" s="463" t="s">
        <v>960</v>
      </c>
      <c r="C72" s="579">
        <v>5118</v>
      </c>
      <c r="D72" s="579">
        <v>8076</v>
      </c>
      <c r="E72" s="579">
        <v>13194</v>
      </c>
      <c r="F72" s="579">
        <v>27</v>
      </c>
      <c r="G72" s="579">
        <v>49</v>
      </c>
      <c r="H72" s="579">
        <v>76</v>
      </c>
      <c r="I72" s="579">
        <v>53961</v>
      </c>
      <c r="J72" s="579">
        <v>93710</v>
      </c>
      <c r="K72" s="579">
        <v>147671</v>
      </c>
      <c r="L72" s="579">
        <v>405585</v>
      </c>
      <c r="M72" s="579">
        <v>445277</v>
      </c>
      <c r="N72" s="579">
        <v>850862</v>
      </c>
      <c r="O72" s="579">
        <v>2247</v>
      </c>
      <c r="P72" s="579">
        <v>2124</v>
      </c>
      <c r="Q72" s="579">
        <v>4371</v>
      </c>
      <c r="R72" s="579">
        <v>66208</v>
      </c>
      <c r="S72" s="579">
        <v>36157</v>
      </c>
      <c r="T72" s="579">
        <v>102365</v>
      </c>
      <c r="U72" s="579">
        <v>892</v>
      </c>
      <c r="V72" s="579">
        <v>1223</v>
      </c>
      <c r="W72" s="579">
        <v>2115</v>
      </c>
      <c r="X72" s="579">
        <v>13403</v>
      </c>
      <c r="Y72" s="579">
        <v>13332</v>
      </c>
      <c r="Z72" s="579">
        <v>26735</v>
      </c>
      <c r="AA72" s="579">
        <v>547441</v>
      </c>
      <c r="AB72" s="579">
        <v>599948</v>
      </c>
      <c r="AC72" s="579">
        <v>1147389</v>
      </c>
    </row>
    <row r="73" spans="1:29" x14ac:dyDescent="0.3">
      <c r="A73" s="929"/>
      <c r="B73" s="464" t="s">
        <v>959</v>
      </c>
      <c r="C73" s="580">
        <v>2728</v>
      </c>
      <c r="D73" s="580">
        <v>4155</v>
      </c>
      <c r="E73" s="580">
        <v>6883</v>
      </c>
      <c r="F73" s="580">
        <v>18</v>
      </c>
      <c r="G73" s="580">
        <v>47</v>
      </c>
      <c r="H73" s="580">
        <v>65</v>
      </c>
      <c r="I73" s="580">
        <v>58231</v>
      </c>
      <c r="J73" s="580">
        <v>103720</v>
      </c>
      <c r="K73" s="580">
        <v>161951</v>
      </c>
      <c r="L73" s="580">
        <v>410158</v>
      </c>
      <c r="M73" s="580">
        <v>433001</v>
      </c>
      <c r="N73" s="580">
        <v>843159</v>
      </c>
      <c r="O73" s="580">
        <v>2395</v>
      </c>
      <c r="P73" s="580">
        <v>2055</v>
      </c>
      <c r="Q73" s="580">
        <v>4450</v>
      </c>
      <c r="R73" s="580">
        <v>67479</v>
      </c>
      <c r="S73" s="580">
        <v>35855</v>
      </c>
      <c r="T73" s="580">
        <v>103334</v>
      </c>
      <c r="U73" s="580">
        <v>776</v>
      </c>
      <c r="V73" s="580">
        <v>888</v>
      </c>
      <c r="W73" s="580">
        <v>1664</v>
      </c>
      <c r="X73" s="580">
        <v>12766</v>
      </c>
      <c r="Y73" s="580">
        <v>11290</v>
      </c>
      <c r="Z73" s="580">
        <v>24056</v>
      </c>
      <c r="AA73" s="580">
        <v>554551</v>
      </c>
      <c r="AB73" s="580">
        <v>591011</v>
      </c>
      <c r="AC73" s="580">
        <v>1145562</v>
      </c>
    </row>
    <row r="74" spans="1:29" x14ac:dyDescent="0.3">
      <c r="A74" s="929"/>
      <c r="B74" s="464" t="s">
        <v>958</v>
      </c>
      <c r="C74" s="580">
        <v>1784</v>
      </c>
      <c r="D74" s="580">
        <v>2385</v>
      </c>
      <c r="E74" s="580">
        <v>4169</v>
      </c>
      <c r="F74" s="580">
        <v>16</v>
      </c>
      <c r="G74" s="580">
        <v>32</v>
      </c>
      <c r="H74" s="580">
        <v>48</v>
      </c>
      <c r="I74" s="580">
        <v>57199</v>
      </c>
      <c r="J74" s="580">
        <v>98973</v>
      </c>
      <c r="K74" s="580">
        <v>156172</v>
      </c>
      <c r="L74" s="580">
        <v>405310</v>
      </c>
      <c r="M74" s="580">
        <v>417253</v>
      </c>
      <c r="N74" s="580">
        <v>822563</v>
      </c>
      <c r="O74" s="580">
        <v>1801</v>
      </c>
      <c r="P74" s="580">
        <v>1734</v>
      </c>
      <c r="Q74" s="580">
        <v>3535</v>
      </c>
      <c r="R74" s="580">
        <v>63957</v>
      </c>
      <c r="S74" s="580">
        <v>31839</v>
      </c>
      <c r="T74" s="580">
        <v>95796</v>
      </c>
      <c r="U74" s="580">
        <v>298</v>
      </c>
      <c r="V74" s="580">
        <v>522</v>
      </c>
      <c r="W74" s="580">
        <v>820</v>
      </c>
      <c r="X74" s="580">
        <v>11781</v>
      </c>
      <c r="Y74" s="580">
        <v>9648</v>
      </c>
      <c r="Z74" s="580">
        <v>21429</v>
      </c>
      <c r="AA74" s="580">
        <v>542146</v>
      </c>
      <c r="AB74" s="580">
        <v>562386</v>
      </c>
      <c r="AC74" s="580">
        <v>1104532</v>
      </c>
    </row>
    <row r="75" spans="1:29" x14ac:dyDescent="0.3">
      <c r="A75" s="929"/>
      <c r="B75" s="464" t="s">
        <v>957</v>
      </c>
      <c r="C75" s="580">
        <v>2046</v>
      </c>
      <c r="D75" s="580">
        <v>2502</v>
      </c>
      <c r="E75" s="580">
        <v>4548</v>
      </c>
      <c r="F75" s="580">
        <v>104</v>
      </c>
      <c r="G75" s="580">
        <v>142</v>
      </c>
      <c r="H75" s="580">
        <v>246</v>
      </c>
      <c r="I75" s="580">
        <v>50192</v>
      </c>
      <c r="J75" s="580">
        <v>80377</v>
      </c>
      <c r="K75" s="580">
        <v>130569</v>
      </c>
      <c r="L75" s="580">
        <v>392179</v>
      </c>
      <c r="M75" s="580">
        <v>389514</v>
      </c>
      <c r="N75" s="580">
        <v>781693</v>
      </c>
      <c r="O75" s="580">
        <v>1596</v>
      </c>
      <c r="P75" s="580">
        <v>1331</v>
      </c>
      <c r="Q75" s="580">
        <v>2927</v>
      </c>
      <c r="R75" s="580">
        <v>61163</v>
      </c>
      <c r="S75" s="580">
        <v>28798</v>
      </c>
      <c r="T75" s="580">
        <v>89961</v>
      </c>
      <c r="U75" s="580">
        <v>693</v>
      </c>
      <c r="V75" s="580">
        <v>991</v>
      </c>
      <c r="W75" s="580">
        <v>1684</v>
      </c>
      <c r="X75" s="580">
        <v>9840</v>
      </c>
      <c r="Y75" s="580">
        <v>7691</v>
      </c>
      <c r="Z75" s="580">
        <v>17531</v>
      </c>
      <c r="AA75" s="580">
        <v>517813</v>
      </c>
      <c r="AB75" s="580">
        <v>511346</v>
      </c>
      <c r="AC75" s="580">
        <v>1029159</v>
      </c>
    </row>
    <row r="76" spans="1:29" x14ac:dyDescent="0.3">
      <c r="A76" s="929"/>
      <c r="B76" s="464" t="s">
        <v>956</v>
      </c>
      <c r="C76" s="580">
        <v>1810</v>
      </c>
      <c r="D76" s="580">
        <v>2356</v>
      </c>
      <c r="E76" s="580">
        <v>4166</v>
      </c>
      <c r="F76" s="580">
        <v>80</v>
      </c>
      <c r="G76" s="580">
        <v>230</v>
      </c>
      <c r="H76" s="580">
        <v>310</v>
      </c>
      <c r="I76" s="580">
        <v>41587</v>
      </c>
      <c r="J76" s="580">
        <v>69928</v>
      </c>
      <c r="K76" s="580">
        <v>111515</v>
      </c>
      <c r="L76" s="580">
        <v>354321</v>
      </c>
      <c r="M76" s="580">
        <v>368329</v>
      </c>
      <c r="N76" s="580">
        <v>722650</v>
      </c>
      <c r="O76" s="580">
        <v>2059</v>
      </c>
      <c r="P76" s="580">
        <v>1672</v>
      </c>
      <c r="Q76" s="580">
        <v>3731</v>
      </c>
      <c r="R76" s="580">
        <v>49706</v>
      </c>
      <c r="S76" s="580">
        <v>21579</v>
      </c>
      <c r="T76" s="580">
        <v>71285</v>
      </c>
      <c r="U76" s="580">
        <v>1621</v>
      </c>
      <c r="V76" s="580">
        <v>1778</v>
      </c>
      <c r="W76" s="580">
        <v>3399</v>
      </c>
      <c r="X76" s="580">
        <v>9303</v>
      </c>
      <c r="Y76" s="580">
        <v>7182</v>
      </c>
      <c r="Z76" s="580">
        <v>16485</v>
      </c>
      <c r="AA76" s="580">
        <v>460487</v>
      </c>
      <c r="AB76" s="580">
        <v>473054</v>
      </c>
      <c r="AC76" s="580">
        <v>933541</v>
      </c>
    </row>
    <row r="77" spans="1:29" ht="14.5" x14ac:dyDescent="0.35">
      <c r="A77" s="929">
        <v>12</v>
      </c>
      <c r="B77" s="935" t="s">
        <v>23</v>
      </c>
      <c r="C77" s="936"/>
      <c r="D77" s="936"/>
      <c r="E77" s="936"/>
      <c r="F77" s="936"/>
      <c r="G77" s="936"/>
      <c r="H77" s="936"/>
      <c r="I77" s="936"/>
      <c r="J77" s="936"/>
      <c r="K77" s="936"/>
      <c r="L77" s="936"/>
      <c r="M77" s="936"/>
      <c r="N77" s="936"/>
      <c r="O77" s="936"/>
      <c r="P77" s="936"/>
      <c r="Q77" s="936"/>
      <c r="R77" s="936"/>
      <c r="S77" s="936"/>
      <c r="T77" s="936"/>
      <c r="U77" s="936"/>
      <c r="V77" s="936"/>
      <c r="W77" s="936"/>
      <c r="X77" s="936"/>
      <c r="Y77" s="936"/>
      <c r="Z77" s="936"/>
      <c r="AA77" s="936"/>
      <c r="AB77" s="936"/>
      <c r="AC77" s="936"/>
    </row>
    <row r="78" spans="1:29" x14ac:dyDescent="0.3">
      <c r="A78" s="929"/>
      <c r="B78" s="463" t="s">
        <v>960</v>
      </c>
      <c r="C78" s="579">
        <v>1252</v>
      </c>
      <c r="D78" s="579">
        <v>1198</v>
      </c>
      <c r="E78" s="579">
        <v>2450</v>
      </c>
      <c r="F78" s="579">
        <v>11</v>
      </c>
      <c r="G78" s="579">
        <v>1</v>
      </c>
      <c r="H78" s="579">
        <v>12</v>
      </c>
      <c r="I78" s="579">
        <v>20836.573898281593</v>
      </c>
      <c r="J78" s="579">
        <v>24632.213614256678</v>
      </c>
      <c r="K78" s="579">
        <v>45468.787512538271</v>
      </c>
      <c r="L78" s="579">
        <v>120725.48467789829</v>
      </c>
      <c r="M78" s="579">
        <v>144116.65797632246</v>
      </c>
      <c r="N78" s="579">
        <v>264842.14265422075</v>
      </c>
      <c r="O78" s="579">
        <v>577</v>
      </c>
      <c r="P78" s="579">
        <v>786</v>
      </c>
      <c r="Q78" s="579">
        <v>1363</v>
      </c>
      <c r="R78" s="579">
        <v>9512</v>
      </c>
      <c r="S78" s="579">
        <v>9602</v>
      </c>
      <c r="T78" s="579">
        <v>19114</v>
      </c>
      <c r="U78" s="579">
        <v>183</v>
      </c>
      <c r="V78" s="579">
        <v>121</v>
      </c>
      <c r="W78" s="579">
        <v>304</v>
      </c>
      <c r="X78" s="579">
        <v>1333</v>
      </c>
      <c r="Y78" s="579">
        <v>1285</v>
      </c>
      <c r="Z78" s="579">
        <v>2618</v>
      </c>
      <c r="AA78" s="579">
        <v>154430.05857617987</v>
      </c>
      <c r="AB78" s="579">
        <v>181741.87159057913</v>
      </c>
      <c r="AC78" s="579">
        <v>336171.930166759</v>
      </c>
    </row>
    <row r="79" spans="1:29" x14ac:dyDescent="0.3">
      <c r="A79" s="929"/>
      <c r="B79" s="464" t="s">
        <v>959</v>
      </c>
      <c r="C79" s="580">
        <v>965</v>
      </c>
      <c r="D79" s="580">
        <v>976</v>
      </c>
      <c r="E79" s="580">
        <v>1941</v>
      </c>
      <c r="F79" s="580">
        <v>11</v>
      </c>
      <c r="G79" s="580">
        <v>1</v>
      </c>
      <c r="H79" s="580">
        <v>12</v>
      </c>
      <c r="I79" s="580">
        <v>17483.189180107529</v>
      </c>
      <c r="J79" s="580">
        <v>21603.8006672427</v>
      </c>
      <c r="K79" s="580">
        <v>39086.989847350233</v>
      </c>
      <c r="L79" s="580">
        <v>120207.7165418587</v>
      </c>
      <c r="M79" s="580">
        <v>138775.80774769589</v>
      </c>
      <c r="N79" s="580">
        <v>258983.52428955451</v>
      </c>
      <c r="O79" s="580">
        <v>747</v>
      </c>
      <c r="P79" s="580">
        <v>917</v>
      </c>
      <c r="Q79" s="580">
        <v>1664</v>
      </c>
      <c r="R79" s="580">
        <v>9049</v>
      </c>
      <c r="S79" s="580">
        <v>9910</v>
      </c>
      <c r="T79" s="580">
        <v>18959</v>
      </c>
      <c r="U79" s="580">
        <v>184</v>
      </c>
      <c r="V79" s="580">
        <v>223</v>
      </c>
      <c r="W79" s="580">
        <v>407</v>
      </c>
      <c r="X79" s="580">
        <v>1531</v>
      </c>
      <c r="Y79" s="580">
        <v>1183</v>
      </c>
      <c r="Z79" s="580">
        <v>2714</v>
      </c>
      <c r="AA79" s="580">
        <v>150177.90572196621</v>
      </c>
      <c r="AB79" s="580">
        <v>173589.60841493859</v>
      </c>
      <c r="AC79" s="580">
        <v>323767.51413690468</v>
      </c>
    </row>
    <row r="80" spans="1:29" x14ac:dyDescent="0.3">
      <c r="A80" s="929"/>
      <c r="B80" s="464" t="s">
        <v>958</v>
      </c>
      <c r="C80" s="580">
        <v>1028</v>
      </c>
      <c r="D80" s="580">
        <v>1055</v>
      </c>
      <c r="E80" s="580">
        <v>2083</v>
      </c>
      <c r="F80" s="580">
        <v>44</v>
      </c>
      <c r="G80" s="580">
        <v>38</v>
      </c>
      <c r="H80" s="580">
        <v>82</v>
      </c>
      <c r="I80" s="580">
        <v>15071</v>
      </c>
      <c r="J80" s="580">
        <v>18862</v>
      </c>
      <c r="K80" s="580">
        <v>33933</v>
      </c>
      <c r="L80" s="580">
        <v>119249</v>
      </c>
      <c r="M80" s="580">
        <v>141142</v>
      </c>
      <c r="N80" s="580">
        <v>260391</v>
      </c>
      <c r="O80" s="580">
        <v>970</v>
      </c>
      <c r="P80" s="580">
        <v>917</v>
      </c>
      <c r="Q80" s="580">
        <v>1887</v>
      </c>
      <c r="R80" s="580">
        <v>8944</v>
      </c>
      <c r="S80" s="580">
        <v>9189</v>
      </c>
      <c r="T80" s="580">
        <v>18133</v>
      </c>
      <c r="U80" s="580">
        <v>333</v>
      </c>
      <c r="V80" s="580">
        <v>204</v>
      </c>
      <c r="W80" s="580">
        <v>537</v>
      </c>
      <c r="X80" s="580">
        <v>1504</v>
      </c>
      <c r="Y80" s="580">
        <v>1101</v>
      </c>
      <c r="Z80" s="580">
        <v>2605</v>
      </c>
      <c r="AA80" s="580">
        <v>147143</v>
      </c>
      <c r="AB80" s="580">
        <v>172508</v>
      </c>
      <c r="AC80" s="580">
        <v>319651</v>
      </c>
    </row>
    <row r="81" spans="1:29" x14ac:dyDescent="0.3">
      <c r="A81" s="929"/>
      <c r="B81" s="464" t="s">
        <v>957</v>
      </c>
      <c r="C81" s="580">
        <v>1100</v>
      </c>
      <c r="D81" s="580">
        <v>1012</v>
      </c>
      <c r="E81" s="580">
        <v>2112</v>
      </c>
      <c r="F81" s="580">
        <v>136</v>
      </c>
      <c r="G81" s="580">
        <v>134</v>
      </c>
      <c r="H81" s="580">
        <v>270</v>
      </c>
      <c r="I81" s="580">
        <v>13471</v>
      </c>
      <c r="J81" s="580">
        <v>16133</v>
      </c>
      <c r="K81" s="580">
        <v>29604</v>
      </c>
      <c r="L81" s="580">
        <v>107717</v>
      </c>
      <c r="M81" s="580">
        <v>128469</v>
      </c>
      <c r="N81" s="580">
        <v>236186</v>
      </c>
      <c r="O81" s="580">
        <v>730</v>
      </c>
      <c r="P81" s="580">
        <v>753</v>
      </c>
      <c r="Q81" s="580">
        <v>1483</v>
      </c>
      <c r="R81" s="580">
        <v>8214</v>
      </c>
      <c r="S81" s="580">
        <v>8687</v>
      </c>
      <c r="T81" s="580">
        <v>16901</v>
      </c>
      <c r="U81" s="580">
        <v>324</v>
      </c>
      <c r="V81" s="580">
        <v>236</v>
      </c>
      <c r="W81" s="580">
        <v>560</v>
      </c>
      <c r="X81" s="580">
        <v>1504</v>
      </c>
      <c r="Y81" s="580">
        <v>965</v>
      </c>
      <c r="Z81" s="580">
        <v>2469</v>
      </c>
      <c r="AA81" s="580">
        <v>133196</v>
      </c>
      <c r="AB81" s="580">
        <v>156389</v>
      </c>
      <c r="AC81" s="580">
        <v>289585</v>
      </c>
    </row>
    <row r="82" spans="1:29" x14ac:dyDescent="0.3">
      <c r="A82" s="929"/>
      <c r="B82" s="464" t="s">
        <v>956</v>
      </c>
      <c r="C82" s="580">
        <v>1027</v>
      </c>
      <c r="D82" s="580">
        <v>897</v>
      </c>
      <c r="E82" s="580">
        <v>1924</v>
      </c>
      <c r="F82" s="580">
        <v>118</v>
      </c>
      <c r="G82" s="580">
        <v>214</v>
      </c>
      <c r="H82" s="580">
        <v>332</v>
      </c>
      <c r="I82" s="580">
        <v>12488</v>
      </c>
      <c r="J82" s="580">
        <v>16079</v>
      </c>
      <c r="K82" s="580">
        <v>28567</v>
      </c>
      <c r="L82" s="580">
        <v>107453</v>
      </c>
      <c r="M82" s="580">
        <v>129428</v>
      </c>
      <c r="N82" s="580">
        <v>236881</v>
      </c>
      <c r="O82" s="580">
        <v>1049</v>
      </c>
      <c r="P82" s="580">
        <v>1240</v>
      </c>
      <c r="Q82" s="580">
        <v>2289</v>
      </c>
      <c r="R82" s="580">
        <v>8515</v>
      </c>
      <c r="S82" s="580">
        <v>8198</v>
      </c>
      <c r="T82" s="580">
        <v>16713</v>
      </c>
      <c r="U82" s="580">
        <v>591</v>
      </c>
      <c r="V82" s="580">
        <v>678</v>
      </c>
      <c r="W82" s="580">
        <v>1269</v>
      </c>
      <c r="X82" s="580">
        <v>990</v>
      </c>
      <c r="Y82" s="580">
        <v>523</v>
      </c>
      <c r="Z82" s="580">
        <v>1513</v>
      </c>
      <c r="AA82" s="580">
        <v>132231</v>
      </c>
      <c r="AB82" s="580">
        <v>157257</v>
      </c>
      <c r="AC82" s="580">
        <v>289488</v>
      </c>
    </row>
    <row r="83" spans="1:29" ht="14.5" x14ac:dyDescent="0.35">
      <c r="A83" s="929">
        <v>13</v>
      </c>
      <c r="B83" s="935" t="s">
        <v>24</v>
      </c>
      <c r="C83" s="936"/>
      <c r="D83" s="936"/>
      <c r="E83" s="936"/>
      <c r="F83" s="936"/>
      <c r="G83" s="936"/>
      <c r="H83" s="936"/>
      <c r="I83" s="936"/>
      <c r="J83" s="936"/>
      <c r="K83" s="936"/>
      <c r="L83" s="936"/>
      <c r="M83" s="936"/>
      <c r="N83" s="936"/>
      <c r="O83" s="936"/>
      <c r="P83" s="936"/>
      <c r="Q83" s="936"/>
      <c r="R83" s="936"/>
      <c r="S83" s="936"/>
      <c r="T83" s="936"/>
      <c r="U83" s="936"/>
      <c r="V83" s="936"/>
      <c r="W83" s="936"/>
      <c r="X83" s="936"/>
      <c r="Y83" s="936"/>
      <c r="Z83" s="936"/>
      <c r="AA83" s="936"/>
      <c r="AB83" s="936"/>
      <c r="AC83" s="936"/>
    </row>
    <row r="84" spans="1:29" x14ac:dyDescent="0.3">
      <c r="A84" s="929"/>
      <c r="B84" s="463" t="s">
        <v>960</v>
      </c>
      <c r="C84" s="579">
        <v>2461</v>
      </c>
      <c r="D84" s="579">
        <v>2799</v>
      </c>
      <c r="E84" s="579">
        <v>5260</v>
      </c>
      <c r="F84" s="579"/>
      <c r="G84" s="579"/>
      <c r="H84" s="579"/>
      <c r="I84" s="579">
        <v>22059</v>
      </c>
      <c r="J84" s="579">
        <v>38099</v>
      </c>
      <c r="K84" s="579">
        <v>60158</v>
      </c>
      <c r="L84" s="579">
        <v>120638</v>
      </c>
      <c r="M84" s="579">
        <v>132005</v>
      </c>
      <c r="N84" s="579">
        <v>252643</v>
      </c>
      <c r="O84" s="579">
        <v>544</v>
      </c>
      <c r="P84" s="579">
        <v>415</v>
      </c>
      <c r="Q84" s="579">
        <v>959</v>
      </c>
      <c r="R84" s="579">
        <v>10457</v>
      </c>
      <c r="S84" s="579">
        <v>11215</v>
      </c>
      <c r="T84" s="579">
        <v>21672</v>
      </c>
      <c r="U84" s="579">
        <v>181</v>
      </c>
      <c r="V84" s="579">
        <v>800</v>
      </c>
      <c r="W84" s="579">
        <v>981</v>
      </c>
      <c r="X84" s="579">
        <v>4867</v>
      </c>
      <c r="Y84" s="579">
        <v>5947</v>
      </c>
      <c r="Z84" s="579">
        <v>10814</v>
      </c>
      <c r="AA84" s="579">
        <v>161207</v>
      </c>
      <c r="AB84" s="579">
        <v>191280</v>
      </c>
      <c r="AC84" s="579">
        <v>352487</v>
      </c>
    </row>
    <row r="85" spans="1:29" x14ac:dyDescent="0.3">
      <c r="A85" s="929"/>
      <c r="B85" s="464" t="s">
        <v>959</v>
      </c>
      <c r="C85" s="580">
        <v>1788</v>
      </c>
      <c r="D85" s="580">
        <v>2085</v>
      </c>
      <c r="E85" s="580">
        <v>3873</v>
      </c>
      <c r="F85" s="580"/>
      <c r="G85" s="580"/>
      <c r="H85" s="580"/>
      <c r="I85" s="580">
        <v>25877</v>
      </c>
      <c r="J85" s="580">
        <v>41663</v>
      </c>
      <c r="K85" s="580">
        <v>67540</v>
      </c>
      <c r="L85" s="580">
        <v>146544</v>
      </c>
      <c r="M85" s="580">
        <v>143979</v>
      </c>
      <c r="N85" s="580">
        <v>290523</v>
      </c>
      <c r="O85" s="580">
        <v>594</v>
      </c>
      <c r="P85" s="580">
        <v>406</v>
      </c>
      <c r="Q85" s="580">
        <v>1000</v>
      </c>
      <c r="R85" s="580">
        <v>9448</v>
      </c>
      <c r="S85" s="580">
        <v>10836</v>
      </c>
      <c r="T85" s="580">
        <v>20284</v>
      </c>
      <c r="U85" s="580">
        <v>695</v>
      </c>
      <c r="V85" s="580">
        <v>800</v>
      </c>
      <c r="W85" s="580">
        <v>1495</v>
      </c>
      <c r="X85" s="580">
        <v>5379</v>
      </c>
      <c r="Y85" s="580">
        <v>6217</v>
      </c>
      <c r="Z85" s="580">
        <v>11596</v>
      </c>
      <c r="AA85" s="580">
        <v>190325</v>
      </c>
      <c r="AB85" s="580">
        <v>205986</v>
      </c>
      <c r="AC85" s="580">
        <v>396311</v>
      </c>
    </row>
    <row r="86" spans="1:29" x14ac:dyDescent="0.3">
      <c r="A86" s="929"/>
      <c r="B86" s="464" t="s">
        <v>958</v>
      </c>
      <c r="C86" s="580">
        <v>1879</v>
      </c>
      <c r="D86" s="580">
        <v>1923</v>
      </c>
      <c r="E86" s="580">
        <v>3802</v>
      </c>
      <c r="F86" s="580">
        <v>41</v>
      </c>
      <c r="G86" s="580">
        <v>82</v>
      </c>
      <c r="H86" s="580">
        <v>123</v>
      </c>
      <c r="I86" s="580">
        <v>30709</v>
      </c>
      <c r="J86" s="580">
        <v>41398</v>
      </c>
      <c r="K86" s="580">
        <v>72107</v>
      </c>
      <c r="L86" s="580">
        <v>145870</v>
      </c>
      <c r="M86" s="580">
        <v>147226</v>
      </c>
      <c r="N86" s="580">
        <v>293096</v>
      </c>
      <c r="O86" s="580">
        <v>777</v>
      </c>
      <c r="P86" s="580">
        <v>483</v>
      </c>
      <c r="Q86" s="580">
        <v>1260</v>
      </c>
      <c r="R86" s="580">
        <v>9080</v>
      </c>
      <c r="S86" s="580">
        <v>10909</v>
      </c>
      <c r="T86" s="580">
        <v>19989</v>
      </c>
      <c r="U86" s="580">
        <v>410</v>
      </c>
      <c r="V86" s="580">
        <v>489</v>
      </c>
      <c r="W86" s="580">
        <v>899</v>
      </c>
      <c r="X86" s="580">
        <v>4188</v>
      </c>
      <c r="Y86" s="580">
        <v>4959</v>
      </c>
      <c r="Z86" s="580">
        <v>9147</v>
      </c>
      <c r="AA86" s="580">
        <v>192954</v>
      </c>
      <c r="AB86" s="580">
        <v>207469</v>
      </c>
      <c r="AC86" s="580">
        <v>400423</v>
      </c>
    </row>
    <row r="87" spans="1:29" x14ac:dyDescent="0.3">
      <c r="A87" s="929"/>
      <c r="B87" s="464" t="s">
        <v>957</v>
      </c>
      <c r="C87" s="580">
        <v>2412</v>
      </c>
      <c r="D87" s="580">
        <v>2033</v>
      </c>
      <c r="E87" s="580">
        <v>4445</v>
      </c>
      <c r="F87" s="580">
        <v>117</v>
      </c>
      <c r="G87" s="580">
        <v>180</v>
      </c>
      <c r="H87" s="580">
        <v>297</v>
      </c>
      <c r="I87" s="580">
        <v>29946</v>
      </c>
      <c r="J87" s="580">
        <v>36342</v>
      </c>
      <c r="K87" s="580">
        <v>66288</v>
      </c>
      <c r="L87" s="580">
        <v>141590</v>
      </c>
      <c r="M87" s="580">
        <v>147415</v>
      </c>
      <c r="N87" s="580">
        <v>289005</v>
      </c>
      <c r="O87" s="580">
        <v>1183</v>
      </c>
      <c r="P87" s="580">
        <v>646</v>
      </c>
      <c r="Q87" s="580">
        <v>1829</v>
      </c>
      <c r="R87" s="580">
        <v>12879</v>
      </c>
      <c r="S87" s="580">
        <v>12592</v>
      </c>
      <c r="T87" s="580">
        <v>25471</v>
      </c>
      <c r="U87" s="580">
        <v>840</v>
      </c>
      <c r="V87" s="580">
        <v>769</v>
      </c>
      <c r="W87" s="580">
        <v>1609</v>
      </c>
      <c r="X87" s="580">
        <v>4509</v>
      </c>
      <c r="Y87" s="580">
        <v>5401</v>
      </c>
      <c r="Z87" s="580">
        <v>9910</v>
      </c>
      <c r="AA87" s="580">
        <v>193476</v>
      </c>
      <c r="AB87" s="580">
        <v>205378</v>
      </c>
      <c r="AC87" s="580">
        <v>398854</v>
      </c>
    </row>
    <row r="88" spans="1:29" x14ac:dyDescent="0.3">
      <c r="A88" s="929"/>
      <c r="B88" s="464" t="s">
        <v>956</v>
      </c>
      <c r="C88" s="580">
        <v>2080</v>
      </c>
      <c r="D88" s="580">
        <v>1909</v>
      </c>
      <c r="E88" s="580">
        <v>3989</v>
      </c>
      <c r="F88" s="580">
        <v>94</v>
      </c>
      <c r="G88" s="580">
        <v>156</v>
      </c>
      <c r="H88" s="580">
        <v>250</v>
      </c>
      <c r="I88" s="580">
        <v>28673</v>
      </c>
      <c r="J88" s="580">
        <v>34950</v>
      </c>
      <c r="K88" s="580">
        <v>63623</v>
      </c>
      <c r="L88" s="580">
        <v>154680</v>
      </c>
      <c r="M88" s="580">
        <v>147209</v>
      </c>
      <c r="N88" s="580">
        <v>301889</v>
      </c>
      <c r="O88" s="580">
        <v>931</v>
      </c>
      <c r="P88" s="580">
        <v>620</v>
      </c>
      <c r="Q88" s="580">
        <v>1551</v>
      </c>
      <c r="R88" s="580">
        <v>8951</v>
      </c>
      <c r="S88" s="580">
        <v>6660</v>
      </c>
      <c r="T88" s="580">
        <v>15611</v>
      </c>
      <c r="U88" s="580">
        <v>994</v>
      </c>
      <c r="V88" s="580">
        <v>1123</v>
      </c>
      <c r="W88" s="580">
        <v>2117</v>
      </c>
      <c r="X88" s="580">
        <v>2846</v>
      </c>
      <c r="Y88" s="580">
        <v>3540</v>
      </c>
      <c r="Z88" s="580">
        <v>6386</v>
      </c>
      <c r="AA88" s="580">
        <v>199249</v>
      </c>
      <c r="AB88" s="580">
        <v>196167</v>
      </c>
      <c r="AC88" s="580">
        <v>395416</v>
      </c>
    </row>
    <row r="89" spans="1:29" ht="14.5" x14ac:dyDescent="0.35">
      <c r="A89" s="929">
        <v>14</v>
      </c>
      <c r="B89" s="935" t="s">
        <v>25</v>
      </c>
      <c r="C89" s="936"/>
      <c r="D89" s="936"/>
      <c r="E89" s="936"/>
      <c r="F89" s="936"/>
      <c r="G89" s="936"/>
      <c r="H89" s="936"/>
      <c r="I89" s="936"/>
      <c r="J89" s="936"/>
      <c r="K89" s="936"/>
      <c r="L89" s="936"/>
      <c r="M89" s="936"/>
      <c r="N89" s="936"/>
      <c r="O89" s="936"/>
      <c r="P89" s="936"/>
      <c r="Q89" s="936"/>
      <c r="R89" s="936"/>
      <c r="S89" s="936"/>
      <c r="T89" s="936"/>
      <c r="U89" s="936"/>
      <c r="V89" s="936"/>
      <c r="W89" s="936"/>
      <c r="X89" s="936"/>
      <c r="Y89" s="936"/>
      <c r="Z89" s="936"/>
      <c r="AA89" s="936"/>
      <c r="AB89" s="936"/>
      <c r="AC89" s="936"/>
    </row>
    <row r="90" spans="1:29" x14ac:dyDescent="0.3">
      <c r="A90" s="929"/>
      <c r="B90" s="463" t="s">
        <v>960</v>
      </c>
      <c r="C90" s="579">
        <v>2807</v>
      </c>
      <c r="D90" s="579">
        <v>1913</v>
      </c>
      <c r="E90" s="579">
        <v>4720</v>
      </c>
      <c r="F90" s="579">
        <v>21</v>
      </c>
      <c r="G90" s="579">
        <v>70</v>
      </c>
      <c r="H90" s="579">
        <v>91</v>
      </c>
      <c r="I90" s="579">
        <v>42925</v>
      </c>
      <c r="J90" s="579">
        <v>62146</v>
      </c>
      <c r="K90" s="579">
        <v>105071</v>
      </c>
      <c r="L90" s="579">
        <v>352440</v>
      </c>
      <c r="M90" s="579">
        <v>371097</v>
      </c>
      <c r="N90" s="579">
        <v>723537</v>
      </c>
      <c r="O90" s="579">
        <v>2451</v>
      </c>
      <c r="P90" s="579">
        <v>1405</v>
      </c>
      <c r="Q90" s="579">
        <v>3856</v>
      </c>
      <c r="R90" s="579">
        <v>45810</v>
      </c>
      <c r="S90" s="579">
        <v>30170</v>
      </c>
      <c r="T90" s="579">
        <v>75980</v>
      </c>
      <c r="U90" s="579">
        <v>1940</v>
      </c>
      <c r="V90" s="579">
        <v>963</v>
      </c>
      <c r="W90" s="579">
        <v>2903</v>
      </c>
      <c r="X90" s="579">
        <v>3332</v>
      </c>
      <c r="Y90" s="579">
        <v>2365</v>
      </c>
      <c r="Z90" s="579">
        <v>5697</v>
      </c>
      <c r="AA90" s="579">
        <v>451726</v>
      </c>
      <c r="AB90" s="579">
        <v>470129</v>
      </c>
      <c r="AC90" s="579">
        <v>921855</v>
      </c>
    </row>
    <row r="91" spans="1:29" x14ac:dyDescent="0.3">
      <c r="A91" s="929"/>
      <c r="B91" s="464" t="s">
        <v>959</v>
      </c>
      <c r="C91" s="580">
        <v>1403</v>
      </c>
      <c r="D91" s="580">
        <v>879</v>
      </c>
      <c r="E91" s="580">
        <v>2282</v>
      </c>
      <c r="F91" s="580">
        <v>13</v>
      </c>
      <c r="G91" s="580">
        <v>66</v>
      </c>
      <c r="H91" s="580">
        <v>79</v>
      </c>
      <c r="I91" s="580">
        <v>46427</v>
      </c>
      <c r="J91" s="580">
        <v>66974</v>
      </c>
      <c r="K91" s="580">
        <v>113401</v>
      </c>
      <c r="L91" s="580">
        <v>357852</v>
      </c>
      <c r="M91" s="580">
        <v>352306</v>
      </c>
      <c r="N91" s="580">
        <v>710158</v>
      </c>
      <c r="O91" s="580">
        <v>2335</v>
      </c>
      <c r="P91" s="580">
        <v>1265</v>
      </c>
      <c r="Q91" s="580">
        <v>3600</v>
      </c>
      <c r="R91" s="580">
        <v>39069</v>
      </c>
      <c r="S91" s="580">
        <v>26247</v>
      </c>
      <c r="T91" s="580">
        <v>65316</v>
      </c>
      <c r="U91" s="580">
        <v>998</v>
      </c>
      <c r="V91" s="580">
        <v>533</v>
      </c>
      <c r="W91" s="580">
        <v>1531</v>
      </c>
      <c r="X91" s="580">
        <v>2729</v>
      </c>
      <c r="Y91" s="580">
        <v>1684</v>
      </c>
      <c r="Z91" s="580">
        <v>4413</v>
      </c>
      <c r="AA91" s="580">
        <v>450826</v>
      </c>
      <c r="AB91" s="580">
        <v>449954</v>
      </c>
      <c r="AC91" s="580">
        <v>900780</v>
      </c>
    </row>
    <row r="92" spans="1:29" x14ac:dyDescent="0.3">
      <c r="A92" s="929"/>
      <c r="B92" s="464" t="s">
        <v>958</v>
      </c>
      <c r="C92" s="580">
        <v>2039</v>
      </c>
      <c r="D92" s="580">
        <v>1113</v>
      </c>
      <c r="E92" s="580">
        <v>3152</v>
      </c>
      <c r="F92" s="580">
        <v>14</v>
      </c>
      <c r="G92" s="580">
        <v>66</v>
      </c>
      <c r="H92" s="580">
        <v>80</v>
      </c>
      <c r="I92" s="580">
        <v>48894</v>
      </c>
      <c r="J92" s="580">
        <v>63574</v>
      </c>
      <c r="K92" s="580">
        <v>112468</v>
      </c>
      <c r="L92" s="580">
        <v>362777</v>
      </c>
      <c r="M92" s="580">
        <v>347379</v>
      </c>
      <c r="N92" s="580">
        <v>710156</v>
      </c>
      <c r="O92" s="580">
        <v>2051</v>
      </c>
      <c r="P92" s="580">
        <v>1087</v>
      </c>
      <c r="Q92" s="580">
        <v>3138</v>
      </c>
      <c r="R92" s="580">
        <v>31177</v>
      </c>
      <c r="S92" s="580">
        <v>14953</v>
      </c>
      <c r="T92" s="580">
        <v>46130</v>
      </c>
      <c r="U92" s="580">
        <v>906</v>
      </c>
      <c r="V92" s="580">
        <v>440</v>
      </c>
      <c r="W92" s="580">
        <v>1346</v>
      </c>
      <c r="X92" s="580">
        <v>2248</v>
      </c>
      <c r="Y92" s="580">
        <v>1247</v>
      </c>
      <c r="Z92" s="580">
        <v>3495</v>
      </c>
      <c r="AA92" s="580">
        <v>450106</v>
      </c>
      <c r="AB92" s="580">
        <v>429859</v>
      </c>
      <c r="AC92" s="580">
        <v>879965</v>
      </c>
    </row>
    <row r="93" spans="1:29" x14ac:dyDescent="0.3">
      <c r="A93" s="929"/>
      <c r="B93" s="464" t="s">
        <v>957</v>
      </c>
      <c r="C93" s="580">
        <v>1738</v>
      </c>
      <c r="D93" s="580">
        <v>919</v>
      </c>
      <c r="E93" s="580">
        <v>2657</v>
      </c>
      <c r="F93" s="580">
        <v>18</v>
      </c>
      <c r="G93" s="580">
        <v>63</v>
      </c>
      <c r="H93" s="580">
        <v>81</v>
      </c>
      <c r="I93" s="580">
        <v>42929</v>
      </c>
      <c r="J93" s="580">
        <v>62500</v>
      </c>
      <c r="K93" s="580">
        <v>105429</v>
      </c>
      <c r="L93" s="580">
        <v>314684</v>
      </c>
      <c r="M93" s="580">
        <v>312130</v>
      </c>
      <c r="N93" s="580">
        <v>626814</v>
      </c>
      <c r="O93" s="580">
        <v>2901</v>
      </c>
      <c r="P93" s="580">
        <v>1184</v>
      </c>
      <c r="Q93" s="580">
        <v>4085</v>
      </c>
      <c r="R93" s="580">
        <v>28104</v>
      </c>
      <c r="S93" s="580">
        <v>14712</v>
      </c>
      <c r="T93" s="580">
        <v>42816</v>
      </c>
      <c r="U93" s="580">
        <v>1160</v>
      </c>
      <c r="V93" s="580">
        <v>800</v>
      </c>
      <c r="W93" s="580">
        <v>1960</v>
      </c>
      <c r="X93" s="580">
        <v>1815</v>
      </c>
      <c r="Y93" s="580">
        <v>1030</v>
      </c>
      <c r="Z93" s="580">
        <v>2845</v>
      </c>
      <c r="AA93" s="580">
        <v>393349</v>
      </c>
      <c r="AB93" s="580">
        <v>393338</v>
      </c>
      <c r="AC93" s="580">
        <v>786687</v>
      </c>
    </row>
    <row r="94" spans="1:29" x14ac:dyDescent="0.3">
      <c r="A94" s="929"/>
      <c r="B94" s="464" t="s">
        <v>956</v>
      </c>
      <c r="C94" s="580">
        <v>2469</v>
      </c>
      <c r="D94" s="580">
        <v>1020</v>
      </c>
      <c r="E94" s="580">
        <v>3489</v>
      </c>
      <c r="F94" s="580">
        <v>33</v>
      </c>
      <c r="G94" s="580">
        <v>74</v>
      </c>
      <c r="H94" s="580">
        <v>107</v>
      </c>
      <c r="I94" s="580">
        <v>42783</v>
      </c>
      <c r="J94" s="580">
        <v>63051</v>
      </c>
      <c r="K94" s="580">
        <v>105834</v>
      </c>
      <c r="L94" s="580">
        <v>330828</v>
      </c>
      <c r="M94" s="580">
        <v>329263</v>
      </c>
      <c r="N94" s="580">
        <v>660091</v>
      </c>
      <c r="O94" s="580">
        <v>3061</v>
      </c>
      <c r="P94" s="580">
        <v>1602</v>
      </c>
      <c r="Q94" s="580">
        <v>4663</v>
      </c>
      <c r="R94" s="580">
        <v>26918</v>
      </c>
      <c r="S94" s="580">
        <v>11213</v>
      </c>
      <c r="T94" s="580">
        <v>38131</v>
      </c>
      <c r="U94" s="580">
        <v>672</v>
      </c>
      <c r="V94" s="580">
        <v>1256</v>
      </c>
      <c r="W94" s="580">
        <v>1928</v>
      </c>
      <c r="X94" s="580">
        <v>2095</v>
      </c>
      <c r="Y94" s="580">
        <v>1222</v>
      </c>
      <c r="Z94" s="580">
        <v>3317</v>
      </c>
      <c r="AA94" s="580">
        <v>408859</v>
      </c>
      <c r="AB94" s="580">
        <v>408701</v>
      </c>
      <c r="AC94" s="580">
        <v>817560</v>
      </c>
    </row>
    <row r="95" spans="1:29" ht="14.5" x14ac:dyDescent="0.35">
      <c r="A95" s="929">
        <v>15</v>
      </c>
      <c r="B95" s="935" t="s">
        <v>26</v>
      </c>
      <c r="C95" s="936"/>
      <c r="D95" s="936"/>
      <c r="E95" s="936"/>
      <c r="F95" s="936"/>
      <c r="G95" s="936"/>
      <c r="H95" s="936"/>
      <c r="I95" s="936"/>
      <c r="J95" s="936"/>
      <c r="K95" s="936"/>
      <c r="L95" s="936"/>
      <c r="M95" s="936"/>
      <c r="N95" s="936"/>
      <c r="O95" s="936"/>
      <c r="P95" s="936"/>
      <c r="Q95" s="936"/>
      <c r="R95" s="936"/>
      <c r="S95" s="936"/>
      <c r="T95" s="936"/>
      <c r="U95" s="936"/>
      <c r="V95" s="936"/>
      <c r="W95" s="936"/>
      <c r="X95" s="936"/>
      <c r="Y95" s="936"/>
      <c r="Z95" s="936"/>
      <c r="AA95" s="936"/>
      <c r="AB95" s="936"/>
      <c r="AC95" s="936"/>
    </row>
    <row r="96" spans="1:29" x14ac:dyDescent="0.3">
      <c r="A96" s="929"/>
      <c r="B96" s="463" t="s">
        <v>960</v>
      </c>
      <c r="C96" s="579">
        <v>9200</v>
      </c>
      <c r="D96" s="579">
        <v>9101</v>
      </c>
      <c r="E96" s="579">
        <v>18301</v>
      </c>
      <c r="F96" s="579">
        <v>38</v>
      </c>
      <c r="G96" s="579">
        <v>179</v>
      </c>
      <c r="H96" s="579">
        <v>217</v>
      </c>
      <c r="I96" s="579">
        <v>141900.7332352208</v>
      </c>
      <c r="J96" s="579">
        <v>178386.89987365514</v>
      </c>
      <c r="K96" s="579">
        <v>320287.63310887595</v>
      </c>
      <c r="L96" s="579">
        <v>1055517.6556390964</v>
      </c>
      <c r="M96" s="579">
        <v>1043525.7920722805</v>
      </c>
      <c r="N96" s="579">
        <v>2099043.4477113769</v>
      </c>
      <c r="O96" s="579">
        <v>3760</v>
      </c>
      <c r="P96" s="579">
        <v>2953</v>
      </c>
      <c r="Q96" s="579">
        <v>6713</v>
      </c>
      <c r="R96" s="579">
        <v>158801</v>
      </c>
      <c r="S96" s="579">
        <v>104908</v>
      </c>
      <c r="T96" s="579">
        <v>263709</v>
      </c>
      <c r="U96" s="579">
        <v>15991</v>
      </c>
      <c r="V96" s="579">
        <v>15573</v>
      </c>
      <c r="W96" s="579">
        <v>31564</v>
      </c>
      <c r="X96" s="579">
        <v>10212</v>
      </c>
      <c r="Y96" s="579">
        <v>9886</v>
      </c>
      <c r="Z96" s="579">
        <v>20098</v>
      </c>
      <c r="AA96" s="579">
        <v>1395420.3888743175</v>
      </c>
      <c r="AB96" s="579">
        <v>1364512.6919459356</v>
      </c>
      <c r="AC96" s="579">
        <v>2759933.0808202531</v>
      </c>
    </row>
    <row r="97" spans="1:29" x14ac:dyDescent="0.3">
      <c r="A97" s="929"/>
      <c r="B97" s="464" t="s">
        <v>959</v>
      </c>
      <c r="C97" s="580">
        <v>5875</v>
      </c>
      <c r="D97" s="580">
        <v>5791</v>
      </c>
      <c r="E97" s="580">
        <v>11666</v>
      </c>
      <c r="F97" s="580">
        <v>53</v>
      </c>
      <c r="G97" s="580">
        <v>139</v>
      </c>
      <c r="H97" s="580">
        <v>192</v>
      </c>
      <c r="I97" s="580">
        <v>133710.0222699205</v>
      </c>
      <c r="J97" s="580">
        <v>165748.1682663851</v>
      </c>
      <c r="K97" s="580">
        <v>299458.19053630572</v>
      </c>
      <c r="L97" s="580">
        <v>1047345.47594226</v>
      </c>
      <c r="M97" s="580">
        <v>992910.17476320686</v>
      </c>
      <c r="N97" s="580">
        <v>2040255.650705467</v>
      </c>
      <c r="O97" s="580">
        <v>4829</v>
      </c>
      <c r="P97" s="580">
        <v>3667</v>
      </c>
      <c r="Q97" s="580">
        <v>8496</v>
      </c>
      <c r="R97" s="580">
        <v>152049</v>
      </c>
      <c r="S97" s="580">
        <v>105031</v>
      </c>
      <c r="T97" s="580">
        <v>257080</v>
      </c>
      <c r="U97" s="580">
        <v>1770</v>
      </c>
      <c r="V97" s="580">
        <v>1253</v>
      </c>
      <c r="W97" s="580">
        <v>3023</v>
      </c>
      <c r="X97" s="580">
        <v>9178</v>
      </c>
      <c r="Y97" s="580">
        <v>9015</v>
      </c>
      <c r="Z97" s="580">
        <v>18193</v>
      </c>
      <c r="AA97" s="580">
        <v>1354809.498212181</v>
      </c>
      <c r="AB97" s="580">
        <v>1283554.343029592</v>
      </c>
      <c r="AC97" s="580">
        <v>2638363.8412417732</v>
      </c>
    </row>
    <row r="98" spans="1:29" x14ac:dyDescent="0.3">
      <c r="A98" s="929"/>
      <c r="B98" s="464" t="s">
        <v>958</v>
      </c>
      <c r="C98" s="580">
        <v>6045</v>
      </c>
      <c r="D98" s="580">
        <v>5148</v>
      </c>
      <c r="E98" s="580">
        <v>11193</v>
      </c>
      <c r="F98" s="580">
        <v>44</v>
      </c>
      <c r="G98" s="580">
        <v>183</v>
      </c>
      <c r="H98" s="580">
        <v>227</v>
      </c>
      <c r="I98" s="580">
        <v>118528</v>
      </c>
      <c r="J98" s="580">
        <v>142088</v>
      </c>
      <c r="K98" s="580">
        <v>260616</v>
      </c>
      <c r="L98" s="580">
        <v>982974</v>
      </c>
      <c r="M98" s="580">
        <v>923326</v>
      </c>
      <c r="N98" s="580">
        <v>1906300</v>
      </c>
      <c r="O98" s="580">
        <v>4862</v>
      </c>
      <c r="P98" s="580">
        <v>3664</v>
      </c>
      <c r="Q98" s="580">
        <v>8526</v>
      </c>
      <c r="R98" s="580">
        <v>134943</v>
      </c>
      <c r="S98" s="580">
        <v>94970</v>
      </c>
      <c r="T98" s="580">
        <v>229913</v>
      </c>
      <c r="U98" s="580">
        <v>1847</v>
      </c>
      <c r="V98" s="580">
        <v>1196</v>
      </c>
      <c r="W98" s="580">
        <v>3043</v>
      </c>
      <c r="X98" s="580">
        <v>8761</v>
      </c>
      <c r="Y98" s="580">
        <v>7961</v>
      </c>
      <c r="Z98" s="580">
        <v>16722</v>
      </c>
      <c r="AA98" s="580">
        <v>1258004</v>
      </c>
      <c r="AB98" s="580">
        <v>1178536</v>
      </c>
      <c r="AC98" s="580">
        <v>2436540</v>
      </c>
    </row>
    <row r="99" spans="1:29" x14ac:dyDescent="0.3">
      <c r="A99" s="929"/>
      <c r="B99" s="464" t="s">
        <v>957</v>
      </c>
      <c r="C99" s="580">
        <v>5752</v>
      </c>
      <c r="D99" s="580">
        <v>5276</v>
      </c>
      <c r="E99" s="580">
        <v>11028</v>
      </c>
      <c r="F99" s="580">
        <v>60</v>
      </c>
      <c r="G99" s="580">
        <v>189</v>
      </c>
      <c r="H99" s="580">
        <v>249</v>
      </c>
      <c r="I99" s="580">
        <v>120083</v>
      </c>
      <c r="J99" s="580">
        <v>159105</v>
      </c>
      <c r="K99" s="580">
        <v>279188</v>
      </c>
      <c r="L99" s="580">
        <v>944677</v>
      </c>
      <c r="M99" s="580">
        <v>924391</v>
      </c>
      <c r="N99" s="580">
        <v>1869068</v>
      </c>
      <c r="O99" s="580">
        <v>4112</v>
      </c>
      <c r="P99" s="580">
        <v>3219</v>
      </c>
      <c r="Q99" s="580">
        <v>7331</v>
      </c>
      <c r="R99" s="580">
        <v>138523</v>
      </c>
      <c r="S99" s="580">
        <v>115311</v>
      </c>
      <c r="T99" s="580">
        <v>253834</v>
      </c>
      <c r="U99" s="580">
        <v>3120</v>
      </c>
      <c r="V99" s="580">
        <v>2664</v>
      </c>
      <c r="W99" s="580">
        <v>5784</v>
      </c>
      <c r="X99" s="580">
        <v>7274</v>
      </c>
      <c r="Y99" s="580">
        <v>6681</v>
      </c>
      <c r="Z99" s="580">
        <v>13955</v>
      </c>
      <c r="AA99" s="580">
        <v>1223601</v>
      </c>
      <c r="AB99" s="580">
        <v>1216836</v>
      </c>
      <c r="AC99" s="580">
        <v>2440437</v>
      </c>
    </row>
    <row r="100" spans="1:29" x14ac:dyDescent="0.3">
      <c r="A100" s="929"/>
      <c r="B100" s="464" t="s">
        <v>956</v>
      </c>
      <c r="C100" s="580">
        <v>8422</v>
      </c>
      <c r="D100" s="580">
        <v>6566</v>
      </c>
      <c r="E100" s="580">
        <v>14988</v>
      </c>
      <c r="F100" s="580">
        <v>160</v>
      </c>
      <c r="G100" s="580">
        <v>368</v>
      </c>
      <c r="H100" s="580">
        <v>528</v>
      </c>
      <c r="I100" s="580">
        <v>104832</v>
      </c>
      <c r="J100" s="580">
        <v>134324</v>
      </c>
      <c r="K100" s="580">
        <v>239156</v>
      </c>
      <c r="L100" s="580">
        <v>848754</v>
      </c>
      <c r="M100" s="580">
        <v>865942</v>
      </c>
      <c r="N100" s="580">
        <v>1714696</v>
      </c>
      <c r="O100" s="580">
        <v>5429</v>
      </c>
      <c r="P100" s="580">
        <v>4444</v>
      </c>
      <c r="Q100" s="580">
        <v>9873</v>
      </c>
      <c r="R100" s="580">
        <v>113722</v>
      </c>
      <c r="S100" s="580">
        <v>80771</v>
      </c>
      <c r="T100" s="580">
        <v>194493</v>
      </c>
      <c r="U100" s="580">
        <v>1182</v>
      </c>
      <c r="V100" s="580">
        <v>1520</v>
      </c>
      <c r="W100" s="580">
        <v>2702</v>
      </c>
      <c r="X100" s="580">
        <v>6382</v>
      </c>
      <c r="Y100" s="580">
        <v>5074</v>
      </c>
      <c r="Z100" s="580">
        <v>11456</v>
      </c>
      <c r="AA100" s="580">
        <v>1088883</v>
      </c>
      <c r="AB100" s="580">
        <v>1099009</v>
      </c>
      <c r="AC100" s="580">
        <v>2187892</v>
      </c>
    </row>
    <row r="101" spans="1:29" s="500" customFormat="1" ht="14.5" x14ac:dyDescent="0.35">
      <c r="A101" s="929">
        <v>16</v>
      </c>
      <c r="B101" s="935" t="s">
        <v>27</v>
      </c>
      <c r="C101" s="936"/>
      <c r="D101" s="936"/>
      <c r="E101" s="936"/>
      <c r="F101" s="936"/>
      <c r="G101" s="936"/>
      <c r="H101" s="936"/>
      <c r="I101" s="936"/>
      <c r="J101" s="936"/>
      <c r="K101" s="936"/>
      <c r="L101" s="936"/>
      <c r="M101" s="936"/>
      <c r="N101" s="936"/>
      <c r="O101" s="936"/>
      <c r="P101" s="936"/>
      <c r="Q101" s="936"/>
      <c r="R101" s="936"/>
      <c r="S101" s="936"/>
      <c r="T101" s="936"/>
      <c r="U101" s="936"/>
      <c r="V101" s="936"/>
      <c r="W101" s="936"/>
      <c r="X101" s="936"/>
      <c r="Y101" s="936"/>
      <c r="Z101" s="936"/>
      <c r="AA101" s="936"/>
      <c r="AB101" s="936"/>
      <c r="AC101" s="936"/>
    </row>
    <row r="102" spans="1:29" s="500" customFormat="1" x14ac:dyDescent="0.3">
      <c r="A102" s="929"/>
      <c r="B102" s="463" t="s">
        <v>960</v>
      </c>
      <c r="C102" s="579">
        <v>4252</v>
      </c>
      <c r="D102" s="579">
        <v>8354</v>
      </c>
      <c r="E102" s="579">
        <v>12606</v>
      </c>
      <c r="F102" s="579">
        <v>8</v>
      </c>
      <c r="G102" s="579">
        <v>42</v>
      </c>
      <c r="H102" s="579">
        <v>50</v>
      </c>
      <c r="I102" s="579">
        <v>52995.515231365949</v>
      </c>
      <c r="J102" s="579">
        <v>126101.87347542352</v>
      </c>
      <c r="K102" s="579">
        <v>179097.38870678947</v>
      </c>
      <c r="L102" s="579">
        <v>415901.86345166201</v>
      </c>
      <c r="M102" s="579">
        <v>550444.67857769516</v>
      </c>
      <c r="N102" s="579">
        <v>966346.54202935717</v>
      </c>
      <c r="O102" s="579">
        <v>1073</v>
      </c>
      <c r="P102" s="579">
        <v>2022</v>
      </c>
      <c r="Q102" s="579">
        <v>3095</v>
      </c>
      <c r="R102" s="579">
        <v>55902</v>
      </c>
      <c r="S102" s="579">
        <v>40569</v>
      </c>
      <c r="T102" s="579">
        <v>96471</v>
      </c>
      <c r="U102" s="579">
        <v>1528</v>
      </c>
      <c r="V102" s="579">
        <v>1409</v>
      </c>
      <c r="W102" s="579">
        <v>2937</v>
      </c>
      <c r="X102" s="579">
        <v>6482</v>
      </c>
      <c r="Y102" s="579">
        <v>9763</v>
      </c>
      <c r="Z102" s="579">
        <v>16245</v>
      </c>
      <c r="AA102" s="579">
        <v>538142.37868302793</v>
      </c>
      <c r="AB102" s="579">
        <v>738705.55205311871</v>
      </c>
      <c r="AC102" s="579">
        <v>1276847.9307361466</v>
      </c>
    </row>
    <row r="103" spans="1:29" s="500" customFormat="1" x14ac:dyDescent="0.3">
      <c r="A103" s="929"/>
      <c r="B103" s="464" t="s">
        <v>959</v>
      </c>
      <c r="C103" s="580">
        <v>2894</v>
      </c>
      <c r="D103" s="580">
        <v>6082</v>
      </c>
      <c r="E103" s="580">
        <v>8976</v>
      </c>
      <c r="F103" s="580">
        <v>14</v>
      </c>
      <c r="G103" s="580">
        <v>58</v>
      </c>
      <c r="H103" s="580">
        <v>72</v>
      </c>
      <c r="I103" s="580">
        <v>45041.841042487184</v>
      </c>
      <c r="J103" s="580">
        <v>117816.4149951648</v>
      </c>
      <c r="K103" s="580">
        <v>162858.256037652</v>
      </c>
      <c r="L103" s="580">
        <v>401393.10789953702</v>
      </c>
      <c r="M103" s="580">
        <v>535121.11412930279</v>
      </c>
      <c r="N103" s="580">
        <v>936514.22202883975</v>
      </c>
      <c r="O103" s="580">
        <v>1333</v>
      </c>
      <c r="P103" s="580">
        <v>2023</v>
      </c>
      <c r="Q103" s="580">
        <v>3356</v>
      </c>
      <c r="R103" s="580">
        <v>54281</v>
      </c>
      <c r="S103" s="580">
        <v>40081</v>
      </c>
      <c r="T103" s="580">
        <v>94362</v>
      </c>
      <c r="U103" s="580">
        <v>1999</v>
      </c>
      <c r="V103" s="580">
        <v>1280</v>
      </c>
      <c r="W103" s="580">
        <v>3279</v>
      </c>
      <c r="X103" s="580">
        <v>5701</v>
      </c>
      <c r="Y103" s="580">
        <v>9181</v>
      </c>
      <c r="Z103" s="580">
        <v>14882</v>
      </c>
      <c r="AA103" s="580">
        <v>512656.94894202409</v>
      </c>
      <c r="AB103" s="580">
        <v>711642.52912446763</v>
      </c>
      <c r="AC103" s="580">
        <v>1224299.4780664919</v>
      </c>
    </row>
    <row r="104" spans="1:29" s="500" customFormat="1" x14ac:dyDescent="0.3">
      <c r="A104" s="929"/>
      <c r="B104" s="464" t="s">
        <v>958</v>
      </c>
      <c r="C104" s="580">
        <v>3387</v>
      </c>
      <c r="D104" s="580">
        <v>5747</v>
      </c>
      <c r="E104" s="580">
        <v>9134</v>
      </c>
      <c r="F104" s="580">
        <v>75</v>
      </c>
      <c r="G104" s="580">
        <v>281</v>
      </c>
      <c r="H104" s="580">
        <v>356</v>
      </c>
      <c r="I104" s="580">
        <v>50946</v>
      </c>
      <c r="J104" s="580">
        <v>121630</v>
      </c>
      <c r="K104" s="580">
        <v>172576</v>
      </c>
      <c r="L104" s="580">
        <v>439560</v>
      </c>
      <c r="M104" s="580">
        <v>576826</v>
      </c>
      <c r="N104" s="580">
        <v>1016386</v>
      </c>
      <c r="O104" s="580">
        <v>1284</v>
      </c>
      <c r="P104" s="580">
        <v>1836</v>
      </c>
      <c r="Q104" s="580">
        <v>3120</v>
      </c>
      <c r="R104" s="580">
        <v>53625</v>
      </c>
      <c r="S104" s="580">
        <v>35512</v>
      </c>
      <c r="T104" s="580">
        <v>89137</v>
      </c>
      <c r="U104" s="580">
        <v>580</v>
      </c>
      <c r="V104" s="580">
        <v>1032</v>
      </c>
      <c r="W104" s="580">
        <v>1612</v>
      </c>
      <c r="X104" s="580">
        <v>5115</v>
      </c>
      <c r="Y104" s="580">
        <v>7009</v>
      </c>
      <c r="Z104" s="580">
        <v>12124</v>
      </c>
      <c r="AA104" s="580">
        <v>554572</v>
      </c>
      <c r="AB104" s="580">
        <v>749873</v>
      </c>
      <c r="AC104" s="580">
        <v>1304445</v>
      </c>
    </row>
    <row r="105" spans="1:29" s="500" customFormat="1" x14ac:dyDescent="0.3">
      <c r="A105" s="929"/>
      <c r="B105" s="464" t="s">
        <v>957</v>
      </c>
      <c r="C105" s="580">
        <v>3184</v>
      </c>
      <c r="D105" s="580">
        <v>5554</v>
      </c>
      <c r="E105" s="580">
        <v>8738</v>
      </c>
      <c r="F105" s="580">
        <v>207</v>
      </c>
      <c r="G105" s="580">
        <v>745</v>
      </c>
      <c r="H105" s="580">
        <v>952</v>
      </c>
      <c r="I105" s="580">
        <v>45876</v>
      </c>
      <c r="J105" s="580">
        <v>120643</v>
      </c>
      <c r="K105" s="580">
        <v>166519</v>
      </c>
      <c r="L105" s="580">
        <v>454250</v>
      </c>
      <c r="M105" s="580">
        <v>633728</v>
      </c>
      <c r="N105" s="580">
        <v>1087978</v>
      </c>
      <c r="O105" s="580">
        <v>1498</v>
      </c>
      <c r="P105" s="580">
        <v>1621</v>
      </c>
      <c r="Q105" s="580">
        <v>3119</v>
      </c>
      <c r="R105" s="580">
        <v>49106</v>
      </c>
      <c r="S105" s="580">
        <v>33686</v>
      </c>
      <c r="T105" s="580">
        <v>82792</v>
      </c>
      <c r="U105" s="580">
        <v>1278</v>
      </c>
      <c r="V105" s="580">
        <v>3429</v>
      </c>
      <c r="W105" s="580">
        <v>4707</v>
      </c>
      <c r="X105" s="580">
        <v>4226</v>
      </c>
      <c r="Y105" s="580">
        <v>5505</v>
      </c>
      <c r="Z105" s="580">
        <v>9731</v>
      </c>
      <c r="AA105" s="580">
        <v>559625</v>
      </c>
      <c r="AB105" s="580">
        <v>804911</v>
      </c>
      <c r="AC105" s="580">
        <v>1364536</v>
      </c>
    </row>
    <row r="106" spans="1:29" s="500" customFormat="1" x14ac:dyDescent="0.3">
      <c r="A106" s="929"/>
      <c r="B106" s="464" t="s">
        <v>956</v>
      </c>
      <c r="C106" s="580">
        <v>2817</v>
      </c>
      <c r="D106" s="580">
        <v>4687</v>
      </c>
      <c r="E106" s="580">
        <v>7504</v>
      </c>
      <c r="F106" s="580">
        <v>197</v>
      </c>
      <c r="G106" s="580">
        <v>676</v>
      </c>
      <c r="H106" s="580">
        <v>873</v>
      </c>
      <c r="I106" s="580">
        <v>40871</v>
      </c>
      <c r="J106" s="580">
        <v>97643</v>
      </c>
      <c r="K106" s="580">
        <v>138514</v>
      </c>
      <c r="L106" s="580">
        <v>393073</v>
      </c>
      <c r="M106" s="580">
        <v>509484</v>
      </c>
      <c r="N106" s="580">
        <v>902557</v>
      </c>
      <c r="O106" s="580">
        <v>1269</v>
      </c>
      <c r="P106" s="580">
        <v>1221</v>
      </c>
      <c r="Q106" s="580">
        <v>2490</v>
      </c>
      <c r="R106" s="580">
        <v>41613</v>
      </c>
      <c r="S106" s="580">
        <v>30834</v>
      </c>
      <c r="T106" s="580">
        <v>72447</v>
      </c>
      <c r="U106" s="580">
        <v>1308</v>
      </c>
      <c r="V106" s="580">
        <v>4365</v>
      </c>
      <c r="W106" s="580">
        <v>5673</v>
      </c>
      <c r="X106" s="580">
        <v>3701</v>
      </c>
      <c r="Y106" s="580">
        <v>4094</v>
      </c>
      <c r="Z106" s="580">
        <v>7795</v>
      </c>
      <c r="AA106" s="580">
        <v>484849</v>
      </c>
      <c r="AB106" s="580">
        <v>653004</v>
      </c>
      <c r="AC106" s="580">
        <v>1137853</v>
      </c>
    </row>
    <row r="107" spans="1:29" s="501" customFormat="1" ht="14.5" x14ac:dyDescent="0.35">
      <c r="A107" s="929">
        <v>17</v>
      </c>
      <c r="B107" s="935" t="s">
        <v>28</v>
      </c>
      <c r="C107" s="936"/>
      <c r="D107" s="936"/>
      <c r="E107" s="936"/>
      <c r="F107" s="936"/>
      <c r="G107" s="936"/>
      <c r="H107" s="936"/>
      <c r="I107" s="936"/>
      <c r="J107" s="936"/>
      <c r="K107" s="936"/>
      <c r="L107" s="936"/>
      <c r="M107" s="936"/>
      <c r="N107" s="936"/>
      <c r="O107" s="936"/>
      <c r="P107" s="936"/>
      <c r="Q107" s="936"/>
      <c r="R107" s="936"/>
      <c r="S107" s="936"/>
      <c r="T107" s="936"/>
      <c r="U107" s="936"/>
      <c r="V107" s="936"/>
      <c r="W107" s="936"/>
      <c r="X107" s="936"/>
      <c r="Y107" s="936"/>
      <c r="Z107" s="936"/>
      <c r="AA107" s="936"/>
      <c r="AB107" s="936"/>
      <c r="AC107" s="936"/>
    </row>
    <row r="108" spans="1:29" s="501" customFormat="1" x14ac:dyDescent="0.3">
      <c r="A108" s="929"/>
      <c r="B108" s="463" t="s">
        <v>960</v>
      </c>
      <c r="C108" s="579"/>
      <c r="D108" s="579"/>
      <c r="E108" s="579"/>
      <c r="F108" s="579"/>
      <c r="G108" s="579"/>
      <c r="H108" s="579"/>
      <c r="I108" s="579">
        <v>149</v>
      </c>
      <c r="J108" s="579">
        <v>271</v>
      </c>
      <c r="K108" s="579">
        <v>420</v>
      </c>
      <c r="L108" s="579">
        <v>1194</v>
      </c>
      <c r="M108" s="579">
        <v>2162.9999999999991</v>
      </c>
      <c r="N108" s="579">
        <v>3356.9999999999991</v>
      </c>
      <c r="O108" s="579"/>
      <c r="P108" s="579"/>
      <c r="Q108" s="579"/>
      <c r="R108" s="579">
        <v>274</v>
      </c>
      <c r="S108" s="579">
        <v>521</v>
      </c>
      <c r="T108" s="579">
        <v>795</v>
      </c>
      <c r="U108" s="579">
        <v>111</v>
      </c>
      <c r="V108" s="579">
        <v>82</v>
      </c>
      <c r="W108" s="579">
        <v>193</v>
      </c>
      <c r="X108" s="579"/>
      <c r="Y108" s="579"/>
      <c r="Z108" s="579"/>
      <c r="AA108" s="579">
        <v>1728</v>
      </c>
      <c r="AB108" s="579">
        <v>3036.9999999999991</v>
      </c>
      <c r="AC108" s="579">
        <v>4764.9999999999991</v>
      </c>
    </row>
    <row r="109" spans="1:29" s="501" customFormat="1" x14ac:dyDescent="0.3">
      <c r="A109" s="929"/>
      <c r="B109" s="464" t="s">
        <v>959</v>
      </c>
      <c r="C109" s="580">
        <v>10</v>
      </c>
      <c r="D109" s="580">
        <v>8</v>
      </c>
      <c r="E109" s="580">
        <v>18</v>
      </c>
      <c r="F109" s="580"/>
      <c r="G109" s="580"/>
      <c r="H109" s="580"/>
      <c r="I109" s="580">
        <v>129</v>
      </c>
      <c r="J109" s="580">
        <v>284</v>
      </c>
      <c r="K109" s="580">
        <v>413</v>
      </c>
      <c r="L109" s="580">
        <v>1247</v>
      </c>
      <c r="M109" s="580">
        <v>2185</v>
      </c>
      <c r="N109" s="580">
        <v>3432</v>
      </c>
      <c r="O109" s="580"/>
      <c r="P109" s="580"/>
      <c r="Q109" s="580"/>
      <c r="R109" s="580">
        <v>247</v>
      </c>
      <c r="S109" s="580">
        <v>412</v>
      </c>
      <c r="T109" s="580">
        <v>659</v>
      </c>
      <c r="U109" s="580">
        <v>24</v>
      </c>
      <c r="V109" s="580">
        <v>132</v>
      </c>
      <c r="W109" s="580">
        <v>156</v>
      </c>
      <c r="X109" s="580"/>
      <c r="Y109" s="580"/>
      <c r="Z109" s="580"/>
      <c r="AA109" s="580">
        <v>1657</v>
      </c>
      <c r="AB109" s="580">
        <v>3021</v>
      </c>
      <c r="AC109" s="580">
        <v>4678</v>
      </c>
    </row>
    <row r="110" spans="1:29" s="501" customFormat="1" x14ac:dyDescent="0.3">
      <c r="A110" s="929"/>
      <c r="B110" s="464" t="s">
        <v>958</v>
      </c>
      <c r="C110" s="580">
        <v>15</v>
      </c>
      <c r="D110" s="580">
        <v>3</v>
      </c>
      <c r="E110" s="580">
        <v>18</v>
      </c>
      <c r="F110" s="580"/>
      <c r="G110" s="580"/>
      <c r="H110" s="580"/>
      <c r="I110" s="580">
        <v>155</v>
      </c>
      <c r="J110" s="580">
        <v>318</v>
      </c>
      <c r="K110" s="580">
        <v>473</v>
      </c>
      <c r="L110" s="580">
        <v>1187</v>
      </c>
      <c r="M110" s="580">
        <v>2103</v>
      </c>
      <c r="N110" s="580">
        <v>3290</v>
      </c>
      <c r="O110" s="580"/>
      <c r="P110" s="580"/>
      <c r="Q110" s="580"/>
      <c r="R110" s="580">
        <v>195</v>
      </c>
      <c r="S110" s="580">
        <v>314</v>
      </c>
      <c r="T110" s="580">
        <v>509</v>
      </c>
      <c r="U110" s="580">
        <v>19</v>
      </c>
      <c r="V110" s="580">
        <v>131</v>
      </c>
      <c r="W110" s="580">
        <v>150</v>
      </c>
      <c r="X110" s="580"/>
      <c r="Y110" s="580"/>
      <c r="Z110" s="580"/>
      <c r="AA110" s="580">
        <v>1571</v>
      </c>
      <c r="AB110" s="580">
        <v>2869</v>
      </c>
      <c r="AC110" s="580">
        <v>4440</v>
      </c>
    </row>
    <row r="111" spans="1:29" s="501" customFormat="1" x14ac:dyDescent="0.3">
      <c r="A111" s="929"/>
      <c r="B111" s="464" t="s">
        <v>957</v>
      </c>
      <c r="C111" s="580">
        <v>6</v>
      </c>
      <c r="D111" s="580">
        <v>2</v>
      </c>
      <c r="E111" s="580">
        <v>8</v>
      </c>
      <c r="F111" s="580">
        <v>0</v>
      </c>
      <c r="G111" s="580">
        <v>0</v>
      </c>
      <c r="H111" s="580">
        <v>0</v>
      </c>
      <c r="I111" s="580">
        <v>70</v>
      </c>
      <c r="J111" s="580">
        <v>23</v>
      </c>
      <c r="K111" s="580">
        <v>93</v>
      </c>
      <c r="L111" s="580">
        <v>740</v>
      </c>
      <c r="M111" s="580">
        <v>1738</v>
      </c>
      <c r="N111" s="580">
        <v>2478</v>
      </c>
      <c r="O111" s="580">
        <v>0</v>
      </c>
      <c r="P111" s="580">
        <v>0</v>
      </c>
      <c r="Q111" s="580">
        <v>0</v>
      </c>
      <c r="R111" s="580">
        <v>245</v>
      </c>
      <c r="S111" s="580">
        <v>185</v>
      </c>
      <c r="T111" s="580">
        <v>430</v>
      </c>
      <c r="U111" s="580">
        <v>0</v>
      </c>
      <c r="V111" s="580">
        <v>0</v>
      </c>
      <c r="W111" s="580">
        <v>0</v>
      </c>
      <c r="X111" s="580">
        <v>47</v>
      </c>
      <c r="Y111" s="580">
        <v>91</v>
      </c>
      <c r="Z111" s="580">
        <v>138</v>
      </c>
      <c r="AA111" s="580">
        <v>1108</v>
      </c>
      <c r="AB111" s="580">
        <v>2039</v>
      </c>
      <c r="AC111" s="580">
        <v>3147</v>
      </c>
    </row>
    <row r="112" spans="1:29" s="501" customFormat="1" x14ac:dyDescent="0.3">
      <c r="A112" s="929"/>
      <c r="B112" s="464" t="s">
        <v>956</v>
      </c>
      <c r="C112" s="580">
        <v>6</v>
      </c>
      <c r="D112" s="580">
        <v>2</v>
      </c>
      <c r="E112" s="580">
        <v>8</v>
      </c>
      <c r="F112" s="580">
        <v>0</v>
      </c>
      <c r="G112" s="580">
        <v>0</v>
      </c>
      <c r="H112" s="580">
        <v>0</v>
      </c>
      <c r="I112" s="580">
        <v>26</v>
      </c>
      <c r="J112" s="580">
        <v>28</v>
      </c>
      <c r="K112" s="580">
        <v>54</v>
      </c>
      <c r="L112" s="580">
        <v>798</v>
      </c>
      <c r="M112" s="580">
        <v>1746</v>
      </c>
      <c r="N112" s="580">
        <v>2544</v>
      </c>
      <c r="O112" s="580">
        <v>0</v>
      </c>
      <c r="P112" s="580">
        <v>0</v>
      </c>
      <c r="Q112" s="580">
        <v>0</v>
      </c>
      <c r="R112" s="580">
        <v>112</v>
      </c>
      <c r="S112" s="580">
        <v>24</v>
      </c>
      <c r="T112" s="580">
        <v>136</v>
      </c>
      <c r="U112" s="580">
        <v>0</v>
      </c>
      <c r="V112" s="580">
        <v>0</v>
      </c>
      <c r="W112" s="580">
        <v>0</v>
      </c>
      <c r="X112" s="580">
        <v>57</v>
      </c>
      <c r="Y112" s="580">
        <v>98</v>
      </c>
      <c r="Z112" s="580">
        <v>155</v>
      </c>
      <c r="AA112" s="580">
        <v>999</v>
      </c>
      <c r="AB112" s="580">
        <v>1898</v>
      </c>
      <c r="AC112" s="580">
        <v>2897</v>
      </c>
    </row>
    <row r="113" spans="1:29" s="500" customFormat="1" ht="14.5" x14ac:dyDescent="0.35">
      <c r="A113" s="929">
        <v>18</v>
      </c>
      <c r="B113" s="935" t="s">
        <v>82</v>
      </c>
      <c r="C113" s="936"/>
      <c r="D113" s="936"/>
      <c r="E113" s="936"/>
      <c r="F113" s="936"/>
      <c r="G113" s="936"/>
      <c r="H113" s="936"/>
      <c r="I113" s="936"/>
      <c r="J113" s="936"/>
      <c r="K113" s="936"/>
      <c r="L113" s="936"/>
      <c r="M113" s="936"/>
      <c r="N113" s="936"/>
      <c r="O113" s="936"/>
      <c r="P113" s="936"/>
      <c r="Q113" s="936"/>
      <c r="R113" s="936"/>
      <c r="S113" s="936"/>
      <c r="T113" s="936"/>
      <c r="U113" s="936"/>
      <c r="V113" s="936"/>
      <c r="W113" s="936"/>
      <c r="X113" s="936"/>
      <c r="Y113" s="936"/>
      <c r="Z113" s="936"/>
      <c r="AA113" s="936"/>
      <c r="AB113" s="936"/>
      <c r="AC113" s="936"/>
    </row>
    <row r="114" spans="1:29" s="500" customFormat="1" x14ac:dyDescent="0.3">
      <c r="A114" s="929"/>
      <c r="B114" s="463" t="s">
        <v>960</v>
      </c>
      <c r="C114" s="579"/>
      <c r="D114" s="579"/>
      <c r="E114" s="579"/>
      <c r="F114" s="579"/>
      <c r="G114" s="579"/>
      <c r="H114" s="579"/>
      <c r="I114" s="579"/>
      <c r="J114" s="579"/>
      <c r="K114" s="579"/>
      <c r="L114" s="579">
        <v>122</v>
      </c>
      <c r="M114" s="579">
        <v>371</v>
      </c>
      <c r="N114" s="579">
        <v>493</v>
      </c>
      <c r="O114" s="579"/>
      <c r="P114" s="579"/>
      <c r="Q114" s="579"/>
      <c r="R114" s="579">
        <v>77</v>
      </c>
      <c r="S114" s="579">
        <v>22</v>
      </c>
      <c r="T114" s="579">
        <v>99</v>
      </c>
      <c r="U114" s="579"/>
      <c r="V114" s="579"/>
      <c r="W114" s="579"/>
      <c r="X114" s="579"/>
      <c r="Y114" s="579"/>
      <c r="Z114" s="579"/>
      <c r="AA114" s="579">
        <v>199</v>
      </c>
      <c r="AB114" s="579">
        <v>393</v>
      </c>
      <c r="AC114" s="579">
        <v>592</v>
      </c>
    </row>
    <row r="115" spans="1:29" s="500" customFormat="1" x14ac:dyDescent="0.3">
      <c r="A115" s="929"/>
      <c r="B115" s="464" t="s">
        <v>959</v>
      </c>
      <c r="C115" s="580"/>
      <c r="D115" s="580"/>
      <c r="E115" s="580"/>
      <c r="F115" s="580"/>
      <c r="G115" s="580"/>
      <c r="H115" s="580"/>
      <c r="I115" s="580"/>
      <c r="J115" s="580"/>
      <c r="K115" s="580"/>
      <c r="L115" s="580">
        <v>121</v>
      </c>
      <c r="M115" s="580">
        <v>299</v>
      </c>
      <c r="N115" s="580">
        <v>420</v>
      </c>
      <c r="O115" s="580"/>
      <c r="P115" s="580"/>
      <c r="Q115" s="580"/>
      <c r="R115" s="580">
        <v>71</v>
      </c>
      <c r="S115" s="580">
        <v>22</v>
      </c>
      <c r="T115" s="580">
        <v>93</v>
      </c>
      <c r="U115" s="580"/>
      <c r="V115" s="580"/>
      <c r="W115" s="580"/>
      <c r="X115" s="580"/>
      <c r="Y115" s="580"/>
      <c r="Z115" s="580"/>
      <c r="AA115" s="580">
        <v>192</v>
      </c>
      <c r="AB115" s="580">
        <v>321</v>
      </c>
      <c r="AC115" s="580">
        <v>513</v>
      </c>
    </row>
    <row r="116" spans="1:29" s="500" customFormat="1" x14ac:dyDescent="0.3">
      <c r="A116" s="929"/>
      <c r="B116" s="464" t="s">
        <v>958</v>
      </c>
      <c r="C116" s="580"/>
      <c r="D116" s="580"/>
      <c r="E116" s="580"/>
      <c r="F116" s="580"/>
      <c r="G116" s="580"/>
      <c r="H116" s="580"/>
      <c r="I116" s="580"/>
      <c r="J116" s="580"/>
      <c r="K116" s="580"/>
      <c r="L116" s="580">
        <v>14</v>
      </c>
      <c r="M116" s="580">
        <v>74</v>
      </c>
      <c r="N116" s="580">
        <v>88</v>
      </c>
      <c r="O116" s="580"/>
      <c r="P116" s="580"/>
      <c r="Q116" s="580"/>
      <c r="R116" s="580"/>
      <c r="S116" s="580"/>
      <c r="T116" s="580"/>
      <c r="U116" s="580"/>
      <c r="V116" s="580"/>
      <c r="W116" s="580"/>
      <c r="X116" s="580"/>
      <c r="Y116" s="580"/>
      <c r="Z116" s="580"/>
      <c r="AA116" s="580">
        <v>14</v>
      </c>
      <c r="AB116" s="580">
        <v>74</v>
      </c>
      <c r="AC116" s="580">
        <v>88</v>
      </c>
    </row>
    <row r="117" spans="1:29" s="500" customFormat="1" x14ac:dyDescent="0.3">
      <c r="A117" s="929"/>
      <c r="B117" s="464" t="s">
        <v>957</v>
      </c>
      <c r="C117" s="580">
        <v>0</v>
      </c>
      <c r="D117" s="580">
        <v>0</v>
      </c>
      <c r="E117" s="580">
        <v>0</v>
      </c>
      <c r="F117" s="580">
        <v>0</v>
      </c>
      <c r="G117" s="580">
        <v>0</v>
      </c>
      <c r="H117" s="580">
        <v>0</v>
      </c>
      <c r="I117" s="580">
        <v>0</v>
      </c>
      <c r="J117" s="580">
        <v>26</v>
      </c>
      <c r="K117" s="580">
        <v>26</v>
      </c>
      <c r="L117" s="580">
        <v>133</v>
      </c>
      <c r="M117" s="580">
        <v>401</v>
      </c>
      <c r="N117" s="580">
        <v>534</v>
      </c>
      <c r="O117" s="580">
        <v>0</v>
      </c>
      <c r="P117" s="580">
        <v>0</v>
      </c>
      <c r="Q117" s="580">
        <v>0</v>
      </c>
      <c r="R117" s="580">
        <v>0</v>
      </c>
      <c r="S117" s="580">
        <v>0</v>
      </c>
      <c r="T117" s="580">
        <v>0</v>
      </c>
      <c r="U117" s="580">
        <v>0</v>
      </c>
      <c r="V117" s="580">
        <v>0</v>
      </c>
      <c r="W117" s="580">
        <v>0</v>
      </c>
      <c r="X117" s="580">
        <v>0</v>
      </c>
      <c r="Y117" s="580">
        <v>0</v>
      </c>
      <c r="Z117" s="580">
        <v>0</v>
      </c>
      <c r="AA117" s="580">
        <v>133</v>
      </c>
      <c r="AB117" s="580">
        <v>427</v>
      </c>
      <c r="AC117" s="580">
        <v>560</v>
      </c>
    </row>
    <row r="118" spans="1:29" s="500" customFormat="1" x14ac:dyDescent="0.3">
      <c r="A118" s="929"/>
      <c r="B118" s="464" t="s">
        <v>956</v>
      </c>
      <c r="C118" s="580">
        <v>0</v>
      </c>
      <c r="D118" s="580">
        <v>0</v>
      </c>
      <c r="E118" s="580">
        <v>0</v>
      </c>
      <c r="F118" s="580">
        <v>0</v>
      </c>
      <c r="G118" s="580">
        <v>0</v>
      </c>
      <c r="H118" s="580">
        <v>0</v>
      </c>
      <c r="I118" s="580">
        <v>0</v>
      </c>
      <c r="J118" s="580">
        <v>26</v>
      </c>
      <c r="K118" s="580">
        <v>26</v>
      </c>
      <c r="L118" s="580">
        <v>133</v>
      </c>
      <c r="M118" s="580">
        <v>401</v>
      </c>
      <c r="N118" s="580">
        <v>534</v>
      </c>
      <c r="O118" s="580">
        <v>0</v>
      </c>
      <c r="P118" s="580">
        <v>0</v>
      </c>
      <c r="Q118" s="580">
        <v>0</v>
      </c>
      <c r="R118" s="580">
        <v>0</v>
      </c>
      <c r="S118" s="580">
        <v>0</v>
      </c>
      <c r="T118" s="580">
        <v>0</v>
      </c>
      <c r="U118" s="580">
        <v>0</v>
      </c>
      <c r="V118" s="580">
        <v>0</v>
      </c>
      <c r="W118" s="580">
        <v>0</v>
      </c>
      <c r="X118" s="580">
        <v>0</v>
      </c>
      <c r="Y118" s="580">
        <v>0</v>
      </c>
      <c r="Z118" s="580">
        <v>0</v>
      </c>
      <c r="AA118" s="580">
        <v>133</v>
      </c>
      <c r="AB118" s="580">
        <v>427</v>
      </c>
      <c r="AC118" s="580">
        <v>560</v>
      </c>
    </row>
    <row r="119" spans="1:29" s="500" customFormat="1" ht="14.5" x14ac:dyDescent="0.35">
      <c r="A119" s="929">
        <v>19</v>
      </c>
      <c r="B119" s="935" t="s">
        <v>29</v>
      </c>
      <c r="C119" s="936"/>
      <c r="D119" s="936"/>
      <c r="E119" s="936"/>
      <c r="F119" s="936"/>
      <c r="G119" s="936"/>
      <c r="H119" s="936"/>
      <c r="I119" s="936"/>
      <c r="J119" s="936"/>
      <c r="K119" s="936"/>
      <c r="L119" s="936"/>
      <c r="M119" s="936"/>
      <c r="N119" s="936"/>
      <c r="O119" s="936"/>
      <c r="P119" s="936"/>
      <c r="Q119" s="936"/>
      <c r="R119" s="936"/>
      <c r="S119" s="936"/>
      <c r="T119" s="936"/>
      <c r="U119" s="936"/>
      <c r="V119" s="936"/>
      <c r="W119" s="936"/>
      <c r="X119" s="936"/>
      <c r="Y119" s="936"/>
      <c r="Z119" s="936"/>
      <c r="AA119" s="936"/>
      <c r="AB119" s="936"/>
      <c r="AC119" s="936"/>
    </row>
    <row r="120" spans="1:29" s="500" customFormat="1" x14ac:dyDescent="0.3">
      <c r="A120" s="929"/>
      <c r="B120" s="463" t="s">
        <v>960</v>
      </c>
      <c r="C120" s="579">
        <v>6275</v>
      </c>
      <c r="D120" s="579">
        <v>5151</v>
      </c>
      <c r="E120" s="579">
        <v>11426</v>
      </c>
      <c r="F120" s="579">
        <v>2</v>
      </c>
      <c r="G120" s="579">
        <v>24</v>
      </c>
      <c r="H120" s="579">
        <v>26</v>
      </c>
      <c r="I120" s="579">
        <v>228926.77014325705</v>
      </c>
      <c r="J120" s="579">
        <v>271352.79789907113</v>
      </c>
      <c r="K120" s="579">
        <v>500279.56804232817</v>
      </c>
      <c r="L120" s="579">
        <v>1034683.4521015844</v>
      </c>
      <c r="M120" s="579">
        <v>930663.5262378942</v>
      </c>
      <c r="N120" s="579">
        <v>1965346.9783394786</v>
      </c>
      <c r="O120" s="579">
        <v>20201</v>
      </c>
      <c r="P120" s="579">
        <v>22224</v>
      </c>
      <c r="Q120" s="579">
        <v>42425</v>
      </c>
      <c r="R120" s="579">
        <v>126828</v>
      </c>
      <c r="S120" s="579">
        <v>77963</v>
      </c>
      <c r="T120" s="579">
        <v>204791</v>
      </c>
      <c r="U120" s="579">
        <v>2840</v>
      </c>
      <c r="V120" s="579">
        <v>1647</v>
      </c>
      <c r="W120" s="579">
        <v>4487</v>
      </c>
      <c r="X120" s="579">
        <v>24769</v>
      </c>
      <c r="Y120" s="579">
        <v>20877</v>
      </c>
      <c r="Z120" s="579">
        <v>45646</v>
      </c>
      <c r="AA120" s="579">
        <v>1444525.2222448415</v>
      </c>
      <c r="AB120" s="579">
        <v>1329902.3241369654</v>
      </c>
      <c r="AC120" s="579">
        <v>2774427.546381807</v>
      </c>
    </row>
    <row r="121" spans="1:29" s="500" customFormat="1" x14ac:dyDescent="0.3">
      <c r="A121" s="929"/>
      <c r="B121" s="464" t="s">
        <v>959</v>
      </c>
      <c r="C121" s="580">
        <v>4364</v>
      </c>
      <c r="D121" s="580">
        <v>3568</v>
      </c>
      <c r="E121" s="580">
        <v>7932</v>
      </c>
      <c r="F121" s="580">
        <v>1</v>
      </c>
      <c r="G121" s="580">
        <v>15</v>
      </c>
      <c r="H121" s="580">
        <v>16</v>
      </c>
      <c r="I121" s="580">
        <v>216393.0954548672</v>
      </c>
      <c r="J121" s="580">
        <v>253968.0625789669</v>
      </c>
      <c r="K121" s="580">
        <v>470361.15803383407</v>
      </c>
      <c r="L121" s="580">
        <v>1039897.4732560921</v>
      </c>
      <c r="M121" s="580">
        <v>918469.23210127233</v>
      </c>
      <c r="N121" s="580">
        <v>1958366.7053573639</v>
      </c>
      <c r="O121" s="580">
        <v>25182</v>
      </c>
      <c r="P121" s="580">
        <v>25586</v>
      </c>
      <c r="Q121" s="580">
        <v>50768</v>
      </c>
      <c r="R121" s="580">
        <v>127069</v>
      </c>
      <c r="S121" s="580">
        <v>76659</v>
      </c>
      <c r="T121" s="580">
        <v>203728</v>
      </c>
      <c r="U121" s="580">
        <v>2917</v>
      </c>
      <c r="V121" s="580">
        <v>1603</v>
      </c>
      <c r="W121" s="580">
        <v>4520</v>
      </c>
      <c r="X121" s="580">
        <v>21628</v>
      </c>
      <c r="Y121" s="580">
        <v>17929</v>
      </c>
      <c r="Z121" s="580">
        <v>39557</v>
      </c>
      <c r="AA121" s="580">
        <v>1437451.5687109591</v>
      </c>
      <c r="AB121" s="580">
        <v>1297797.2946802389</v>
      </c>
      <c r="AC121" s="580">
        <v>2735248.8633911982</v>
      </c>
    </row>
    <row r="122" spans="1:29" s="500" customFormat="1" x14ac:dyDescent="0.3">
      <c r="A122" s="929"/>
      <c r="B122" s="464" t="s">
        <v>958</v>
      </c>
      <c r="C122" s="580">
        <v>4283</v>
      </c>
      <c r="D122" s="580">
        <v>3571</v>
      </c>
      <c r="E122" s="580">
        <v>7854</v>
      </c>
      <c r="F122" s="580"/>
      <c r="G122" s="580">
        <v>16</v>
      </c>
      <c r="H122" s="580">
        <v>16</v>
      </c>
      <c r="I122" s="580">
        <v>201345</v>
      </c>
      <c r="J122" s="580">
        <v>239046</v>
      </c>
      <c r="K122" s="580">
        <v>440391</v>
      </c>
      <c r="L122" s="580">
        <v>1143205</v>
      </c>
      <c r="M122" s="580">
        <v>953119</v>
      </c>
      <c r="N122" s="580">
        <v>2096324</v>
      </c>
      <c r="O122" s="580">
        <v>21509</v>
      </c>
      <c r="P122" s="580">
        <v>20506</v>
      </c>
      <c r="Q122" s="580">
        <v>42015</v>
      </c>
      <c r="R122" s="580">
        <v>114323</v>
      </c>
      <c r="S122" s="580">
        <v>61488</v>
      </c>
      <c r="T122" s="580">
        <v>175811</v>
      </c>
      <c r="U122" s="580">
        <v>1563</v>
      </c>
      <c r="V122" s="580">
        <v>858</v>
      </c>
      <c r="W122" s="580">
        <v>2421</v>
      </c>
      <c r="X122" s="580">
        <v>19680</v>
      </c>
      <c r="Y122" s="580">
        <v>15653</v>
      </c>
      <c r="Z122" s="580">
        <v>35333</v>
      </c>
      <c r="AA122" s="580">
        <v>1505908</v>
      </c>
      <c r="AB122" s="580">
        <v>1294257</v>
      </c>
      <c r="AC122" s="580">
        <v>2800165</v>
      </c>
    </row>
    <row r="123" spans="1:29" s="500" customFormat="1" x14ac:dyDescent="0.3">
      <c r="A123" s="929"/>
      <c r="B123" s="464" t="s">
        <v>957</v>
      </c>
      <c r="C123" s="580">
        <v>3676</v>
      </c>
      <c r="D123" s="580">
        <v>2477</v>
      </c>
      <c r="E123" s="580">
        <v>6153</v>
      </c>
      <c r="F123" s="580">
        <v>91</v>
      </c>
      <c r="G123" s="580">
        <v>58</v>
      </c>
      <c r="H123" s="580">
        <v>149</v>
      </c>
      <c r="I123" s="580">
        <v>159236</v>
      </c>
      <c r="J123" s="580">
        <v>184377</v>
      </c>
      <c r="K123" s="580">
        <v>343613</v>
      </c>
      <c r="L123" s="580">
        <v>1067537</v>
      </c>
      <c r="M123" s="580">
        <v>947070</v>
      </c>
      <c r="N123" s="580">
        <v>2014607</v>
      </c>
      <c r="O123" s="580">
        <v>21531</v>
      </c>
      <c r="P123" s="580">
        <v>19739</v>
      </c>
      <c r="Q123" s="580">
        <v>41270</v>
      </c>
      <c r="R123" s="580">
        <v>103265</v>
      </c>
      <c r="S123" s="580">
        <v>56449</v>
      </c>
      <c r="T123" s="580">
        <v>159714</v>
      </c>
      <c r="U123" s="580">
        <v>2298</v>
      </c>
      <c r="V123" s="580">
        <v>1272</v>
      </c>
      <c r="W123" s="580">
        <v>3570</v>
      </c>
      <c r="X123" s="580">
        <v>16402</v>
      </c>
      <c r="Y123" s="580">
        <v>13083</v>
      </c>
      <c r="Z123" s="580">
        <v>29485</v>
      </c>
      <c r="AA123" s="580">
        <v>1374036</v>
      </c>
      <c r="AB123" s="580">
        <v>1224525</v>
      </c>
      <c r="AC123" s="580">
        <v>2598561</v>
      </c>
    </row>
    <row r="124" spans="1:29" s="500" customFormat="1" x14ac:dyDescent="0.3">
      <c r="A124" s="929"/>
      <c r="B124" s="464" t="s">
        <v>956</v>
      </c>
      <c r="C124" s="580">
        <v>3006</v>
      </c>
      <c r="D124" s="580">
        <v>2441</v>
      </c>
      <c r="E124" s="580">
        <v>5447</v>
      </c>
      <c r="F124" s="580">
        <v>427</v>
      </c>
      <c r="G124" s="580">
        <v>449</v>
      </c>
      <c r="H124" s="580">
        <v>876</v>
      </c>
      <c r="I124" s="580">
        <v>125638</v>
      </c>
      <c r="J124" s="580">
        <v>159465</v>
      </c>
      <c r="K124" s="580">
        <v>285103</v>
      </c>
      <c r="L124" s="580">
        <v>908857</v>
      </c>
      <c r="M124" s="580">
        <v>802319</v>
      </c>
      <c r="N124" s="580">
        <v>1711176</v>
      </c>
      <c r="O124" s="580">
        <v>18338</v>
      </c>
      <c r="P124" s="580">
        <v>20012</v>
      </c>
      <c r="Q124" s="580">
        <v>38350</v>
      </c>
      <c r="R124" s="580">
        <v>75946</v>
      </c>
      <c r="S124" s="580">
        <v>43555</v>
      </c>
      <c r="T124" s="580">
        <v>119501</v>
      </c>
      <c r="U124" s="580">
        <v>1866</v>
      </c>
      <c r="V124" s="580">
        <v>1011</v>
      </c>
      <c r="W124" s="580">
        <v>2877</v>
      </c>
      <c r="X124" s="580">
        <v>10498</v>
      </c>
      <c r="Y124" s="580">
        <v>8326</v>
      </c>
      <c r="Z124" s="580">
        <v>18824</v>
      </c>
      <c r="AA124" s="580">
        <v>1144576</v>
      </c>
      <c r="AB124" s="580">
        <v>1037578</v>
      </c>
      <c r="AC124" s="580">
        <v>2182154</v>
      </c>
    </row>
    <row r="125" spans="1:29" ht="14.5" x14ac:dyDescent="0.35">
      <c r="A125" s="929">
        <v>20</v>
      </c>
      <c r="B125" s="935" t="s">
        <v>30</v>
      </c>
      <c r="C125" s="936"/>
      <c r="D125" s="936"/>
      <c r="E125" s="936"/>
      <c r="F125" s="936"/>
      <c r="G125" s="936"/>
      <c r="H125" s="936"/>
      <c r="I125" s="936"/>
      <c r="J125" s="936"/>
      <c r="K125" s="936"/>
      <c r="L125" s="936"/>
      <c r="M125" s="936"/>
      <c r="N125" s="936"/>
      <c r="O125" s="936"/>
      <c r="P125" s="936"/>
      <c r="Q125" s="936"/>
      <c r="R125" s="936"/>
      <c r="S125" s="936"/>
      <c r="T125" s="936"/>
      <c r="U125" s="936"/>
      <c r="V125" s="936"/>
      <c r="W125" s="936"/>
      <c r="X125" s="936"/>
      <c r="Y125" s="936"/>
      <c r="Z125" s="936"/>
      <c r="AA125" s="936"/>
      <c r="AB125" s="936"/>
      <c r="AC125" s="936"/>
    </row>
    <row r="126" spans="1:29" x14ac:dyDescent="0.3">
      <c r="A126" s="929"/>
      <c r="B126" s="463" t="s">
        <v>960</v>
      </c>
      <c r="C126" s="579">
        <v>17597</v>
      </c>
      <c r="D126" s="579">
        <v>15683</v>
      </c>
      <c r="E126" s="579">
        <v>33280</v>
      </c>
      <c r="F126" s="579">
        <v>18</v>
      </c>
      <c r="G126" s="579">
        <v>18</v>
      </c>
      <c r="H126" s="579">
        <v>36</v>
      </c>
      <c r="I126" s="579">
        <v>303012.01543234632</v>
      </c>
      <c r="J126" s="579">
        <v>316596.82970233896</v>
      </c>
      <c r="K126" s="579">
        <v>619608.84513468528</v>
      </c>
      <c r="L126" s="579">
        <v>1882657.4929465794</v>
      </c>
      <c r="M126" s="579">
        <v>1621388.6444922888</v>
      </c>
      <c r="N126" s="579">
        <v>3504046.1374388682</v>
      </c>
      <c r="O126" s="579">
        <v>11382</v>
      </c>
      <c r="P126" s="579">
        <v>8508</v>
      </c>
      <c r="Q126" s="579">
        <v>19890</v>
      </c>
      <c r="R126" s="579">
        <v>232782</v>
      </c>
      <c r="S126" s="579">
        <v>195465</v>
      </c>
      <c r="T126" s="579">
        <v>428247</v>
      </c>
      <c r="U126" s="579">
        <v>12571</v>
      </c>
      <c r="V126" s="579">
        <v>9955</v>
      </c>
      <c r="W126" s="579">
        <v>22526</v>
      </c>
      <c r="X126" s="579">
        <v>13038</v>
      </c>
      <c r="Y126" s="579">
        <v>12897</v>
      </c>
      <c r="Z126" s="579">
        <v>25935</v>
      </c>
      <c r="AA126" s="579">
        <v>2473057.5083789262</v>
      </c>
      <c r="AB126" s="579">
        <v>2180511.4741946277</v>
      </c>
      <c r="AC126" s="579">
        <v>4653568.9825735539</v>
      </c>
    </row>
    <row r="127" spans="1:29" x14ac:dyDescent="0.3">
      <c r="A127" s="929"/>
      <c r="B127" s="464" t="s">
        <v>959</v>
      </c>
      <c r="C127" s="580">
        <v>13171</v>
      </c>
      <c r="D127" s="580">
        <v>11362</v>
      </c>
      <c r="E127" s="580">
        <v>24533</v>
      </c>
      <c r="F127" s="580">
        <v>33</v>
      </c>
      <c r="G127" s="580">
        <v>28</v>
      </c>
      <c r="H127" s="580">
        <v>61</v>
      </c>
      <c r="I127" s="580">
        <v>323993.35373261332</v>
      </c>
      <c r="J127" s="580">
        <v>342042.62374309328</v>
      </c>
      <c r="K127" s="580">
        <v>666035.9774757066</v>
      </c>
      <c r="L127" s="580">
        <v>2044038.101926012</v>
      </c>
      <c r="M127" s="580">
        <v>1644917.445032604</v>
      </c>
      <c r="N127" s="580">
        <v>3688955.546958616</v>
      </c>
      <c r="O127" s="580">
        <v>16976</v>
      </c>
      <c r="P127" s="580">
        <v>12170</v>
      </c>
      <c r="Q127" s="580">
        <v>29146</v>
      </c>
      <c r="R127" s="580">
        <v>235878</v>
      </c>
      <c r="S127" s="580">
        <v>181098</v>
      </c>
      <c r="T127" s="580">
        <v>416976</v>
      </c>
      <c r="U127" s="580">
        <v>4313</v>
      </c>
      <c r="V127" s="580">
        <v>4492</v>
      </c>
      <c r="W127" s="580">
        <v>8805</v>
      </c>
      <c r="X127" s="580">
        <v>13138</v>
      </c>
      <c r="Y127" s="580">
        <v>11479</v>
      </c>
      <c r="Z127" s="580">
        <v>24617</v>
      </c>
      <c r="AA127" s="580">
        <v>2651540.4556586249</v>
      </c>
      <c r="AB127" s="580">
        <v>2207589.0687756981</v>
      </c>
      <c r="AC127" s="580">
        <v>4859129.5244343234</v>
      </c>
    </row>
    <row r="128" spans="1:29" x14ac:dyDescent="0.3">
      <c r="A128" s="929"/>
      <c r="B128" s="464" t="s">
        <v>958</v>
      </c>
      <c r="C128" s="580">
        <v>10115</v>
      </c>
      <c r="D128" s="580">
        <v>7717</v>
      </c>
      <c r="E128" s="580">
        <v>17832</v>
      </c>
      <c r="F128" s="580">
        <v>121</v>
      </c>
      <c r="G128" s="580">
        <v>69</v>
      </c>
      <c r="H128" s="580">
        <v>190</v>
      </c>
      <c r="I128" s="580">
        <v>283304</v>
      </c>
      <c r="J128" s="580">
        <v>303894</v>
      </c>
      <c r="K128" s="580">
        <v>587198</v>
      </c>
      <c r="L128" s="580">
        <v>1968964</v>
      </c>
      <c r="M128" s="580">
        <v>1529764</v>
      </c>
      <c r="N128" s="580">
        <v>3498728</v>
      </c>
      <c r="O128" s="580">
        <v>25594</v>
      </c>
      <c r="P128" s="580">
        <v>21182</v>
      </c>
      <c r="Q128" s="580">
        <v>46776</v>
      </c>
      <c r="R128" s="580">
        <v>236517</v>
      </c>
      <c r="S128" s="580">
        <v>157882</v>
      </c>
      <c r="T128" s="580">
        <v>394399</v>
      </c>
      <c r="U128" s="580">
        <v>7580</v>
      </c>
      <c r="V128" s="580">
        <v>4905</v>
      </c>
      <c r="W128" s="580">
        <v>12485</v>
      </c>
      <c r="X128" s="580">
        <v>10636</v>
      </c>
      <c r="Y128" s="580">
        <v>9599</v>
      </c>
      <c r="Z128" s="580">
        <v>20235</v>
      </c>
      <c r="AA128" s="580">
        <v>2542831</v>
      </c>
      <c r="AB128" s="580">
        <v>2035012</v>
      </c>
      <c r="AC128" s="580">
        <v>4577843</v>
      </c>
    </row>
    <row r="129" spans="1:29" x14ac:dyDescent="0.3">
      <c r="A129" s="929"/>
      <c r="B129" s="464" t="s">
        <v>957</v>
      </c>
      <c r="C129" s="580">
        <v>9358</v>
      </c>
      <c r="D129" s="580">
        <v>6393</v>
      </c>
      <c r="E129" s="580">
        <v>15751</v>
      </c>
      <c r="F129" s="580">
        <v>385</v>
      </c>
      <c r="G129" s="580">
        <v>349</v>
      </c>
      <c r="H129" s="580">
        <v>734</v>
      </c>
      <c r="I129" s="580">
        <v>244931</v>
      </c>
      <c r="J129" s="580">
        <v>319628</v>
      </c>
      <c r="K129" s="580">
        <v>564559</v>
      </c>
      <c r="L129" s="580">
        <v>1955828</v>
      </c>
      <c r="M129" s="580">
        <v>1538148</v>
      </c>
      <c r="N129" s="580">
        <v>3493976</v>
      </c>
      <c r="O129" s="580">
        <v>14155</v>
      </c>
      <c r="P129" s="580">
        <v>10540</v>
      </c>
      <c r="Q129" s="580">
        <v>24695</v>
      </c>
      <c r="R129" s="580">
        <v>236423</v>
      </c>
      <c r="S129" s="580">
        <v>157788</v>
      </c>
      <c r="T129" s="580">
        <v>394211</v>
      </c>
      <c r="U129" s="580">
        <v>22503</v>
      </c>
      <c r="V129" s="580">
        <v>13879</v>
      </c>
      <c r="W129" s="580">
        <v>36382</v>
      </c>
      <c r="X129" s="580">
        <v>8314</v>
      </c>
      <c r="Y129" s="580">
        <v>7527</v>
      </c>
      <c r="Z129" s="580">
        <v>15841</v>
      </c>
      <c r="AA129" s="580">
        <v>2491897</v>
      </c>
      <c r="AB129" s="580">
        <v>2054252</v>
      </c>
      <c r="AC129" s="580">
        <v>4546149</v>
      </c>
    </row>
    <row r="130" spans="1:29" x14ac:dyDescent="0.3">
      <c r="A130" s="929"/>
      <c r="B130" s="464" t="s">
        <v>956</v>
      </c>
      <c r="C130" s="580">
        <v>7122</v>
      </c>
      <c r="D130" s="580">
        <v>4861</v>
      </c>
      <c r="E130" s="580">
        <v>11983</v>
      </c>
      <c r="F130" s="580">
        <v>760</v>
      </c>
      <c r="G130" s="580">
        <v>716</v>
      </c>
      <c r="H130" s="580">
        <v>1476</v>
      </c>
      <c r="I130" s="580">
        <v>225266</v>
      </c>
      <c r="J130" s="580">
        <v>253236</v>
      </c>
      <c r="K130" s="580">
        <v>478502</v>
      </c>
      <c r="L130" s="580">
        <v>1866422</v>
      </c>
      <c r="M130" s="580">
        <v>1526553</v>
      </c>
      <c r="N130" s="580">
        <v>3392975</v>
      </c>
      <c r="O130" s="580">
        <v>13295</v>
      </c>
      <c r="P130" s="580">
        <v>10337</v>
      </c>
      <c r="Q130" s="580">
        <v>23632</v>
      </c>
      <c r="R130" s="580">
        <v>183077</v>
      </c>
      <c r="S130" s="580">
        <v>140057</v>
      </c>
      <c r="T130" s="580">
        <v>323134</v>
      </c>
      <c r="U130" s="580">
        <v>9835</v>
      </c>
      <c r="V130" s="580">
        <v>8013</v>
      </c>
      <c r="W130" s="580">
        <v>17848</v>
      </c>
      <c r="X130" s="580">
        <v>8085</v>
      </c>
      <c r="Y130" s="580">
        <v>7837</v>
      </c>
      <c r="Z130" s="580">
        <v>15922</v>
      </c>
      <c r="AA130" s="580">
        <v>2313862</v>
      </c>
      <c r="AB130" s="580">
        <v>1951610</v>
      </c>
      <c r="AC130" s="580">
        <v>4265472</v>
      </c>
    </row>
    <row r="131" spans="1:29" ht="14.5" x14ac:dyDescent="0.35">
      <c r="A131" s="929">
        <v>21</v>
      </c>
      <c r="B131" s="935" t="s">
        <v>31</v>
      </c>
      <c r="C131" s="936"/>
      <c r="D131" s="936"/>
      <c r="E131" s="936"/>
      <c r="F131" s="936"/>
      <c r="G131" s="936"/>
      <c r="H131" s="936"/>
      <c r="I131" s="936"/>
      <c r="J131" s="936"/>
      <c r="K131" s="936"/>
      <c r="L131" s="936"/>
      <c r="M131" s="936"/>
      <c r="N131" s="936"/>
      <c r="O131" s="936"/>
      <c r="P131" s="936"/>
      <c r="Q131" s="936"/>
      <c r="R131" s="936"/>
      <c r="S131" s="936"/>
      <c r="T131" s="936"/>
      <c r="U131" s="936"/>
      <c r="V131" s="936"/>
      <c r="W131" s="936"/>
      <c r="X131" s="936"/>
      <c r="Y131" s="936"/>
      <c r="Z131" s="936"/>
      <c r="AA131" s="936"/>
      <c r="AB131" s="936"/>
      <c r="AC131" s="936"/>
    </row>
    <row r="132" spans="1:29" x14ac:dyDescent="0.3">
      <c r="A132" s="929"/>
      <c r="B132" s="463" t="s">
        <v>960</v>
      </c>
      <c r="C132" s="579">
        <v>1518</v>
      </c>
      <c r="D132" s="579">
        <v>1621</v>
      </c>
      <c r="E132" s="579">
        <v>3139</v>
      </c>
      <c r="F132" s="579">
        <v>4</v>
      </c>
      <c r="G132" s="579">
        <v>8</v>
      </c>
      <c r="H132" s="579">
        <v>12</v>
      </c>
      <c r="I132" s="579">
        <v>6265</v>
      </c>
      <c r="J132" s="579">
        <v>6584</v>
      </c>
      <c r="K132" s="579">
        <v>12849</v>
      </c>
      <c r="L132" s="579">
        <v>45832</v>
      </c>
      <c r="M132" s="579">
        <v>45060</v>
      </c>
      <c r="N132" s="579">
        <v>90892</v>
      </c>
      <c r="O132" s="579">
        <v>339</v>
      </c>
      <c r="P132" s="579">
        <v>293</v>
      </c>
      <c r="Q132" s="579">
        <v>632</v>
      </c>
      <c r="R132" s="579">
        <v>1535</v>
      </c>
      <c r="S132" s="579">
        <v>2792</v>
      </c>
      <c r="T132" s="579">
        <v>4327</v>
      </c>
      <c r="U132" s="579">
        <v>51</v>
      </c>
      <c r="V132" s="579">
        <v>61</v>
      </c>
      <c r="W132" s="579">
        <v>112</v>
      </c>
      <c r="X132" s="579">
        <v>264</v>
      </c>
      <c r="Y132" s="579">
        <v>154</v>
      </c>
      <c r="Z132" s="579">
        <v>418</v>
      </c>
      <c r="AA132" s="579">
        <v>55808</v>
      </c>
      <c r="AB132" s="579">
        <v>56573</v>
      </c>
      <c r="AC132" s="579">
        <v>112381</v>
      </c>
    </row>
    <row r="133" spans="1:29" x14ac:dyDescent="0.3">
      <c r="A133" s="929"/>
      <c r="B133" s="464" t="s">
        <v>959</v>
      </c>
      <c r="C133" s="580">
        <v>1139</v>
      </c>
      <c r="D133" s="580">
        <v>1211</v>
      </c>
      <c r="E133" s="580">
        <v>2350</v>
      </c>
      <c r="F133" s="580">
        <v>4</v>
      </c>
      <c r="G133" s="580">
        <v>8</v>
      </c>
      <c r="H133" s="580">
        <v>12</v>
      </c>
      <c r="I133" s="580">
        <v>5962.3042499296371</v>
      </c>
      <c r="J133" s="580">
        <v>6576.591049817056</v>
      </c>
      <c r="K133" s="580">
        <v>12538.895299746689</v>
      </c>
      <c r="L133" s="580">
        <v>52550.43287362792</v>
      </c>
      <c r="M133" s="580">
        <v>50229.887137630169</v>
      </c>
      <c r="N133" s="580">
        <v>102780.3200112581</v>
      </c>
      <c r="O133" s="580">
        <v>499</v>
      </c>
      <c r="P133" s="580">
        <v>525</v>
      </c>
      <c r="Q133" s="580">
        <v>1024</v>
      </c>
      <c r="R133" s="580">
        <v>1476</v>
      </c>
      <c r="S133" s="580">
        <v>2607</v>
      </c>
      <c r="T133" s="580">
        <v>4083</v>
      </c>
      <c r="U133" s="580">
        <v>144</v>
      </c>
      <c r="V133" s="580">
        <v>74</v>
      </c>
      <c r="W133" s="580">
        <v>218</v>
      </c>
      <c r="X133" s="580"/>
      <c r="Y133" s="580"/>
      <c r="Z133" s="580"/>
      <c r="AA133" s="580">
        <v>61774.737123557563</v>
      </c>
      <c r="AB133" s="580">
        <v>61231.478187447217</v>
      </c>
      <c r="AC133" s="580">
        <v>123006.21531100479</v>
      </c>
    </row>
    <row r="134" spans="1:29" x14ac:dyDescent="0.3">
      <c r="A134" s="929"/>
      <c r="B134" s="464" t="s">
        <v>958</v>
      </c>
      <c r="C134" s="580">
        <v>725</v>
      </c>
      <c r="D134" s="580">
        <v>723</v>
      </c>
      <c r="E134" s="580">
        <v>1448</v>
      </c>
      <c r="F134" s="580"/>
      <c r="G134" s="580">
        <v>6</v>
      </c>
      <c r="H134" s="580">
        <v>6</v>
      </c>
      <c r="I134" s="580">
        <v>4940</v>
      </c>
      <c r="J134" s="580">
        <v>5528</v>
      </c>
      <c r="K134" s="580">
        <v>10468</v>
      </c>
      <c r="L134" s="580">
        <v>58171</v>
      </c>
      <c r="M134" s="580">
        <v>54386</v>
      </c>
      <c r="N134" s="580">
        <v>112557</v>
      </c>
      <c r="O134" s="580">
        <v>555</v>
      </c>
      <c r="P134" s="580">
        <v>419</v>
      </c>
      <c r="Q134" s="580">
        <v>974</v>
      </c>
      <c r="R134" s="580">
        <v>1682</v>
      </c>
      <c r="S134" s="580">
        <v>2967</v>
      </c>
      <c r="T134" s="580">
        <v>4649</v>
      </c>
      <c r="U134" s="580">
        <v>161</v>
      </c>
      <c r="V134" s="580">
        <v>125</v>
      </c>
      <c r="W134" s="580">
        <v>286</v>
      </c>
      <c r="X134" s="580"/>
      <c r="Y134" s="580"/>
      <c r="Z134" s="580"/>
      <c r="AA134" s="580">
        <v>66234</v>
      </c>
      <c r="AB134" s="580">
        <v>64154</v>
      </c>
      <c r="AC134" s="580">
        <v>130388</v>
      </c>
    </row>
    <row r="135" spans="1:29" x14ac:dyDescent="0.3">
      <c r="A135" s="929"/>
      <c r="B135" s="464" t="s">
        <v>957</v>
      </c>
      <c r="C135" s="580">
        <v>624</v>
      </c>
      <c r="D135" s="580">
        <v>569</v>
      </c>
      <c r="E135" s="580">
        <v>1193</v>
      </c>
      <c r="F135" s="580">
        <v>0</v>
      </c>
      <c r="G135" s="580">
        <v>12</v>
      </c>
      <c r="H135" s="580">
        <v>12</v>
      </c>
      <c r="I135" s="580">
        <v>4813</v>
      </c>
      <c r="J135" s="580">
        <v>5649</v>
      </c>
      <c r="K135" s="580">
        <v>10462</v>
      </c>
      <c r="L135" s="580">
        <v>61246</v>
      </c>
      <c r="M135" s="580">
        <v>60261</v>
      </c>
      <c r="N135" s="580">
        <v>121507</v>
      </c>
      <c r="O135" s="580">
        <v>396</v>
      </c>
      <c r="P135" s="580">
        <v>269</v>
      </c>
      <c r="Q135" s="580">
        <v>665</v>
      </c>
      <c r="R135" s="580">
        <v>1637</v>
      </c>
      <c r="S135" s="580">
        <v>2607</v>
      </c>
      <c r="T135" s="580">
        <v>4244</v>
      </c>
      <c r="U135" s="580">
        <v>200</v>
      </c>
      <c r="V135" s="580">
        <v>216</v>
      </c>
      <c r="W135" s="580">
        <v>416</v>
      </c>
      <c r="X135" s="580">
        <v>0</v>
      </c>
      <c r="Y135" s="580">
        <v>0</v>
      </c>
      <c r="Z135" s="580">
        <v>0</v>
      </c>
      <c r="AA135" s="580">
        <v>68916</v>
      </c>
      <c r="AB135" s="580">
        <v>69583</v>
      </c>
      <c r="AC135" s="580">
        <v>138499</v>
      </c>
    </row>
    <row r="136" spans="1:29" x14ac:dyDescent="0.3">
      <c r="A136" s="929"/>
      <c r="B136" s="464" t="s">
        <v>956</v>
      </c>
      <c r="C136" s="580">
        <v>538</v>
      </c>
      <c r="D136" s="580">
        <v>507</v>
      </c>
      <c r="E136" s="580">
        <v>1045</v>
      </c>
      <c r="F136" s="580">
        <v>2</v>
      </c>
      <c r="G136" s="580">
        <v>10</v>
      </c>
      <c r="H136" s="580">
        <v>12</v>
      </c>
      <c r="I136" s="580">
        <v>4689</v>
      </c>
      <c r="J136" s="580">
        <v>5087</v>
      </c>
      <c r="K136" s="580">
        <v>9776</v>
      </c>
      <c r="L136" s="580">
        <v>54042</v>
      </c>
      <c r="M136" s="580">
        <v>55248</v>
      </c>
      <c r="N136" s="580">
        <v>109290</v>
      </c>
      <c r="O136" s="580">
        <v>187</v>
      </c>
      <c r="P136" s="580">
        <v>90</v>
      </c>
      <c r="Q136" s="580">
        <v>277</v>
      </c>
      <c r="R136" s="580">
        <v>1383</v>
      </c>
      <c r="S136" s="580">
        <v>2573</v>
      </c>
      <c r="T136" s="580">
        <v>3956</v>
      </c>
      <c r="U136" s="580">
        <v>77</v>
      </c>
      <c r="V136" s="580">
        <v>105</v>
      </c>
      <c r="W136" s="580">
        <v>182</v>
      </c>
      <c r="X136" s="580">
        <v>0</v>
      </c>
      <c r="Y136" s="580">
        <v>0</v>
      </c>
      <c r="Z136" s="580">
        <v>0</v>
      </c>
      <c r="AA136" s="580">
        <v>60918</v>
      </c>
      <c r="AB136" s="580">
        <v>63620</v>
      </c>
      <c r="AC136" s="580">
        <v>124538</v>
      </c>
    </row>
    <row r="137" spans="1:29" ht="14.5" x14ac:dyDescent="0.35">
      <c r="A137" s="929">
        <v>22</v>
      </c>
      <c r="B137" s="935" t="s">
        <v>32</v>
      </c>
      <c r="C137" s="936"/>
      <c r="D137" s="936"/>
      <c r="E137" s="936"/>
      <c r="F137" s="936"/>
      <c r="G137" s="936"/>
      <c r="H137" s="936"/>
      <c r="I137" s="936"/>
      <c r="J137" s="936"/>
      <c r="K137" s="936"/>
      <c r="L137" s="936"/>
      <c r="M137" s="936"/>
      <c r="N137" s="936"/>
      <c r="O137" s="936"/>
      <c r="P137" s="936"/>
      <c r="Q137" s="936"/>
      <c r="R137" s="936"/>
      <c r="S137" s="936"/>
      <c r="T137" s="936"/>
      <c r="U137" s="936"/>
      <c r="V137" s="936"/>
      <c r="W137" s="936"/>
      <c r="X137" s="936"/>
      <c r="Y137" s="936"/>
      <c r="Z137" s="936"/>
      <c r="AA137" s="936"/>
      <c r="AB137" s="936"/>
      <c r="AC137" s="936"/>
    </row>
    <row r="138" spans="1:29" x14ac:dyDescent="0.3">
      <c r="A138" s="929"/>
      <c r="B138" s="463" t="s">
        <v>960</v>
      </c>
      <c r="C138" s="579">
        <v>1112</v>
      </c>
      <c r="D138" s="579">
        <v>1213</v>
      </c>
      <c r="E138" s="579">
        <v>2325</v>
      </c>
      <c r="F138" s="579">
        <v>1</v>
      </c>
      <c r="G138" s="579"/>
      <c r="H138" s="579">
        <v>1</v>
      </c>
      <c r="I138" s="579">
        <v>5926.8125</v>
      </c>
      <c r="J138" s="579">
        <v>9542.09375</v>
      </c>
      <c r="K138" s="579">
        <v>15468.90625</v>
      </c>
      <c r="L138" s="579">
        <v>39272.588068181823</v>
      </c>
      <c r="M138" s="579">
        <v>47720.215909090897</v>
      </c>
      <c r="N138" s="579">
        <v>86992.803977272721</v>
      </c>
      <c r="O138" s="579">
        <v>120</v>
      </c>
      <c r="P138" s="579">
        <v>109</v>
      </c>
      <c r="Q138" s="579">
        <v>229</v>
      </c>
      <c r="R138" s="579">
        <v>1279</v>
      </c>
      <c r="S138" s="579">
        <v>2207</v>
      </c>
      <c r="T138" s="579">
        <v>3486</v>
      </c>
      <c r="U138" s="579">
        <v>330</v>
      </c>
      <c r="V138" s="579">
        <v>338</v>
      </c>
      <c r="W138" s="579">
        <v>668</v>
      </c>
      <c r="X138" s="579">
        <v>284</v>
      </c>
      <c r="Y138" s="579">
        <v>361</v>
      </c>
      <c r="Z138" s="579">
        <v>645</v>
      </c>
      <c r="AA138" s="579">
        <v>48325.400568181823</v>
      </c>
      <c r="AB138" s="579">
        <v>61490.309659090897</v>
      </c>
      <c r="AC138" s="579">
        <v>109815.71022727272</v>
      </c>
    </row>
    <row r="139" spans="1:29" x14ac:dyDescent="0.3">
      <c r="A139" s="929"/>
      <c r="B139" s="464" t="s">
        <v>959</v>
      </c>
      <c r="C139" s="580">
        <v>525</v>
      </c>
      <c r="D139" s="580">
        <v>534</v>
      </c>
      <c r="E139" s="580">
        <v>1059</v>
      </c>
      <c r="F139" s="580">
        <v>0</v>
      </c>
      <c r="G139" s="580">
        <v>0</v>
      </c>
      <c r="H139" s="580">
        <v>0</v>
      </c>
      <c r="I139" s="580">
        <v>6070.575757575758</v>
      </c>
      <c r="J139" s="580">
        <v>9701.636363636364</v>
      </c>
      <c r="K139" s="580">
        <v>15772.21212121212</v>
      </c>
      <c r="L139" s="580">
        <v>36319.909090909088</v>
      </c>
      <c r="M139" s="580">
        <v>43550.242424242417</v>
      </c>
      <c r="N139" s="580">
        <v>79870.15151515152</v>
      </c>
      <c r="O139" s="580">
        <v>122</v>
      </c>
      <c r="P139" s="580">
        <v>135</v>
      </c>
      <c r="Q139" s="580">
        <v>257</v>
      </c>
      <c r="R139" s="580">
        <v>1288</v>
      </c>
      <c r="S139" s="580">
        <v>2288</v>
      </c>
      <c r="T139" s="580">
        <v>3576</v>
      </c>
      <c r="U139" s="580">
        <v>458</v>
      </c>
      <c r="V139" s="580">
        <v>455</v>
      </c>
      <c r="W139" s="580">
        <v>913</v>
      </c>
      <c r="X139" s="580">
        <v>234</v>
      </c>
      <c r="Y139" s="580">
        <v>251</v>
      </c>
      <c r="Z139" s="580">
        <v>485</v>
      </c>
      <c r="AA139" s="580">
        <v>45017.484848484848</v>
      </c>
      <c r="AB139" s="580">
        <v>56914.878787878777</v>
      </c>
      <c r="AC139" s="580">
        <v>101932.3636363636</v>
      </c>
    </row>
    <row r="140" spans="1:29" x14ac:dyDescent="0.3">
      <c r="A140" s="929"/>
      <c r="B140" s="464" t="s">
        <v>958</v>
      </c>
      <c r="C140" s="580">
        <v>458</v>
      </c>
      <c r="D140" s="580">
        <v>331</v>
      </c>
      <c r="E140" s="580">
        <v>789</v>
      </c>
      <c r="F140" s="580">
        <v>1</v>
      </c>
      <c r="G140" s="580">
        <v>2</v>
      </c>
      <c r="H140" s="580">
        <v>3</v>
      </c>
      <c r="I140" s="580">
        <v>5673</v>
      </c>
      <c r="J140" s="580">
        <v>8432</v>
      </c>
      <c r="K140" s="580">
        <v>14105</v>
      </c>
      <c r="L140" s="580">
        <v>35954</v>
      </c>
      <c r="M140" s="580">
        <v>41489</v>
      </c>
      <c r="N140" s="580">
        <v>77443</v>
      </c>
      <c r="O140" s="580">
        <v>280</v>
      </c>
      <c r="P140" s="580">
        <v>363</v>
      </c>
      <c r="Q140" s="580">
        <v>643</v>
      </c>
      <c r="R140" s="580">
        <v>988</v>
      </c>
      <c r="S140" s="580">
        <v>2013</v>
      </c>
      <c r="T140" s="580">
        <v>3001</v>
      </c>
      <c r="U140" s="580">
        <v>31</v>
      </c>
      <c r="V140" s="580">
        <v>55</v>
      </c>
      <c r="W140" s="580">
        <v>86</v>
      </c>
      <c r="X140" s="580">
        <v>203</v>
      </c>
      <c r="Y140" s="580">
        <v>180</v>
      </c>
      <c r="Z140" s="580">
        <v>383</v>
      </c>
      <c r="AA140" s="580">
        <v>43588</v>
      </c>
      <c r="AB140" s="580">
        <v>52865</v>
      </c>
      <c r="AC140" s="580">
        <v>96453</v>
      </c>
    </row>
    <row r="141" spans="1:29" x14ac:dyDescent="0.3">
      <c r="A141" s="929"/>
      <c r="B141" s="464" t="s">
        <v>957</v>
      </c>
      <c r="C141" s="580">
        <v>469</v>
      </c>
      <c r="D141" s="580">
        <v>364</v>
      </c>
      <c r="E141" s="580">
        <v>833</v>
      </c>
      <c r="F141" s="580">
        <v>0</v>
      </c>
      <c r="G141" s="580">
        <v>0</v>
      </c>
      <c r="H141" s="580">
        <v>0</v>
      </c>
      <c r="I141" s="580">
        <v>4039</v>
      </c>
      <c r="J141" s="580">
        <v>6124</v>
      </c>
      <c r="K141" s="580">
        <v>10163</v>
      </c>
      <c r="L141" s="580">
        <v>36840</v>
      </c>
      <c r="M141" s="580">
        <v>45359</v>
      </c>
      <c r="N141" s="580">
        <v>82199</v>
      </c>
      <c r="O141" s="580">
        <v>177</v>
      </c>
      <c r="P141" s="580">
        <v>129</v>
      </c>
      <c r="Q141" s="580">
        <v>306</v>
      </c>
      <c r="R141" s="580">
        <v>1334</v>
      </c>
      <c r="S141" s="580">
        <v>2236</v>
      </c>
      <c r="T141" s="580">
        <v>3570</v>
      </c>
      <c r="U141" s="580">
        <v>172</v>
      </c>
      <c r="V141" s="580">
        <v>214</v>
      </c>
      <c r="W141" s="580">
        <v>386</v>
      </c>
      <c r="X141" s="580">
        <v>73</v>
      </c>
      <c r="Y141" s="580">
        <v>54</v>
      </c>
      <c r="Z141" s="580">
        <v>127</v>
      </c>
      <c r="AA141" s="580">
        <v>43104</v>
      </c>
      <c r="AB141" s="580">
        <v>54480</v>
      </c>
      <c r="AC141" s="580">
        <v>97584</v>
      </c>
    </row>
    <row r="142" spans="1:29" x14ac:dyDescent="0.3">
      <c r="A142" s="929"/>
      <c r="B142" s="464" t="s">
        <v>956</v>
      </c>
      <c r="C142" s="580">
        <v>492</v>
      </c>
      <c r="D142" s="580">
        <v>378</v>
      </c>
      <c r="E142" s="580">
        <v>870</v>
      </c>
      <c r="F142" s="580">
        <v>10</v>
      </c>
      <c r="G142" s="580">
        <v>23</v>
      </c>
      <c r="H142" s="580">
        <v>33</v>
      </c>
      <c r="I142" s="580">
        <v>4146</v>
      </c>
      <c r="J142" s="580">
        <v>6139</v>
      </c>
      <c r="K142" s="580">
        <v>10285</v>
      </c>
      <c r="L142" s="580">
        <v>33881</v>
      </c>
      <c r="M142" s="580">
        <v>39321</v>
      </c>
      <c r="N142" s="580">
        <v>73202</v>
      </c>
      <c r="O142" s="580">
        <v>114</v>
      </c>
      <c r="P142" s="580">
        <v>70</v>
      </c>
      <c r="Q142" s="580">
        <v>184</v>
      </c>
      <c r="R142" s="580">
        <v>1083</v>
      </c>
      <c r="S142" s="580">
        <v>1666</v>
      </c>
      <c r="T142" s="580">
        <v>2749</v>
      </c>
      <c r="U142" s="580">
        <v>48</v>
      </c>
      <c r="V142" s="580">
        <v>48</v>
      </c>
      <c r="W142" s="580">
        <v>96</v>
      </c>
      <c r="X142" s="580">
        <v>70</v>
      </c>
      <c r="Y142" s="580">
        <v>52</v>
      </c>
      <c r="Z142" s="580">
        <v>122</v>
      </c>
      <c r="AA142" s="580">
        <v>39844</v>
      </c>
      <c r="AB142" s="580">
        <v>47697</v>
      </c>
      <c r="AC142" s="580">
        <v>87541</v>
      </c>
    </row>
    <row r="143" spans="1:29" ht="14.5" x14ac:dyDescent="0.35">
      <c r="A143" s="929">
        <v>23</v>
      </c>
      <c r="B143" s="935" t="s">
        <v>33</v>
      </c>
      <c r="C143" s="936"/>
      <c r="D143" s="936"/>
      <c r="E143" s="936"/>
      <c r="F143" s="936"/>
      <c r="G143" s="936"/>
      <c r="H143" s="936"/>
      <c r="I143" s="936"/>
      <c r="J143" s="936"/>
      <c r="K143" s="936"/>
      <c r="L143" s="936"/>
      <c r="M143" s="936"/>
      <c r="N143" s="936"/>
      <c r="O143" s="936"/>
      <c r="P143" s="936"/>
      <c r="Q143" s="936"/>
      <c r="R143" s="936"/>
      <c r="S143" s="936"/>
      <c r="T143" s="936"/>
      <c r="U143" s="936"/>
      <c r="V143" s="936"/>
      <c r="W143" s="936"/>
      <c r="X143" s="936"/>
      <c r="Y143" s="936"/>
      <c r="Z143" s="936"/>
      <c r="AA143" s="936"/>
      <c r="AB143" s="936"/>
      <c r="AC143" s="936"/>
    </row>
    <row r="144" spans="1:29" x14ac:dyDescent="0.3">
      <c r="A144" s="929"/>
      <c r="B144" s="463" t="s">
        <v>960</v>
      </c>
      <c r="C144" s="579">
        <v>760</v>
      </c>
      <c r="D144" s="579">
        <v>708</v>
      </c>
      <c r="E144" s="579">
        <v>1468</v>
      </c>
      <c r="F144" s="579"/>
      <c r="G144" s="579"/>
      <c r="H144" s="579"/>
      <c r="I144" s="579">
        <v>2255</v>
      </c>
      <c r="J144" s="579">
        <v>2775</v>
      </c>
      <c r="K144" s="579">
        <v>5030</v>
      </c>
      <c r="L144" s="579">
        <v>14869</v>
      </c>
      <c r="M144" s="579">
        <v>13705</v>
      </c>
      <c r="N144" s="579">
        <v>28574</v>
      </c>
      <c r="O144" s="579">
        <v>41</v>
      </c>
      <c r="P144" s="579">
        <v>17</v>
      </c>
      <c r="Q144" s="579">
        <v>58</v>
      </c>
      <c r="R144" s="579">
        <v>4299</v>
      </c>
      <c r="S144" s="579">
        <v>5426</v>
      </c>
      <c r="T144" s="579">
        <v>9725</v>
      </c>
      <c r="U144" s="579">
        <v>271</v>
      </c>
      <c r="V144" s="579">
        <v>251</v>
      </c>
      <c r="W144" s="579">
        <v>522</v>
      </c>
      <c r="X144" s="579"/>
      <c r="Y144" s="579"/>
      <c r="Z144" s="579"/>
      <c r="AA144" s="579">
        <v>22495</v>
      </c>
      <c r="AB144" s="579">
        <v>22882</v>
      </c>
      <c r="AC144" s="579">
        <v>45377</v>
      </c>
    </row>
    <row r="145" spans="1:29" x14ac:dyDescent="0.3">
      <c r="A145" s="929"/>
      <c r="B145" s="464" t="s">
        <v>959</v>
      </c>
      <c r="C145" s="580">
        <v>667</v>
      </c>
      <c r="D145" s="580">
        <v>579</v>
      </c>
      <c r="E145" s="580">
        <v>1246</v>
      </c>
      <c r="F145" s="580"/>
      <c r="G145" s="580"/>
      <c r="H145" s="580"/>
      <c r="I145" s="580">
        <v>2522</v>
      </c>
      <c r="J145" s="580">
        <v>3063</v>
      </c>
      <c r="K145" s="580">
        <v>5585</v>
      </c>
      <c r="L145" s="580">
        <v>16401</v>
      </c>
      <c r="M145" s="580">
        <v>15075</v>
      </c>
      <c r="N145" s="580">
        <v>31476</v>
      </c>
      <c r="O145" s="580">
        <v>20</v>
      </c>
      <c r="P145" s="580">
        <v>9</v>
      </c>
      <c r="Q145" s="580">
        <v>29</v>
      </c>
      <c r="R145" s="580">
        <v>4563</v>
      </c>
      <c r="S145" s="580">
        <v>5699</v>
      </c>
      <c r="T145" s="580">
        <v>10262</v>
      </c>
      <c r="U145" s="580">
        <v>3</v>
      </c>
      <c r="V145" s="580">
        <v>3</v>
      </c>
      <c r="W145" s="580">
        <v>6</v>
      </c>
      <c r="X145" s="580">
        <v>5</v>
      </c>
      <c r="Y145" s="580">
        <v>2</v>
      </c>
      <c r="Z145" s="580">
        <v>7</v>
      </c>
      <c r="AA145" s="580">
        <v>24181</v>
      </c>
      <c r="AB145" s="580">
        <v>24430</v>
      </c>
      <c r="AC145" s="580">
        <v>48611</v>
      </c>
    </row>
    <row r="146" spans="1:29" x14ac:dyDescent="0.3">
      <c r="A146" s="929"/>
      <c r="B146" s="464" t="s">
        <v>958</v>
      </c>
      <c r="C146" s="580">
        <v>634</v>
      </c>
      <c r="D146" s="580">
        <v>565</v>
      </c>
      <c r="E146" s="580">
        <v>1199</v>
      </c>
      <c r="F146" s="580"/>
      <c r="G146" s="580"/>
      <c r="H146" s="580"/>
      <c r="I146" s="580">
        <v>2398</v>
      </c>
      <c r="J146" s="580">
        <v>3210</v>
      </c>
      <c r="K146" s="580">
        <v>5608</v>
      </c>
      <c r="L146" s="580">
        <v>16905</v>
      </c>
      <c r="M146" s="580">
        <v>16249</v>
      </c>
      <c r="N146" s="580">
        <v>33154</v>
      </c>
      <c r="O146" s="580">
        <v>39</v>
      </c>
      <c r="P146" s="580">
        <v>16</v>
      </c>
      <c r="Q146" s="580">
        <v>55</v>
      </c>
      <c r="R146" s="580">
        <v>3200</v>
      </c>
      <c r="S146" s="580">
        <v>3530</v>
      </c>
      <c r="T146" s="580">
        <v>6730</v>
      </c>
      <c r="U146" s="580"/>
      <c r="V146" s="580"/>
      <c r="W146" s="580"/>
      <c r="X146" s="580">
        <v>15</v>
      </c>
      <c r="Y146" s="580">
        <v>10</v>
      </c>
      <c r="Z146" s="580">
        <v>25</v>
      </c>
      <c r="AA146" s="580">
        <v>23191</v>
      </c>
      <c r="AB146" s="580">
        <v>23580</v>
      </c>
      <c r="AC146" s="580">
        <v>46771</v>
      </c>
    </row>
    <row r="147" spans="1:29" x14ac:dyDescent="0.3">
      <c r="A147" s="929"/>
      <c r="B147" s="464" t="s">
        <v>957</v>
      </c>
      <c r="C147" s="580">
        <v>551</v>
      </c>
      <c r="D147" s="580">
        <v>436</v>
      </c>
      <c r="E147" s="580">
        <v>987</v>
      </c>
      <c r="F147" s="580">
        <v>56</v>
      </c>
      <c r="G147" s="580">
        <v>59</v>
      </c>
      <c r="H147" s="580">
        <v>115</v>
      </c>
      <c r="I147" s="580">
        <v>1992</v>
      </c>
      <c r="J147" s="580">
        <v>2478</v>
      </c>
      <c r="K147" s="580">
        <v>4470</v>
      </c>
      <c r="L147" s="580">
        <v>15802</v>
      </c>
      <c r="M147" s="580">
        <v>14971</v>
      </c>
      <c r="N147" s="580">
        <v>30773</v>
      </c>
      <c r="O147" s="580">
        <v>61</v>
      </c>
      <c r="P147" s="580">
        <v>42</v>
      </c>
      <c r="Q147" s="580">
        <v>103</v>
      </c>
      <c r="R147" s="580">
        <v>710</v>
      </c>
      <c r="S147" s="580">
        <v>1480</v>
      </c>
      <c r="T147" s="580">
        <v>2190</v>
      </c>
      <c r="U147" s="580">
        <v>0</v>
      </c>
      <c r="V147" s="580">
        <v>20</v>
      </c>
      <c r="W147" s="580">
        <v>20</v>
      </c>
      <c r="X147" s="580">
        <v>29</v>
      </c>
      <c r="Y147" s="580">
        <v>23</v>
      </c>
      <c r="Z147" s="580">
        <v>52</v>
      </c>
      <c r="AA147" s="580">
        <v>19201</v>
      </c>
      <c r="AB147" s="580">
        <v>19509</v>
      </c>
      <c r="AC147" s="580">
        <v>38710</v>
      </c>
    </row>
    <row r="148" spans="1:29" x14ac:dyDescent="0.3">
      <c r="A148" s="929"/>
      <c r="B148" s="464" t="s">
        <v>956</v>
      </c>
      <c r="C148" s="580">
        <v>479</v>
      </c>
      <c r="D148" s="580">
        <v>388</v>
      </c>
      <c r="E148" s="580">
        <v>867</v>
      </c>
      <c r="F148" s="580">
        <v>75</v>
      </c>
      <c r="G148" s="580">
        <v>77</v>
      </c>
      <c r="H148" s="580">
        <v>152</v>
      </c>
      <c r="I148" s="580">
        <v>1982</v>
      </c>
      <c r="J148" s="580">
        <v>2239</v>
      </c>
      <c r="K148" s="580">
        <v>4221</v>
      </c>
      <c r="L148" s="580">
        <v>13503</v>
      </c>
      <c r="M148" s="580">
        <v>11793</v>
      </c>
      <c r="N148" s="580">
        <v>25296</v>
      </c>
      <c r="O148" s="580">
        <v>90</v>
      </c>
      <c r="P148" s="580">
        <v>113</v>
      </c>
      <c r="Q148" s="580">
        <v>203</v>
      </c>
      <c r="R148" s="580">
        <v>676</v>
      </c>
      <c r="S148" s="580">
        <v>1285</v>
      </c>
      <c r="T148" s="580">
        <v>1961</v>
      </c>
      <c r="U148" s="580">
        <v>304</v>
      </c>
      <c r="V148" s="580">
        <v>159</v>
      </c>
      <c r="W148" s="580">
        <v>463</v>
      </c>
      <c r="X148" s="580">
        <v>47</v>
      </c>
      <c r="Y148" s="580">
        <v>26</v>
      </c>
      <c r="Z148" s="580">
        <v>73</v>
      </c>
      <c r="AA148" s="580">
        <v>17156</v>
      </c>
      <c r="AB148" s="580">
        <v>16080</v>
      </c>
      <c r="AC148" s="580">
        <v>33236</v>
      </c>
    </row>
    <row r="149" spans="1:29" ht="14.5" x14ac:dyDescent="0.35">
      <c r="A149" s="929">
        <v>24</v>
      </c>
      <c r="B149" s="935" t="s">
        <v>34</v>
      </c>
      <c r="C149" s="936"/>
      <c r="D149" s="936"/>
      <c r="E149" s="936"/>
      <c r="F149" s="936"/>
      <c r="G149" s="936"/>
      <c r="H149" s="936"/>
      <c r="I149" s="936"/>
      <c r="J149" s="936"/>
      <c r="K149" s="936"/>
      <c r="L149" s="936"/>
      <c r="M149" s="936"/>
      <c r="N149" s="936"/>
      <c r="O149" s="936"/>
      <c r="P149" s="936"/>
      <c r="Q149" s="936"/>
      <c r="R149" s="936"/>
      <c r="S149" s="936"/>
      <c r="T149" s="936"/>
      <c r="U149" s="936"/>
      <c r="V149" s="936"/>
      <c r="W149" s="936"/>
      <c r="X149" s="936"/>
      <c r="Y149" s="936"/>
      <c r="Z149" s="936"/>
      <c r="AA149" s="936"/>
      <c r="AB149" s="936"/>
      <c r="AC149" s="936"/>
    </row>
    <row r="150" spans="1:29" x14ac:dyDescent="0.3">
      <c r="A150" s="929"/>
      <c r="B150" s="463" t="s">
        <v>960</v>
      </c>
      <c r="C150" s="579">
        <v>405</v>
      </c>
      <c r="D150" s="579">
        <v>467</v>
      </c>
      <c r="E150" s="579">
        <v>872</v>
      </c>
      <c r="F150" s="579"/>
      <c r="G150" s="579"/>
      <c r="H150" s="579"/>
      <c r="I150" s="579">
        <v>2704</v>
      </c>
      <c r="J150" s="579">
        <v>4415</v>
      </c>
      <c r="K150" s="579">
        <v>7119</v>
      </c>
      <c r="L150" s="579">
        <v>18172</v>
      </c>
      <c r="M150" s="579">
        <v>20572</v>
      </c>
      <c r="N150" s="579">
        <v>38744</v>
      </c>
      <c r="O150" s="579">
        <v>13</v>
      </c>
      <c r="P150" s="579">
        <v>30</v>
      </c>
      <c r="Q150" s="579">
        <v>43</v>
      </c>
      <c r="R150" s="579">
        <v>837</v>
      </c>
      <c r="S150" s="579">
        <v>1562</v>
      </c>
      <c r="T150" s="579">
        <v>2399</v>
      </c>
      <c r="U150" s="579">
        <v>352</v>
      </c>
      <c r="V150" s="579">
        <v>395</v>
      </c>
      <c r="W150" s="579">
        <v>747</v>
      </c>
      <c r="X150" s="579"/>
      <c r="Y150" s="579"/>
      <c r="Z150" s="579"/>
      <c r="AA150" s="579">
        <v>22483</v>
      </c>
      <c r="AB150" s="579">
        <v>27441</v>
      </c>
      <c r="AC150" s="579">
        <v>49924</v>
      </c>
    </row>
    <row r="151" spans="1:29" x14ac:dyDescent="0.3">
      <c r="A151" s="929"/>
      <c r="B151" s="464" t="s">
        <v>959</v>
      </c>
      <c r="C151" s="580">
        <v>343</v>
      </c>
      <c r="D151" s="580">
        <v>357</v>
      </c>
      <c r="E151" s="580">
        <v>700</v>
      </c>
      <c r="F151" s="580"/>
      <c r="G151" s="580"/>
      <c r="H151" s="580"/>
      <c r="I151" s="580">
        <v>2956</v>
      </c>
      <c r="J151" s="580">
        <v>4989</v>
      </c>
      <c r="K151" s="580">
        <v>7945</v>
      </c>
      <c r="L151" s="580">
        <v>17937</v>
      </c>
      <c r="M151" s="580">
        <v>20612</v>
      </c>
      <c r="N151" s="580">
        <v>38549</v>
      </c>
      <c r="O151" s="580">
        <v>16</v>
      </c>
      <c r="P151" s="580">
        <v>31</v>
      </c>
      <c r="Q151" s="580">
        <v>47</v>
      </c>
      <c r="R151" s="580">
        <v>843</v>
      </c>
      <c r="S151" s="580">
        <v>1558</v>
      </c>
      <c r="T151" s="580">
        <v>2401</v>
      </c>
      <c r="U151" s="580">
        <v>844</v>
      </c>
      <c r="V151" s="580">
        <v>820</v>
      </c>
      <c r="W151" s="580">
        <v>1664</v>
      </c>
      <c r="X151" s="580"/>
      <c r="Y151" s="580"/>
      <c r="Z151" s="580"/>
      <c r="AA151" s="580">
        <v>22939</v>
      </c>
      <c r="AB151" s="580">
        <v>28367</v>
      </c>
      <c r="AC151" s="580">
        <v>51306</v>
      </c>
    </row>
    <row r="152" spans="1:29" x14ac:dyDescent="0.3">
      <c r="A152" s="929"/>
      <c r="B152" s="464" t="s">
        <v>958</v>
      </c>
      <c r="C152" s="580">
        <v>290</v>
      </c>
      <c r="D152" s="580">
        <v>330</v>
      </c>
      <c r="E152" s="580">
        <v>620</v>
      </c>
      <c r="F152" s="580">
        <v>12</v>
      </c>
      <c r="G152" s="580">
        <v>6</v>
      </c>
      <c r="H152" s="580">
        <v>18</v>
      </c>
      <c r="I152" s="580">
        <v>3276</v>
      </c>
      <c r="J152" s="580">
        <v>5178</v>
      </c>
      <c r="K152" s="580">
        <v>8454</v>
      </c>
      <c r="L152" s="580">
        <v>18770</v>
      </c>
      <c r="M152" s="580">
        <v>20444</v>
      </c>
      <c r="N152" s="580">
        <v>39214</v>
      </c>
      <c r="O152" s="580">
        <v>40</v>
      </c>
      <c r="P152" s="580">
        <v>89</v>
      </c>
      <c r="Q152" s="580">
        <v>129</v>
      </c>
      <c r="R152" s="580">
        <v>859</v>
      </c>
      <c r="S152" s="580">
        <v>1343</v>
      </c>
      <c r="T152" s="580">
        <v>2202</v>
      </c>
      <c r="U152" s="580">
        <v>310</v>
      </c>
      <c r="V152" s="580">
        <v>276</v>
      </c>
      <c r="W152" s="580">
        <v>586</v>
      </c>
      <c r="X152" s="580"/>
      <c r="Y152" s="580"/>
      <c r="Z152" s="580"/>
      <c r="AA152" s="580">
        <v>23557</v>
      </c>
      <c r="AB152" s="580">
        <v>27666</v>
      </c>
      <c r="AC152" s="580">
        <v>51223</v>
      </c>
    </row>
    <row r="153" spans="1:29" x14ac:dyDescent="0.3">
      <c r="A153" s="929"/>
      <c r="B153" s="464" t="s">
        <v>957</v>
      </c>
      <c r="C153" s="580">
        <v>279</v>
      </c>
      <c r="D153" s="580">
        <v>314</v>
      </c>
      <c r="E153" s="580">
        <v>593</v>
      </c>
      <c r="F153" s="580">
        <v>23</v>
      </c>
      <c r="G153" s="580">
        <v>30</v>
      </c>
      <c r="H153" s="580">
        <v>53</v>
      </c>
      <c r="I153" s="580">
        <v>2843</v>
      </c>
      <c r="J153" s="580">
        <v>4252</v>
      </c>
      <c r="K153" s="580">
        <v>7095</v>
      </c>
      <c r="L153" s="580">
        <v>17600</v>
      </c>
      <c r="M153" s="580">
        <v>19228</v>
      </c>
      <c r="N153" s="580">
        <v>36828</v>
      </c>
      <c r="O153" s="580">
        <v>42</v>
      </c>
      <c r="P153" s="580">
        <v>71</v>
      </c>
      <c r="Q153" s="580">
        <v>113</v>
      </c>
      <c r="R153" s="580">
        <v>859</v>
      </c>
      <c r="S153" s="580">
        <v>1210</v>
      </c>
      <c r="T153" s="580">
        <v>2069</v>
      </c>
      <c r="U153" s="580">
        <v>98</v>
      </c>
      <c r="V153" s="580">
        <v>99</v>
      </c>
      <c r="W153" s="580">
        <v>197</v>
      </c>
      <c r="X153" s="580">
        <v>6</v>
      </c>
      <c r="Y153" s="580">
        <v>0</v>
      </c>
      <c r="Z153" s="580">
        <v>6</v>
      </c>
      <c r="AA153" s="580">
        <v>21750</v>
      </c>
      <c r="AB153" s="580">
        <v>25204</v>
      </c>
      <c r="AC153" s="580">
        <v>46954</v>
      </c>
    </row>
    <row r="154" spans="1:29" x14ac:dyDescent="0.3">
      <c r="A154" s="929"/>
      <c r="B154" s="464" t="s">
        <v>956</v>
      </c>
      <c r="C154" s="580">
        <v>270</v>
      </c>
      <c r="D154" s="580">
        <v>307</v>
      </c>
      <c r="E154" s="580">
        <v>577</v>
      </c>
      <c r="F154" s="580">
        <v>10</v>
      </c>
      <c r="G154" s="580">
        <v>28</v>
      </c>
      <c r="H154" s="580">
        <v>38</v>
      </c>
      <c r="I154" s="580">
        <v>2063</v>
      </c>
      <c r="J154" s="580">
        <v>3503</v>
      </c>
      <c r="K154" s="580">
        <v>5566</v>
      </c>
      <c r="L154" s="580">
        <v>16982</v>
      </c>
      <c r="M154" s="580">
        <v>19252</v>
      </c>
      <c r="N154" s="580">
        <v>36234</v>
      </c>
      <c r="O154" s="580">
        <v>65</v>
      </c>
      <c r="P154" s="580">
        <v>168</v>
      </c>
      <c r="Q154" s="580">
        <v>233</v>
      </c>
      <c r="R154" s="580">
        <v>842</v>
      </c>
      <c r="S154" s="580">
        <v>1027</v>
      </c>
      <c r="T154" s="580">
        <v>1869</v>
      </c>
      <c r="U154" s="580">
        <v>17</v>
      </c>
      <c r="V154" s="580">
        <v>21</v>
      </c>
      <c r="W154" s="580">
        <v>38</v>
      </c>
      <c r="X154" s="580">
        <v>6</v>
      </c>
      <c r="Y154" s="580">
        <v>0</v>
      </c>
      <c r="Z154" s="580">
        <v>6</v>
      </c>
      <c r="AA154" s="580">
        <v>20255</v>
      </c>
      <c r="AB154" s="580">
        <v>24306</v>
      </c>
      <c r="AC154" s="580">
        <v>44561</v>
      </c>
    </row>
    <row r="155" spans="1:29" ht="14.5" x14ac:dyDescent="0.35">
      <c r="A155" s="929">
        <v>25</v>
      </c>
      <c r="B155" s="935" t="s">
        <v>35</v>
      </c>
      <c r="C155" s="936"/>
      <c r="D155" s="936"/>
      <c r="E155" s="936"/>
      <c r="F155" s="936"/>
      <c r="G155" s="936"/>
      <c r="H155" s="936"/>
      <c r="I155" s="936"/>
      <c r="J155" s="936"/>
      <c r="K155" s="936"/>
      <c r="L155" s="936"/>
      <c r="M155" s="936"/>
      <c r="N155" s="936"/>
      <c r="O155" s="936"/>
      <c r="P155" s="936"/>
      <c r="Q155" s="936"/>
      <c r="R155" s="936"/>
      <c r="S155" s="936"/>
      <c r="T155" s="936"/>
      <c r="U155" s="936"/>
      <c r="V155" s="936"/>
      <c r="W155" s="936"/>
      <c r="X155" s="936"/>
      <c r="Y155" s="936"/>
      <c r="Z155" s="936"/>
      <c r="AA155" s="936"/>
      <c r="AB155" s="936"/>
      <c r="AC155" s="936"/>
    </row>
    <row r="156" spans="1:29" x14ac:dyDescent="0.3">
      <c r="A156" s="929"/>
      <c r="B156" s="463" t="s">
        <v>960</v>
      </c>
      <c r="C156" s="579">
        <v>4569</v>
      </c>
      <c r="D156" s="579">
        <v>3621</v>
      </c>
      <c r="E156" s="579">
        <v>8190</v>
      </c>
      <c r="F156" s="579">
        <v>17</v>
      </c>
      <c r="G156" s="579">
        <v>21</v>
      </c>
      <c r="H156" s="579">
        <v>38</v>
      </c>
      <c r="I156" s="579">
        <v>60588</v>
      </c>
      <c r="J156" s="579">
        <v>68580</v>
      </c>
      <c r="K156" s="579">
        <v>129168</v>
      </c>
      <c r="L156" s="579">
        <v>419619</v>
      </c>
      <c r="M156" s="579">
        <v>432275</v>
      </c>
      <c r="N156" s="579">
        <v>851894</v>
      </c>
      <c r="O156" s="579">
        <v>1690</v>
      </c>
      <c r="P156" s="579">
        <v>1204</v>
      </c>
      <c r="Q156" s="579">
        <v>2894</v>
      </c>
      <c r="R156" s="579">
        <v>121143</v>
      </c>
      <c r="S156" s="579">
        <v>56328</v>
      </c>
      <c r="T156" s="579">
        <v>177471</v>
      </c>
      <c r="U156" s="579">
        <v>886</v>
      </c>
      <c r="V156" s="579">
        <v>1402</v>
      </c>
      <c r="W156" s="579">
        <v>2288</v>
      </c>
      <c r="X156" s="579">
        <v>7024</v>
      </c>
      <c r="Y156" s="579">
        <v>6964</v>
      </c>
      <c r="Z156" s="579">
        <v>13988</v>
      </c>
      <c r="AA156" s="579">
        <v>615536</v>
      </c>
      <c r="AB156" s="579">
        <v>570395</v>
      </c>
      <c r="AC156" s="579">
        <v>1185931</v>
      </c>
    </row>
    <row r="157" spans="1:29" x14ac:dyDescent="0.3">
      <c r="A157" s="929"/>
      <c r="B157" s="464" t="s">
        <v>959</v>
      </c>
      <c r="C157" s="580">
        <v>2450</v>
      </c>
      <c r="D157" s="580">
        <v>1640</v>
      </c>
      <c r="E157" s="580">
        <v>4090</v>
      </c>
      <c r="F157" s="580"/>
      <c r="G157" s="580"/>
      <c r="H157" s="580"/>
      <c r="I157" s="580">
        <v>55500</v>
      </c>
      <c r="J157" s="580">
        <v>58487</v>
      </c>
      <c r="K157" s="580">
        <v>113987</v>
      </c>
      <c r="L157" s="580">
        <v>403935</v>
      </c>
      <c r="M157" s="580">
        <v>399412</v>
      </c>
      <c r="N157" s="580">
        <v>803347</v>
      </c>
      <c r="O157" s="580">
        <v>2140</v>
      </c>
      <c r="P157" s="580">
        <v>1292</v>
      </c>
      <c r="Q157" s="580">
        <v>3432</v>
      </c>
      <c r="R157" s="580">
        <v>111800</v>
      </c>
      <c r="S157" s="580">
        <v>50010</v>
      </c>
      <c r="T157" s="580">
        <v>161810</v>
      </c>
      <c r="U157" s="580">
        <v>604</v>
      </c>
      <c r="V157" s="580">
        <v>1035</v>
      </c>
      <c r="W157" s="580">
        <v>1639</v>
      </c>
      <c r="X157" s="580">
        <v>6667</v>
      </c>
      <c r="Y157" s="580">
        <v>6636</v>
      </c>
      <c r="Z157" s="580">
        <v>13303</v>
      </c>
      <c r="AA157" s="580">
        <v>583096</v>
      </c>
      <c r="AB157" s="580">
        <v>518512</v>
      </c>
      <c r="AC157" s="580">
        <v>1101608</v>
      </c>
    </row>
    <row r="158" spans="1:29" x14ac:dyDescent="0.3">
      <c r="A158" s="929"/>
      <c r="B158" s="464" t="s">
        <v>958</v>
      </c>
      <c r="C158" s="580">
        <v>2668</v>
      </c>
      <c r="D158" s="580">
        <v>1550</v>
      </c>
      <c r="E158" s="580">
        <v>4218</v>
      </c>
      <c r="F158" s="580">
        <v>269</v>
      </c>
      <c r="G158" s="580">
        <v>303</v>
      </c>
      <c r="H158" s="580">
        <v>572</v>
      </c>
      <c r="I158" s="580">
        <v>63227</v>
      </c>
      <c r="J158" s="580">
        <v>56471</v>
      </c>
      <c r="K158" s="580">
        <v>119698</v>
      </c>
      <c r="L158" s="580">
        <v>402899</v>
      </c>
      <c r="M158" s="580">
        <v>379256</v>
      </c>
      <c r="N158" s="580">
        <v>782155</v>
      </c>
      <c r="O158" s="580">
        <v>1920</v>
      </c>
      <c r="P158" s="580">
        <v>1165</v>
      </c>
      <c r="Q158" s="580">
        <v>3085</v>
      </c>
      <c r="R158" s="580">
        <v>103764</v>
      </c>
      <c r="S158" s="580">
        <v>47170</v>
      </c>
      <c r="T158" s="580">
        <v>150934</v>
      </c>
      <c r="U158" s="580">
        <v>651</v>
      </c>
      <c r="V158" s="580">
        <v>899</v>
      </c>
      <c r="W158" s="580">
        <v>1550</v>
      </c>
      <c r="X158" s="580">
        <v>5769</v>
      </c>
      <c r="Y158" s="580">
        <v>5898</v>
      </c>
      <c r="Z158" s="580">
        <v>11667</v>
      </c>
      <c r="AA158" s="580">
        <v>581167</v>
      </c>
      <c r="AB158" s="580">
        <v>492712</v>
      </c>
      <c r="AC158" s="580">
        <v>1073879</v>
      </c>
    </row>
    <row r="159" spans="1:29" x14ac:dyDescent="0.3">
      <c r="A159" s="929"/>
      <c r="B159" s="464" t="s">
        <v>957</v>
      </c>
      <c r="C159" s="580">
        <v>1955</v>
      </c>
      <c r="D159" s="580">
        <v>1326</v>
      </c>
      <c r="E159" s="580">
        <v>3281</v>
      </c>
      <c r="F159" s="580">
        <v>352</v>
      </c>
      <c r="G159" s="580">
        <v>378</v>
      </c>
      <c r="H159" s="580">
        <v>730</v>
      </c>
      <c r="I159" s="580">
        <v>48874</v>
      </c>
      <c r="J159" s="580">
        <v>50344</v>
      </c>
      <c r="K159" s="580">
        <v>99218</v>
      </c>
      <c r="L159" s="580">
        <v>370312</v>
      </c>
      <c r="M159" s="580">
        <v>368176</v>
      </c>
      <c r="N159" s="580">
        <v>738488</v>
      </c>
      <c r="O159" s="580">
        <v>2408</v>
      </c>
      <c r="P159" s="580">
        <v>1394</v>
      </c>
      <c r="Q159" s="580">
        <v>3802</v>
      </c>
      <c r="R159" s="580">
        <v>94732</v>
      </c>
      <c r="S159" s="580">
        <v>50884</v>
      </c>
      <c r="T159" s="580">
        <v>145616</v>
      </c>
      <c r="U159" s="580">
        <v>1321</v>
      </c>
      <c r="V159" s="580">
        <v>2268</v>
      </c>
      <c r="W159" s="580">
        <v>3589</v>
      </c>
      <c r="X159" s="580">
        <v>5929</v>
      </c>
      <c r="Y159" s="580">
        <v>6369</v>
      </c>
      <c r="Z159" s="580">
        <v>12298</v>
      </c>
      <c r="AA159" s="580">
        <v>525883</v>
      </c>
      <c r="AB159" s="580">
        <v>481139</v>
      </c>
      <c r="AC159" s="580">
        <v>1007022</v>
      </c>
    </row>
    <row r="160" spans="1:29" x14ac:dyDescent="0.3">
      <c r="A160" s="929"/>
      <c r="B160" s="464" t="s">
        <v>956</v>
      </c>
      <c r="C160" s="580">
        <v>1923</v>
      </c>
      <c r="D160" s="580">
        <v>1423</v>
      </c>
      <c r="E160" s="580">
        <v>3346</v>
      </c>
      <c r="F160" s="580">
        <v>419</v>
      </c>
      <c r="G160" s="580">
        <v>584</v>
      </c>
      <c r="H160" s="580">
        <v>1003</v>
      </c>
      <c r="I160" s="580">
        <v>47838</v>
      </c>
      <c r="J160" s="580">
        <v>50717</v>
      </c>
      <c r="K160" s="580">
        <v>98555</v>
      </c>
      <c r="L160" s="580">
        <v>379994</v>
      </c>
      <c r="M160" s="580">
        <v>367114</v>
      </c>
      <c r="N160" s="580">
        <v>747108</v>
      </c>
      <c r="O160" s="580">
        <v>1786</v>
      </c>
      <c r="P160" s="580">
        <v>947</v>
      </c>
      <c r="Q160" s="580">
        <v>2733</v>
      </c>
      <c r="R160" s="580">
        <v>89412</v>
      </c>
      <c r="S160" s="580">
        <v>34712</v>
      </c>
      <c r="T160" s="580">
        <v>124124</v>
      </c>
      <c r="U160" s="580">
        <v>3402</v>
      </c>
      <c r="V160" s="580">
        <v>5748</v>
      </c>
      <c r="W160" s="580">
        <v>9150</v>
      </c>
      <c r="X160" s="580">
        <v>4452</v>
      </c>
      <c r="Y160" s="580">
        <v>4458</v>
      </c>
      <c r="Z160" s="580">
        <v>8910</v>
      </c>
      <c r="AA160" s="580">
        <v>529226</v>
      </c>
      <c r="AB160" s="580">
        <v>465703</v>
      </c>
      <c r="AC160" s="580">
        <v>994929</v>
      </c>
    </row>
    <row r="161" spans="1:29" ht="14.5" x14ac:dyDescent="0.35">
      <c r="A161" s="929">
        <v>26</v>
      </c>
      <c r="B161" s="935" t="s">
        <v>36</v>
      </c>
      <c r="C161" s="936"/>
      <c r="D161" s="936"/>
      <c r="E161" s="936"/>
      <c r="F161" s="936"/>
      <c r="G161" s="936"/>
      <c r="H161" s="936"/>
      <c r="I161" s="936"/>
      <c r="J161" s="936"/>
      <c r="K161" s="936"/>
      <c r="L161" s="936"/>
      <c r="M161" s="936"/>
      <c r="N161" s="936"/>
      <c r="O161" s="936"/>
      <c r="P161" s="936"/>
      <c r="Q161" s="936"/>
      <c r="R161" s="936"/>
      <c r="S161" s="936"/>
      <c r="T161" s="936"/>
      <c r="U161" s="936"/>
      <c r="V161" s="936"/>
      <c r="W161" s="936"/>
      <c r="X161" s="936"/>
      <c r="Y161" s="936"/>
      <c r="Z161" s="936"/>
      <c r="AA161" s="936"/>
      <c r="AB161" s="936"/>
      <c r="AC161" s="936"/>
    </row>
    <row r="162" spans="1:29" x14ac:dyDescent="0.3">
      <c r="A162" s="929"/>
      <c r="B162" s="463" t="s">
        <v>960</v>
      </c>
      <c r="C162" s="579">
        <v>1132</v>
      </c>
      <c r="D162" s="579">
        <v>1055</v>
      </c>
      <c r="E162" s="579">
        <v>2187</v>
      </c>
      <c r="F162" s="579">
        <v>1</v>
      </c>
      <c r="G162" s="579">
        <v>7</v>
      </c>
      <c r="H162" s="579">
        <v>8</v>
      </c>
      <c r="I162" s="579">
        <v>17602.330645161288</v>
      </c>
      <c r="J162" s="579">
        <v>18485.891129032258</v>
      </c>
      <c r="K162" s="579">
        <v>36088.221774193546</v>
      </c>
      <c r="L162" s="579">
        <v>34054.862903225796</v>
      </c>
      <c r="M162" s="579">
        <v>38569.870967741932</v>
      </c>
      <c r="N162" s="579">
        <v>72624.733870967728</v>
      </c>
      <c r="O162" s="579">
        <v>37</v>
      </c>
      <c r="P162" s="579">
        <v>21</v>
      </c>
      <c r="Q162" s="579">
        <v>58</v>
      </c>
      <c r="R162" s="579">
        <v>2405</v>
      </c>
      <c r="S162" s="579">
        <v>1166</v>
      </c>
      <c r="T162" s="579">
        <v>3571</v>
      </c>
      <c r="U162" s="579"/>
      <c r="V162" s="579"/>
      <c r="W162" s="579"/>
      <c r="X162" s="579">
        <v>548</v>
      </c>
      <c r="Y162" s="579">
        <v>949</v>
      </c>
      <c r="Z162" s="579">
        <v>1497</v>
      </c>
      <c r="AA162" s="579">
        <v>55780.193548387084</v>
      </c>
      <c r="AB162" s="579">
        <v>60253.76209677419</v>
      </c>
      <c r="AC162" s="579">
        <v>116033.95564516127</v>
      </c>
    </row>
    <row r="163" spans="1:29" x14ac:dyDescent="0.3">
      <c r="A163" s="929"/>
      <c r="B163" s="464" t="s">
        <v>959</v>
      </c>
      <c r="C163" s="580">
        <v>375</v>
      </c>
      <c r="D163" s="580">
        <v>325</v>
      </c>
      <c r="E163" s="580">
        <v>700</v>
      </c>
      <c r="F163" s="580"/>
      <c r="G163" s="580"/>
      <c r="H163" s="580"/>
      <c r="I163" s="580">
        <v>14309.076315789471</v>
      </c>
      <c r="J163" s="580">
        <v>15069.7649122807</v>
      </c>
      <c r="K163" s="580">
        <v>29378.84122807017</v>
      </c>
      <c r="L163" s="580">
        <v>30198.49298245614</v>
      </c>
      <c r="M163" s="580">
        <v>35163.247368421064</v>
      </c>
      <c r="N163" s="580">
        <v>65361.740350877197</v>
      </c>
      <c r="O163" s="580">
        <v>38</v>
      </c>
      <c r="P163" s="580">
        <v>25</v>
      </c>
      <c r="Q163" s="580">
        <v>63</v>
      </c>
      <c r="R163" s="580">
        <v>2556</v>
      </c>
      <c r="S163" s="580">
        <v>1036</v>
      </c>
      <c r="T163" s="580">
        <v>3592</v>
      </c>
      <c r="U163" s="580">
        <v>16</v>
      </c>
      <c r="V163" s="580">
        <v>4</v>
      </c>
      <c r="W163" s="580">
        <v>20</v>
      </c>
      <c r="X163" s="580">
        <v>566</v>
      </c>
      <c r="Y163" s="580">
        <v>942</v>
      </c>
      <c r="Z163" s="580">
        <v>1508</v>
      </c>
      <c r="AA163" s="580">
        <v>48058.569298245609</v>
      </c>
      <c r="AB163" s="580">
        <v>52565.012280701747</v>
      </c>
      <c r="AC163" s="580">
        <v>100623.5815789474</v>
      </c>
    </row>
    <row r="164" spans="1:29" x14ac:dyDescent="0.3">
      <c r="A164" s="929"/>
      <c r="B164" s="464" t="s">
        <v>958</v>
      </c>
      <c r="C164" s="580">
        <v>325</v>
      </c>
      <c r="D164" s="580">
        <v>278</v>
      </c>
      <c r="E164" s="580">
        <v>603</v>
      </c>
      <c r="F164" s="580"/>
      <c r="G164" s="580"/>
      <c r="H164" s="580"/>
      <c r="I164" s="580">
        <v>13198</v>
      </c>
      <c r="J164" s="580">
        <v>13394</v>
      </c>
      <c r="K164" s="580">
        <v>26592</v>
      </c>
      <c r="L164" s="580">
        <v>28264</v>
      </c>
      <c r="M164" s="580">
        <v>33817</v>
      </c>
      <c r="N164" s="580">
        <v>62081</v>
      </c>
      <c r="O164" s="580">
        <v>29</v>
      </c>
      <c r="P164" s="580">
        <v>25</v>
      </c>
      <c r="Q164" s="580">
        <v>54</v>
      </c>
      <c r="R164" s="580">
        <v>2438</v>
      </c>
      <c r="S164" s="580">
        <v>1357</v>
      </c>
      <c r="T164" s="580">
        <v>3795</v>
      </c>
      <c r="U164" s="580">
        <v>11</v>
      </c>
      <c r="V164" s="580">
        <v>8</v>
      </c>
      <c r="W164" s="580">
        <v>19</v>
      </c>
      <c r="X164" s="580">
        <v>556</v>
      </c>
      <c r="Y164" s="580">
        <v>943</v>
      </c>
      <c r="Z164" s="580">
        <v>1499</v>
      </c>
      <c r="AA164" s="580">
        <v>44821</v>
      </c>
      <c r="AB164" s="580">
        <v>49822</v>
      </c>
      <c r="AC164" s="580">
        <v>94643</v>
      </c>
    </row>
    <row r="165" spans="1:29" x14ac:dyDescent="0.3">
      <c r="A165" s="929"/>
      <c r="B165" s="464" t="s">
        <v>957</v>
      </c>
      <c r="C165" s="580">
        <v>271</v>
      </c>
      <c r="D165" s="580">
        <v>325</v>
      </c>
      <c r="E165" s="580">
        <v>596</v>
      </c>
      <c r="F165" s="580">
        <v>0</v>
      </c>
      <c r="G165" s="580">
        <v>2</v>
      </c>
      <c r="H165" s="580">
        <v>2</v>
      </c>
      <c r="I165" s="580">
        <v>12865</v>
      </c>
      <c r="J165" s="580">
        <v>13359</v>
      </c>
      <c r="K165" s="580">
        <v>26224</v>
      </c>
      <c r="L165" s="580">
        <v>26875</v>
      </c>
      <c r="M165" s="580">
        <v>32921</v>
      </c>
      <c r="N165" s="580">
        <v>59796</v>
      </c>
      <c r="O165" s="580">
        <v>15</v>
      </c>
      <c r="P165" s="580">
        <v>16</v>
      </c>
      <c r="Q165" s="580">
        <v>31</v>
      </c>
      <c r="R165" s="580">
        <v>2806</v>
      </c>
      <c r="S165" s="580">
        <v>1056</v>
      </c>
      <c r="T165" s="580">
        <v>3862</v>
      </c>
      <c r="U165" s="580">
        <v>1</v>
      </c>
      <c r="V165" s="580">
        <v>6</v>
      </c>
      <c r="W165" s="580">
        <v>7</v>
      </c>
      <c r="X165" s="580">
        <v>354</v>
      </c>
      <c r="Y165" s="580">
        <v>381</v>
      </c>
      <c r="Z165" s="580">
        <v>735</v>
      </c>
      <c r="AA165" s="580">
        <v>43187</v>
      </c>
      <c r="AB165" s="580">
        <v>48066</v>
      </c>
      <c r="AC165" s="580">
        <v>91253</v>
      </c>
    </row>
    <row r="166" spans="1:29" x14ac:dyDescent="0.3">
      <c r="A166" s="929"/>
      <c r="B166" s="464" t="s">
        <v>956</v>
      </c>
      <c r="C166" s="580">
        <v>291</v>
      </c>
      <c r="D166" s="580">
        <v>217</v>
      </c>
      <c r="E166" s="580">
        <v>508</v>
      </c>
      <c r="F166" s="580">
        <v>21</v>
      </c>
      <c r="G166" s="580">
        <v>46</v>
      </c>
      <c r="H166" s="580">
        <v>67</v>
      </c>
      <c r="I166" s="580">
        <v>11531</v>
      </c>
      <c r="J166" s="580">
        <v>11728</v>
      </c>
      <c r="K166" s="580">
        <v>23259</v>
      </c>
      <c r="L166" s="580">
        <v>22863</v>
      </c>
      <c r="M166" s="580">
        <v>28309</v>
      </c>
      <c r="N166" s="580">
        <v>51172</v>
      </c>
      <c r="O166" s="580">
        <v>52</v>
      </c>
      <c r="P166" s="580">
        <v>54</v>
      </c>
      <c r="Q166" s="580">
        <v>106</v>
      </c>
      <c r="R166" s="580">
        <v>2866</v>
      </c>
      <c r="S166" s="580">
        <v>1122</v>
      </c>
      <c r="T166" s="580">
        <v>3988</v>
      </c>
      <c r="U166" s="580">
        <v>0</v>
      </c>
      <c r="V166" s="580">
        <v>0</v>
      </c>
      <c r="W166" s="580">
        <v>0</v>
      </c>
      <c r="X166" s="580">
        <v>532</v>
      </c>
      <c r="Y166" s="580">
        <v>492</v>
      </c>
      <c r="Z166" s="580">
        <v>1024</v>
      </c>
      <c r="AA166" s="580">
        <v>38156</v>
      </c>
      <c r="AB166" s="580">
        <v>41968</v>
      </c>
      <c r="AC166" s="580">
        <v>80124</v>
      </c>
    </row>
    <row r="167" spans="1:29" ht="14.5" x14ac:dyDescent="0.35">
      <c r="A167" s="929">
        <v>27</v>
      </c>
      <c r="B167" s="935" t="s">
        <v>37</v>
      </c>
      <c r="C167" s="936"/>
      <c r="D167" s="936"/>
      <c r="E167" s="936"/>
      <c r="F167" s="936"/>
      <c r="G167" s="936"/>
      <c r="H167" s="936"/>
      <c r="I167" s="936"/>
      <c r="J167" s="936"/>
      <c r="K167" s="936"/>
      <c r="L167" s="936"/>
      <c r="M167" s="936"/>
      <c r="N167" s="936"/>
      <c r="O167" s="936"/>
      <c r="P167" s="936"/>
      <c r="Q167" s="936"/>
      <c r="R167" s="936"/>
      <c r="S167" s="936"/>
      <c r="T167" s="936"/>
      <c r="U167" s="936"/>
      <c r="V167" s="936"/>
      <c r="W167" s="936"/>
      <c r="X167" s="936"/>
      <c r="Y167" s="936"/>
      <c r="Z167" s="936"/>
      <c r="AA167" s="936"/>
      <c r="AB167" s="936"/>
      <c r="AC167" s="936"/>
    </row>
    <row r="168" spans="1:29" x14ac:dyDescent="0.3">
      <c r="A168" s="929"/>
      <c r="B168" s="463" t="s">
        <v>960</v>
      </c>
      <c r="C168" s="579">
        <v>5444</v>
      </c>
      <c r="D168" s="579">
        <v>7246</v>
      </c>
      <c r="E168" s="579">
        <v>12690</v>
      </c>
      <c r="F168" s="579"/>
      <c r="G168" s="579">
        <v>18</v>
      </c>
      <c r="H168" s="579">
        <v>18</v>
      </c>
      <c r="I168" s="579">
        <v>56609</v>
      </c>
      <c r="J168" s="579">
        <v>65812</v>
      </c>
      <c r="K168" s="579">
        <v>122421</v>
      </c>
      <c r="L168" s="579">
        <v>341490</v>
      </c>
      <c r="M168" s="579">
        <v>318360</v>
      </c>
      <c r="N168" s="579">
        <v>659850</v>
      </c>
      <c r="O168" s="579">
        <v>2717</v>
      </c>
      <c r="P168" s="579">
        <v>3024</v>
      </c>
      <c r="Q168" s="579">
        <v>5741</v>
      </c>
      <c r="R168" s="579">
        <v>42865</v>
      </c>
      <c r="S168" s="579">
        <v>56113</v>
      </c>
      <c r="T168" s="579">
        <v>98978</v>
      </c>
      <c r="U168" s="579">
        <v>2488</v>
      </c>
      <c r="V168" s="579">
        <v>3589</v>
      </c>
      <c r="W168" s="579">
        <v>6077</v>
      </c>
      <c r="X168" s="579">
        <v>11761</v>
      </c>
      <c r="Y168" s="579">
        <v>16128</v>
      </c>
      <c r="Z168" s="579">
        <v>27889</v>
      </c>
      <c r="AA168" s="579">
        <v>463374</v>
      </c>
      <c r="AB168" s="579">
        <v>470290</v>
      </c>
      <c r="AC168" s="579">
        <v>933664</v>
      </c>
    </row>
    <row r="169" spans="1:29" x14ac:dyDescent="0.3">
      <c r="A169" s="929"/>
      <c r="B169" s="464" t="s">
        <v>959</v>
      </c>
      <c r="C169" s="580">
        <v>3790</v>
      </c>
      <c r="D169" s="580">
        <v>4882</v>
      </c>
      <c r="E169" s="580">
        <v>8672</v>
      </c>
      <c r="F169" s="580">
        <v>3</v>
      </c>
      <c r="G169" s="580">
        <v>14</v>
      </c>
      <c r="H169" s="580">
        <v>17</v>
      </c>
      <c r="I169" s="580">
        <v>56380.608695652183</v>
      </c>
      <c r="J169" s="580">
        <v>67277.25</v>
      </c>
      <c r="K169" s="580">
        <v>123657.8586956522</v>
      </c>
      <c r="L169" s="580">
        <v>338689.15217391303</v>
      </c>
      <c r="M169" s="580">
        <v>302757.77898550732</v>
      </c>
      <c r="N169" s="580">
        <v>641446.93115942029</v>
      </c>
      <c r="O169" s="580">
        <v>3323</v>
      </c>
      <c r="P169" s="580">
        <v>3598</v>
      </c>
      <c r="Q169" s="580">
        <v>6921</v>
      </c>
      <c r="R169" s="580">
        <v>53637</v>
      </c>
      <c r="S169" s="580">
        <v>56448</v>
      </c>
      <c r="T169" s="580">
        <v>110085</v>
      </c>
      <c r="U169" s="580">
        <v>888</v>
      </c>
      <c r="V169" s="580">
        <v>894</v>
      </c>
      <c r="W169" s="580">
        <v>1782</v>
      </c>
      <c r="X169" s="580">
        <v>10132</v>
      </c>
      <c r="Y169" s="580">
        <v>13232</v>
      </c>
      <c r="Z169" s="580">
        <v>23364</v>
      </c>
      <c r="AA169" s="580">
        <v>466842.76086956519</v>
      </c>
      <c r="AB169" s="580">
        <v>449103.02898550732</v>
      </c>
      <c r="AC169" s="580">
        <v>915945.78985507251</v>
      </c>
    </row>
    <row r="170" spans="1:29" x14ac:dyDescent="0.3">
      <c r="A170" s="929"/>
      <c r="B170" s="464" t="s">
        <v>958</v>
      </c>
      <c r="C170" s="580">
        <v>4946</v>
      </c>
      <c r="D170" s="580">
        <v>5379</v>
      </c>
      <c r="E170" s="580">
        <v>10325</v>
      </c>
      <c r="F170" s="580">
        <v>28</v>
      </c>
      <c r="G170" s="580">
        <v>41</v>
      </c>
      <c r="H170" s="580">
        <v>69</v>
      </c>
      <c r="I170" s="580">
        <v>46929</v>
      </c>
      <c r="J170" s="580">
        <v>63149</v>
      </c>
      <c r="K170" s="580">
        <v>110078</v>
      </c>
      <c r="L170" s="580">
        <v>321099</v>
      </c>
      <c r="M170" s="580">
        <v>292462</v>
      </c>
      <c r="N170" s="580">
        <v>613561</v>
      </c>
      <c r="O170" s="580">
        <v>2631</v>
      </c>
      <c r="P170" s="580">
        <v>3183</v>
      </c>
      <c r="Q170" s="580">
        <v>5814</v>
      </c>
      <c r="R170" s="580">
        <v>48756</v>
      </c>
      <c r="S170" s="580">
        <v>47416</v>
      </c>
      <c r="T170" s="580">
        <v>96172</v>
      </c>
      <c r="U170" s="580">
        <v>748</v>
      </c>
      <c r="V170" s="580">
        <v>952</v>
      </c>
      <c r="W170" s="580">
        <v>1700</v>
      </c>
      <c r="X170" s="580">
        <v>9479</v>
      </c>
      <c r="Y170" s="580">
        <v>11546</v>
      </c>
      <c r="Z170" s="580">
        <v>21025</v>
      </c>
      <c r="AA170" s="580">
        <v>434616</v>
      </c>
      <c r="AB170" s="580">
        <v>424128</v>
      </c>
      <c r="AC170" s="580">
        <v>858744</v>
      </c>
    </row>
    <row r="171" spans="1:29" x14ac:dyDescent="0.3">
      <c r="A171" s="929"/>
      <c r="B171" s="464" t="s">
        <v>957</v>
      </c>
      <c r="C171" s="580">
        <v>4628</v>
      </c>
      <c r="D171" s="580">
        <v>4938</v>
      </c>
      <c r="E171" s="580">
        <v>9566</v>
      </c>
      <c r="F171" s="580">
        <v>142</v>
      </c>
      <c r="G171" s="580">
        <v>169</v>
      </c>
      <c r="H171" s="580">
        <v>311</v>
      </c>
      <c r="I171" s="580">
        <v>43610</v>
      </c>
      <c r="J171" s="580">
        <v>60696</v>
      </c>
      <c r="K171" s="580">
        <v>104306</v>
      </c>
      <c r="L171" s="580">
        <v>302634</v>
      </c>
      <c r="M171" s="580">
        <v>284359</v>
      </c>
      <c r="N171" s="580">
        <v>586993</v>
      </c>
      <c r="O171" s="580">
        <v>1905</v>
      </c>
      <c r="P171" s="580">
        <v>2394</v>
      </c>
      <c r="Q171" s="580">
        <v>4299</v>
      </c>
      <c r="R171" s="580">
        <v>56209</v>
      </c>
      <c r="S171" s="580">
        <v>52491</v>
      </c>
      <c r="T171" s="580">
        <v>108700</v>
      </c>
      <c r="U171" s="580">
        <v>617</v>
      </c>
      <c r="V171" s="580">
        <v>696</v>
      </c>
      <c r="W171" s="580">
        <v>1313</v>
      </c>
      <c r="X171" s="580">
        <v>8499</v>
      </c>
      <c r="Y171" s="580">
        <v>9348</v>
      </c>
      <c r="Z171" s="580">
        <v>17847</v>
      </c>
      <c r="AA171" s="580">
        <v>418244</v>
      </c>
      <c r="AB171" s="580">
        <v>415091</v>
      </c>
      <c r="AC171" s="580">
        <v>833335</v>
      </c>
    </row>
    <row r="172" spans="1:29" x14ac:dyDescent="0.3">
      <c r="A172" s="929"/>
      <c r="B172" s="464" t="s">
        <v>956</v>
      </c>
      <c r="C172" s="580">
        <v>4111</v>
      </c>
      <c r="D172" s="580">
        <v>4888</v>
      </c>
      <c r="E172" s="580">
        <v>8999</v>
      </c>
      <c r="F172" s="580">
        <v>307</v>
      </c>
      <c r="G172" s="580">
        <v>315</v>
      </c>
      <c r="H172" s="580">
        <v>622</v>
      </c>
      <c r="I172" s="580">
        <v>39950</v>
      </c>
      <c r="J172" s="580">
        <v>68143</v>
      </c>
      <c r="K172" s="580">
        <v>108093</v>
      </c>
      <c r="L172" s="580">
        <v>308617</v>
      </c>
      <c r="M172" s="580">
        <v>312191</v>
      </c>
      <c r="N172" s="580">
        <v>620808</v>
      </c>
      <c r="O172" s="580">
        <v>2866</v>
      </c>
      <c r="P172" s="580">
        <v>3692</v>
      </c>
      <c r="Q172" s="580">
        <v>6558</v>
      </c>
      <c r="R172" s="580">
        <v>62421</v>
      </c>
      <c r="S172" s="580">
        <v>46930</v>
      </c>
      <c r="T172" s="580">
        <v>109351</v>
      </c>
      <c r="U172" s="580">
        <v>600</v>
      </c>
      <c r="V172" s="580">
        <v>948</v>
      </c>
      <c r="W172" s="580">
        <v>1548</v>
      </c>
      <c r="X172" s="580">
        <v>6459</v>
      </c>
      <c r="Y172" s="580">
        <v>7025</v>
      </c>
      <c r="Z172" s="580">
        <v>13484</v>
      </c>
      <c r="AA172" s="580">
        <v>425331</v>
      </c>
      <c r="AB172" s="580">
        <v>444132</v>
      </c>
      <c r="AC172" s="580">
        <v>869463</v>
      </c>
    </row>
    <row r="173" spans="1:29" ht="14.5" x14ac:dyDescent="0.35">
      <c r="A173" s="929">
        <v>28</v>
      </c>
      <c r="B173" s="935" t="s">
        <v>38</v>
      </c>
      <c r="C173" s="936"/>
      <c r="D173" s="936"/>
      <c r="E173" s="936"/>
      <c r="F173" s="936"/>
      <c r="G173" s="936"/>
      <c r="H173" s="936"/>
      <c r="I173" s="936"/>
      <c r="J173" s="936"/>
      <c r="K173" s="936"/>
      <c r="L173" s="936"/>
      <c r="M173" s="936"/>
      <c r="N173" s="936"/>
      <c r="O173" s="936"/>
      <c r="P173" s="936"/>
      <c r="Q173" s="936"/>
      <c r="R173" s="936"/>
      <c r="S173" s="936"/>
      <c r="T173" s="936"/>
      <c r="U173" s="936"/>
      <c r="V173" s="936"/>
      <c r="W173" s="936"/>
      <c r="X173" s="936"/>
      <c r="Y173" s="936"/>
      <c r="Z173" s="936"/>
      <c r="AA173" s="936"/>
      <c r="AB173" s="936"/>
      <c r="AC173" s="936"/>
    </row>
    <row r="174" spans="1:29" x14ac:dyDescent="0.3">
      <c r="A174" s="929"/>
      <c r="B174" s="463" t="s">
        <v>960</v>
      </c>
      <c r="C174" s="579">
        <v>8882</v>
      </c>
      <c r="D174" s="579">
        <v>10256</v>
      </c>
      <c r="E174" s="579">
        <v>19138</v>
      </c>
      <c r="F174" s="579">
        <v>29</v>
      </c>
      <c r="G174" s="579">
        <v>84</v>
      </c>
      <c r="H174" s="579">
        <v>113</v>
      </c>
      <c r="I174" s="579">
        <v>160599.63966569881</v>
      </c>
      <c r="J174" s="579">
        <v>189481.68608308461</v>
      </c>
      <c r="K174" s="579">
        <v>350081.32574878342</v>
      </c>
      <c r="L174" s="579">
        <v>1032947.8941434092</v>
      </c>
      <c r="M174" s="579">
        <v>999523.12212448462</v>
      </c>
      <c r="N174" s="579">
        <v>2032471.0162678938</v>
      </c>
      <c r="O174" s="579">
        <v>7460</v>
      </c>
      <c r="P174" s="579">
        <v>4941</v>
      </c>
      <c r="Q174" s="579">
        <v>12401</v>
      </c>
      <c r="R174" s="579">
        <v>113813</v>
      </c>
      <c r="S174" s="579">
        <v>60162</v>
      </c>
      <c r="T174" s="579">
        <v>173975</v>
      </c>
      <c r="U174" s="579">
        <v>1681</v>
      </c>
      <c r="V174" s="579">
        <v>2082</v>
      </c>
      <c r="W174" s="579">
        <v>3763</v>
      </c>
      <c r="X174" s="579">
        <v>70199</v>
      </c>
      <c r="Y174" s="579">
        <v>75584</v>
      </c>
      <c r="Z174" s="579">
        <v>145783</v>
      </c>
      <c r="AA174" s="579">
        <v>1395611.5338091082</v>
      </c>
      <c r="AB174" s="579">
        <v>1342113.8082075692</v>
      </c>
      <c r="AC174" s="579">
        <v>2737725.3420166774</v>
      </c>
    </row>
    <row r="175" spans="1:29" x14ac:dyDescent="0.3">
      <c r="A175" s="929"/>
      <c r="B175" s="464" t="s">
        <v>959</v>
      </c>
      <c r="C175" s="580">
        <v>5572</v>
      </c>
      <c r="D175" s="580">
        <v>6524</v>
      </c>
      <c r="E175" s="580">
        <v>12096</v>
      </c>
      <c r="F175" s="580">
        <v>14</v>
      </c>
      <c r="G175" s="580">
        <v>48</v>
      </c>
      <c r="H175" s="580">
        <v>62</v>
      </c>
      <c r="I175" s="580">
        <v>141723.4314451408</v>
      </c>
      <c r="J175" s="580">
        <v>178776.75251290039</v>
      </c>
      <c r="K175" s="580">
        <v>320500.18395804119</v>
      </c>
      <c r="L175" s="580">
        <v>1032187.589830693</v>
      </c>
      <c r="M175" s="580">
        <v>962106.65864848078</v>
      </c>
      <c r="N175" s="580">
        <v>1994294.248479174</v>
      </c>
      <c r="O175" s="580">
        <v>7170</v>
      </c>
      <c r="P175" s="580">
        <v>4171</v>
      </c>
      <c r="Q175" s="580">
        <v>11341</v>
      </c>
      <c r="R175" s="580">
        <v>96879</v>
      </c>
      <c r="S175" s="580">
        <v>49367</v>
      </c>
      <c r="T175" s="580">
        <v>146246</v>
      </c>
      <c r="U175" s="580">
        <v>1302</v>
      </c>
      <c r="V175" s="580">
        <v>1696</v>
      </c>
      <c r="W175" s="580">
        <v>2998</v>
      </c>
      <c r="X175" s="580">
        <v>74005</v>
      </c>
      <c r="Y175" s="580">
        <v>73875</v>
      </c>
      <c r="Z175" s="580">
        <v>147880</v>
      </c>
      <c r="AA175" s="580">
        <v>1358853.0212758339</v>
      </c>
      <c r="AB175" s="580">
        <v>1276564.4111613811</v>
      </c>
      <c r="AC175" s="580">
        <v>2635417.432437215</v>
      </c>
    </row>
    <row r="176" spans="1:29" x14ac:dyDescent="0.3">
      <c r="A176" s="929"/>
      <c r="B176" s="464" t="s">
        <v>958</v>
      </c>
      <c r="C176" s="580">
        <v>6913</v>
      </c>
      <c r="D176" s="580">
        <v>6915</v>
      </c>
      <c r="E176" s="580">
        <v>13828</v>
      </c>
      <c r="F176" s="580">
        <v>145</v>
      </c>
      <c r="G176" s="580">
        <v>161</v>
      </c>
      <c r="H176" s="580">
        <v>306</v>
      </c>
      <c r="I176" s="580">
        <v>140674</v>
      </c>
      <c r="J176" s="580">
        <v>169589</v>
      </c>
      <c r="K176" s="580">
        <v>310263</v>
      </c>
      <c r="L176" s="580">
        <v>1124079</v>
      </c>
      <c r="M176" s="580">
        <v>978715</v>
      </c>
      <c r="N176" s="580">
        <v>2102794</v>
      </c>
      <c r="O176" s="580">
        <v>5357</v>
      </c>
      <c r="P176" s="580">
        <v>3332</v>
      </c>
      <c r="Q176" s="580">
        <v>8689</v>
      </c>
      <c r="R176" s="580">
        <v>86322</v>
      </c>
      <c r="S176" s="580">
        <v>37439</v>
      </c>
      <c r="T176" s="580">
        <v>123761</v>
      </c>
      <c r="U176" s="580">
        <v>1869</v>
      </c>
      <c r="V176" s="580">
        <v>1868</v>
      </c>
      <c r="W176" s="580">
        <v>3737</v>
      </c>
      <c r="X176" s="580">
        <v>64924</v>
      </c>
      <c r="Y176" s="580">
        <v>61038</v>
      </c>
      <c r="Z176" s="580">
        <v>125962</v>
      </c>
      <c r="AA176" s="580">
        <v>1430283</v>
      </c>
      <c r="AB176" s="580">
        <v>1259057</v>
      </c>
      <c r="AC176" s="580">
        <v>2689340</v>
      </c>
    </row>
    <row r="177" spans="1:29" x14ac:dyDescent="0.3">
      <c r="A177" s="929"/>
      <c r="B177" s="464" t="s">
        <v>957</v>
      </c>
      <c r="C177" s="580">
        <v>6588</v>
      </c>
      <c r="D177" s="580">
        <v>6379</v>
      </c>
      <c r="E177" s="580">
        <v>12967</v>
      </c>
      <c r="F177" s="580">
        <v>166</v>
      </c>
      <c r="G177" s="580">
        <v>104</v>
      </c>
      <c r="H177" s="580">
        <v>270</v>
      </c>
      <c r="I177" s="580">
        <v>113499</v>
      </c>
      <c r="J177" s="580">
        <v>134819</v>
      </c>
      <c r="K177" s="580">
        <v>248318</v>
      </c>
      <c r="L177" s="580">
        <v>1014468</v>
      </c>
      <c r="M177" s="580">
        <v>924253</v>
      </c>
      <c r="N177" s="580">
        <v>1938721</v>
      </c>
      <c r="O177" s="580">
        <v>7736</v>
      </c>
      <c r="P177" s="580">
        <v>4554</v>
      </c>
      <c r="Q177" s="580">
        <v>12290</v>
      </c>
      <c r="R177" s="580">
        <v>82769</v>
      </c>
      <c r="S177" s="580">
        <v>36538</v>
      </c>
      <c r="T177" s="580">
        <v>119307</v>
      </c>
      <c r="U177" s="580">
        <v>3930</v>
      </c>
      <c r="V177" s="580">
        <v>3916</v>
      </c>
      <c r="W177" s="580">
        <v>7846</v>
      </c>
      <c r="X177" s="580">
        <v>49148</v>
      </c>
      <c r="Y177" s="580">
        <v>43923</v>
      </c>
      <c r="Z177" s="580">
        <v>93071</v>
      </c>
      <c r="AA177" s="580">
        <v>1278304</v>
      </c>
      <c r="AB177" s="580">
        <v>1154486</v>
      </c>
      <c r="AC177" s="580">
        <v>2432790</v>
      </c>
    </row>
    <row r="178" spans="1:29" x14ac:dyDescent="0.3">
      <c r="A178" s="929"/>
      <c r="B178" s="464" t="s">
        <v>956</v>
      </c>
      <c r="C178" s="580">
        <v>5478</v>
      </c>
      <c r="D178" s="580">
        <v>5372</v>
      </c>
      <c r="E178" s="580">
        <v>10850</v>
      </c>
      <c r="F178" s="580">
        <v>261</v>
      </c>
      <c r="G178" s="580">
        <v>203</v>
      </c>
      <c r="H178" s="580">
        <v>464</v>
      </c>
      <c r="I178" s="580">
        <v>115851</v>
      </c>
      <c r="J178" s="580">
        <v>130222</v>
      </c>
      <c r="K178" s="580">
        <v>246073</v>
      </c>
      <c r="L178" s="580">
        <v>907391</v>
      </c>
      <c r="M178" s="580">
        <v>853674</v>
      </c>
      <c r="N178" s="580">
        <v>1761065</v>
      </c>
      <c r="O178" s="580">
        <v>5382</v>
      </c>
      <c r="P178" s="580">
        <v>3845</v>
      </c>
      <c r="Q178" s="580">
        <v>9227</v>
      </c>
      <c r="R178" s="580">
        <v>80436</v>
      </c>
      <c r="S178" s="580">
        <v>30826</v>
      </c>
      <c r="T178" s="580">
        <v>111262</v>
      </c>
      <c r="U178" s="580">
        <v>6419</v>
      </c>
      <c r="V178" s="580">
        <v>6578</v>
      </c>
      <c r="W178" s="580">
        <v>12997</v>
      </c>
      <c r="X178" s="580">
        <v>29968</v>
      </c>
      <c r="Y178" s="580">
        <v>24611</v>
      </c>
      <c r="Z178" s="580">
        <v>54579</v>
      </c>
      <c r="AA178" s="580">
        <v>1151186</v>
      </c>
      <c r="AB178" s="580">
        <v>1055331</v>
      </c>
      <c r="AC178" s="580">
        <v>2206517</v>
      </c>
    </row>
    <row r="179" spans="1:29" ht="14.5" x14ac:dyDescent="0.35">
      <c r="A179" s="929">
        <v>29</v>
      </c>
      <c r="B179" s="935" t="s">
        <v>39</v>
      </c>
      <c r="C179" s="936"/>
      <c r="D179" s="936"/>
      <c r="E179" s="936"/>
      <c r="F179" s="936"/>
      <c r="G179" s="936"/>
      <c r="H179" s="936"/>
      <c r="I179" s="936"/>
      <c r="J179" s="936"/>
      <c r="K179" s="936"/>
      <c r="L179" s="936"/>
      <c r="M179" s="936"/>
      <c r="N179" s="936"/>
      <c r="O179" s="936"/>
      <c r="P179" s="936"/>
      <c r="Q179" s="936"/>
      <c r="R179" s="936"/>
      <c r="S179" s="936"/>
      <c r="T179" s="936"/>
      <c r="U179" s="936"/>
      <c r="V179" s="936"/>
      <c r="W179" s="936"/>
      <c r="X179" s="936"/>
      <c r="Y179" s="936"/>
      <c r="Z179" s="936"/>
      <c r="AA179" s="936"/>
      <c r="AB179" s="936"/>
      <c r="AC179" s="936"/>
    </row>
    <row r="180" spans="1:29" x14ac:dyDescent="0.3">
      <c r="A180" s="929"/>
      <c r="B180" s="463" t="s">
        <v>960</v>
      </c>
      <c r="C180" s="579">
        <v>226</v>
      </c>
      <c r="D180" s="579">
        <v>173</v>
      </c>
      <c r="E180" s="579">
        <v>399</v>
      </c>
      <c r="F180" s="579"/>
      <c r="G180" s="579"/>
      <c r="H180" s="579"/>
      <c r="I180" s="579">
        <v>2882</v>
      </c>
      <c r="J180" s="579">
        <v>3998</v>
      </c>
      <c r="K180" s="579">
        <v>6880</v>
      </c>
      <c r="L180" s="579">
        <v>13048</v>
      </c>
      <c r="M180" s="579">
        <v>13010</v>
      </c>
      <c r="N180" s="579">
        <v>26058</v>
      </c>
      <c r="O180" s="579">
        <v>24</v>
      </c>
      <c r="P180" s="579">
        <v>12</v>
      </c>
      <c r="Q180" s="579">
        <v>36</v>
      </c>
      <c r="R180" s="579">
        <v>1751</v>
      </c>
      <c r="S180" s="579">
        <v>1309</v>
      </c>
      <c r="T180" s="579">
        <v>3060</v>
      </c>
      <c r="U180" s="579">
        <v>4</v>
      </c>
      <c r="V180" s="579">
        <v>4</v>
      </c>
      <c r="W180" s="579">
        <v>8</v>
      </c>
      <c r="X180" s="579">
        <v>188</v>
      </c>
      <c r="Y180" s="579">
        <v>292</v>
      </c>
      <c r="Z180" s="579">
        <v>480</v>
      </c>
      <c r="AA180" s="579">
        <v>18123</v>
      </c>
      <c r="AB180" s="579">
        <v>18798</v>
      </c>
      <c r="AC180" s="579">
        <v>36921</v>
      </c>
    </row>
    <row r="181" spans="1:29" x14ac:dyDescent="0.3">
      <c r="A181" s="929"/>
      <c r="B181" s="464" t="s">
        <v>959</v>
      </c>
      <c r="C181" s="580">
        <v>385</v>
      </c>
      <c r="D181" s="580">
        <v>332</v>
      </c>
      <c r="E181" s="580">
        <v>717</v>
      </c>
      <c r="F181" s="580">
        <v>18</v>
      </c>
      <c r="G181" s="580">
        <v>25</v>
      </c>
      <c r="H181" s="580">
        <v>43</v>
      </c>
      <c r="I181" s="580">
        <v>2265.7777777777778</v>
      </c>
      <c r="J181" s="580">
        <v>3570.7777777777778</v>
      </c>
      <c r="K181" s="580">
        <v>5836.5555555555557</v>
      </c>
      <c r="L181" s="580">
        <v>12176.777777777779</v>
      </c>
      <c r="M181" s="580">
        <v>12555</v>
      </c>
      <c r="N181" s="580">
        <v>24731.777777777781</v>
      </c>
      <c r="O181" s="580">
        <v>21</v>
      </c>
      <c r="P181" s="580">
        <v>16</v>
      </c>
      <c r="Q181" s="580">
        <v>37</v>
      </c>
      <c r="R181" s="580">
        <v>1072</v>
      </c>
      <c r="S181" s="580">
        <v>929</v>
      </c>
      <c r="T181" s="580">
        <v>2001</v>
      </c>
      <c r="U181" s="580">
        <v>41</v>
      </c>
      <c r="V181" s="580">
        <v>6</v>
      </c>
      <c r="W181" s="580">
        <v>47</v>
      </c>
      <c r="X181" s="580">
        <v>167</v>
      </c>
      <c r="Y181" s="580">
        <v>271</v>
      </c>
      <c r="Z181" s="580">
        <v>438</v>
      </c>
      <c r="AA181" s="580">
        <v>16146.55555555556</v>
      </c>
      <c r="AB181" s="580">
        <v>17704.777777777781</v>
      </c>
      <c r="AC181" s="580">
        <v>33851.333333333343</v>
      </c>
    </row>
    <row r="182" spans="1:29" x14ac:dyDescent="0.3">
      <c r="A182" s="929"/>
      <c r="B182" s="464" t="s">
        <v>958</v>
      </c>
      <c r="C182" s="580">
        <v>337</v>
      </c>
      <c r="D182" s="580">
        <v>315</v>
      </c>
      <c r="E182" s="580">
        <v>652</v>
      </c>
      <c r="F182" s="580">
        <v>18</v>
      </c>
      <c r="G182" s="580">
        <v>25</v>
      </c>
      <c r="H182" s="580">
        <v>43</v>
      </c>
      <c r="I182" s="580">
        <v>2421</v>
      </c>
      <c r="J182" s="580">
        <v>3565</v>
      </c>
      <c r="K182" s="580">
        <v>5986</v>
      </c>
      <c r="L182" s="580">
        <v>12268</v>
      </c>
      <c r="M182" s="580">
        <v>12538</v>
      </c>
      <c r="N182" s="580">
        <v>24806</v>
      </c>
      <c r="O182" s="580">
        <v>18</v>
      </c>
      <c r="P182" s="580">
        <v>11</v>
      </c>
      <c r="Q182" s="580">
        <v>29</v>
      </c>
      <c r="R182" s="580">
        <v>994</v>
      </c>
      <c r="S182" s="580">
        <v>777</v>
      </c>
      <c r="T182" s="580">
        <v>1771</v>
      </c>
      <c r="U182" s="580">
        <v>50</v>
      </c>
      <c r="V182" s="580">
        <v>5</v>
      </c>
      <c r="W182" s="580">
        <v>55</v>
      </c>
      <c r="X182" s="580">
        <v>168</v>
      </c>
      <c r="Y182" s="580">
        <v>251</v>
      </c>
      <c r="Z182" s="580">
        <v>419</v>
      </c>
      <c r="AA182" s="580">
        <v>16274</v>
      </c>
      <c r="AB182" s="580">
        <v>17487</v>
      </c>
      <c r="AC182" s="580">
        <v>33761</v>
      </c>
    </row>
    <row r="183" spans="1:29" x14ac:dyDescent="0.3">
      <c r="A183" s="929"/>
      <c r="B183" s="464" t="s">
        <v>957</v>
      </c>
      <c r="C183" s="580">
        <v>115</v>
      </c>
      <c r="D183" s="580">
        <v>80</v>
      </c>
      <c r="E183" s="580">
        <v>195</v>
      </c>
      <c r="F183" s="580">
        <v>34</v>
      </c>
      <c r="G183" s="580">
        <v>30</v>
      </c>
      <c r="H183" s="580">
        <v>64</v>
      </c>
      <c r="I183" s="580">
        <v>2929</v>
      </c>
      <c r="J183" s="580">
        <v>4001</v>
      </c>
      <c r="K183" s="580">
        <v>6930</v>
      </c>
      <c r="L183" s="580">
        <v>12295</v>
      </c>
      <c r="M183" s="580">
        <v>12533</v>
      </c>
      <c r="N183" s="580">
        <v>24828</v>
      </c>
      <c r="O183" s="580">
        <v>32</v>
      </c>
      <c r="P183" s="580">
        <v>11</v>
      </c>
      <c r="Q183" s="580">
        <v>43</v>
      </c>
      <c r="R183" s="580">
        <v>1088</v>
      </c>
      <c r="S183" s="580">
        <v>1179</v>
      </c>
      <c r="T183" s="580">
        <v>2267</v>
      </c>
      <c r="U183" s="580">
        <v>61</v>
      </c>
      <c r="V183" s="580">
        <v>11</v>
      </c>
      <c r="W183" s="580">
        <v>72</v>
      </c>
      <c r="X183" s="580">
        <v>153</v>
      </c>
      <c r="Y183" s="580">
        <v>222</v>
      </c>
      <c r="Z183" s="580">
        <v>375</v>
      </c>
      <c r="AA183" s="580">
        <v>16707</v>
      </c>
      <c r="AB183" s="580">
        <v>18067</v>
      </c>
      <c r="AC183" s="580">
        <v>34774</v>
      </c>
    </row>
    <row r="184" spans="1:29" x14ac:dyDescent="0.3">
      <c r="A184" s="929"/>
      <c r="B184" s="464" t="s">
        <v>956</v>
      </c>
      <c r="C184" s="580">
        <v>215</v>
      </c>
      <c r="D184" s="580">
        <v>195</v>
      </c>
      <c r="E184" s="580">
        <v>410</v>
      </c>
      <c r="F184" s="580">
        <v>43</v>
      </c>
      <c r="G184" s="580">
        <v>44</v>
      </c>
      <c r="H184" s="580">
        <v>87</v>
      </c>
      <c r="I184" s="580">
        <v>17445</v>
      </c>
      <c r="J184" s="580">
        <v>10667</v>
      </c>
      <c r="K184" s="580">
        <v>28112</v>
      </c>
      <c r="L184" s="580">
        <v>14134</v>
      </c>
      <c r="M184" s="580">
        <v>12730</v>
      </c>
      <c r="N184" s="580">
        <v>26864</v>
      </c>
      <c r="O184" s="580">
        <v>23</v>
      </c>
      <c r="P184" s="580">
        <v>18</v>
      </c>
      <c r="Q184" s="580">
        <v>41</v>
      </c>
      <c r="R184" s="580">
        <v>1035</v>
      </c>
      <c r="S184" s="580">
        <v>1164</v>
      </c>
      <c r="T184" s="580">
        <v>2199</v>
      </c>
      <c r="U184" s="580">
        <v>34</v>
      </c>
      <c r="V184" s="580">
        <v>6</v>
      </c>
      <c r="W184" s="580">
        <v>40</v>
      </c>
      <c r="X184" s="580">
        <v>120</v>
      </c>
      <c r="Y184" s="580">
        <v>198</v>
      </c>
      <c r="Z184" s="580">
        <v>318</v>
      </c>
      <c r="AA184" s="580">
        <v>33049</v>
      </c>
      <c r="AB184" s="580">
        <v>25022</v>
      </c>
      <c r="AC184" s="580">
        <v>58071</v>
      </c>
    </row>
    <row r="185" spans="1:29" ht="14.5" x14ac:dyDescent="0.35">
      <c r="A185" s="929">
        <v>30</v>
      </c>
      <c r="B185" s="935" t="s">
        <v>40</v>
      </c>
      <c r="C185" s="936"/>
      <c r="D185" s="936"/>
      <c r="E185" s="936"/>
      <c r="F185" s="936"/>
      <c r="G185" s="936"/>
      <c r="H185" s="936"/>
      <c r="I185" s="936"/>
      <c r="J185" s="936"/>
      <c r="K185" s="936"/>
      <c r="L185" s="936"/>
      <c r="M185" s="936"/>
      <c r="N185" s="936"/>
      <c r="O185" s="936"/>
      <c r="P185" s="936"/>
      <c r="Q185" s="936"/>
      <c r="R185" s="936"/>
      <c r="S185" s="936"/>
      <c r="T185" s="936"/>
      <c r="U185" s="936"/>
      <c r="V185" s="936"/>
      <c r="W185" s="936"/>
      <c r="X185" s="936"/>
      <c r="Y185" s="936"/>
      <c r="Z185" s="936"/>
      <c r="AA185" s="936"/>
      <c r="AB185" s="936"/>
      <c r="AC185" s="936"/>
    </row>
    <row r="186" spans="1:29" x14ac:dyDescent="0.3">
      <c r="A186" s="929"/>
      <c r="B186" s="463" t="s">
        <v>960</v>
      </c>
      <c r="C186" s="579">
        <v>21211</v>
      </c>
      <c r="D186" s="579">
        <v>27274</v>
      </c>
      <c r="E186" s="579">
        <v>48485</v>
      </c>
      <c r="F186" s="579">
        <v>336</v>
      </c>
      <c r="G186" s="579">
        <v>557</v>
      </c>
      <c r="H186" s="579">
        <v>893</v>
      </c>
      <c r="I186" s="579">
        <v>200409.11018583481</v>
      </c>
      <c r="J186" s="579">
        <v>279638.68640036834</v>
      </c>
      <c r="K186" s="579">
        <v>480047.79658620316</v>
      </c>
      <c r="L186" s="579">
        <v>1390410.0541483806</v>
      </c>
      <c r="M186" s="579">
        <v>1361529.0121450978</v>
      </c>
      <c r="N186" s="579">
        <v>2751939.0662934785</v>
      </c>
      <c r="O186" s="579">
        <v>2789</v>
      </c>
      <c r="P186" s="579">
        <v>2458</v>
      </c>
      <c r="Q186" s="579">
        <v>5247</v>
      </c>
      <c r="R186" s="579">
        <v>182470</v>
      </c>
      <c r="S186" s="579">
        <v>51057</v>
      </c>
      <c r="T186" s="579">
        <v>233527</v>
      </c>
      <c r="U186" s="579">
        <v>3840</v>
      </c>
      <c r="V186" s="579">
        <v>22028</v>
      </c>
      <c r="W186" s="579">
        <v>25868</v>
      </c>
      <c r="X186" s="579">
        <v>15109</v>
      </c>
      <c r="Y186" s="579">
        <v>15931</v>
      </c>
      <c r="Z186" s="579">
        <v>31040</v>
      </c>
      <c r="AA186" s="579">
        <v>1816574.1643342152</v>
      </c>
      <c r="AB186" s="579">
        <v>1760472.6985454662</v>
      </c>
      <c r="AC186" s="579">
        <v>3577046.8628796814</v>
      </c>
    </row>
    <row r="187" spans="1:29" x14ac:dyDescent="0.3">
      <c r="A187" s="929"/>
      <c r="B187" s="464" t="s">
        <v>959</v>
      </c>
      <c r="C187" s="580">
        <v>11248</v>
      </c>
      <c r="D187" s="580">
        <v>15362</v>
      </c>
      <c r="E187" s="580">
        <v>26610</v>
      </c>
      <c r="F187" s="580">
        <v>391</v>
      </c>
      <c r="G187" s="580">
        <v>787</v>
      </c>
      <c r="H187" s="580">
        <v>1178</v>
      </c>
      <c r="I187" s="580">
        <v>198868.83654456801</v>
      </c>
      <c r="J187" s="580">
        <v>273417.68673043873</v>
      </c>
      <c r="K187" s="580">
        <v>472286.52327500662</v>
      </c>
      <c r="L187" s="580">
        <v>1302943.907380267</v>
      </c>
      <c r="M187" s="580">
        <v>1289393.3613470041</v>
      </c>
      <c r="N187" s="580">
        <v>2592337.2687272709</v>
      </c>
      <c r="O187" s="580">
        <v>2609</v>
      </c>
      <c r="P187" s="580">
        <v>2495</v>
      </c>
      <c r="Q187" s="580">
        <v>5104</v>
      </c>
      <c r="R187" s="580">
        <v>201845</v>
      </c>
      <c r="S187" s="580">
        <v>51660</v>
      </c>
      <c r="T187" s="580">
        <v>253505</v>
      </c>
      <c r="U187" s="580">
        <v>14566</v>
      </c>
      <c r="V187" s="580">
        <v>11302</v>
      </c>
      <c r="W187" s="580">
        <v>25868</v>
      </c>
      <c r="X187" s="580">
        <v>13408</v>
      </c>
      <c r="Y187" s="580">
        <v>14692</v>
      </c>
      <c r="Z187" s="580">
        <v>28100</v>
      </c>
      <c r="AA187" s="580">
        <v>1745879.743924835</v>
      </c>
      <c r="AB187" s="580">
        <v>1659109.048077442</v>
      </c>
      <c r="AC187" s="580">
        <v>3404988.7920022779</v>
      </c>
    </row>
    <row r="188" spans="1:29" x14ac:dyDescent="0.3">
      <c r="A188" s="929"/>
      <c r="B188" s="464" t="s">
        <v>958</v>
      </c>
      <c r="C188" s="580">
        <v>13457</v>
      </c>
      <c r="D188" s="580">
        <v>15410</v>
      </c>
      <c r="E188" s="580">
        <v>28867</v>
      </c>
      <c r="F188" s="580">
        <v>925</v>
      </c>
      <c r="G188" s="580">
        <v>3116</v>
      </c>
      <c r="H188" s="580">
        <v>4041</v>
      </c>
      <c r="I188" s="580">
        <v>198013</v>
      </c>
      <c r="J188" s="580">
        <v>266073</v>
      </c>
      <c r="K188" s="580">
        <v>464086</v>
      </c>
      <c r="L188" s="580">
        <v>1243667</v>
      </c>
      <c r="M188" s="580">
        <v>1248155</v>
      </c>
      <c r="N188" s="580">
        <v>2491822</v>
      </c>
      <c r="O188" s="580">
        <v>8126</v>
      </c>
      <c r="P188" s="580">
        <v>6603</v>
      </c>
      <c r="Q188" s="580">
        <v>14729</v>
      </c>
      <c r="R188" s="580">
        <v>213546</v>
      </c>
      <c r="S188" s="580">
        <v>49168</v>
      </c>
      <c r="T188" s="580">
        <v>262714</v>
      </c>
      <c r="U188" s="580">
        <v>7290</v>
      </c>
      <c r="V188" s="580">
        <v>9324</v>
      </c>
      <c r="W188" s="580">
        <v>16614</v>
      </c>
      <c r="X188" s="580">
        <v>13088</v>
      </c>
      <c r="Y188" s="580">
        <v>13366</v>
      </c>
      <c r="Z188" s="580">
        <v>26454</v>
      </c>
      <c r="AA188" s="580">
        <v>1698112</v>
      </c>
      <c r="AB188" s="580">
        <v>1611215</v>
      </c>
      <c r="AC188" s="580">
        <v>3309327</v>
      </c>
    </row>
    <row r="189" spans="1:29" x14ac:dyDescent="0.3">
      <c r="A189" s="929"/>
      <c r="B189" s="464" t="s">
        <v>957</v>
      </c>
      <c r="C189" s="580">
        <v>17443</v>
      </c>
      <c r="D189" s="580">
        <v>16968</v>
      </c>
      <c r="E189" s="580">
        <v>34411</v>
      </c>
      <c r="F189" s="580">
        <v>1696</v>
      </c>
      <c r="G189" s="580">
        <v>5007</v>
      </c>
      <c r="H189" s="580">
        <v>6703</v>
      </c>
      <c r="I189" s="580">
        <v>185725</v>
      </c>
      <c r="J189" s="580">
        <v>278930</v>
      </c>
      <c r="K189" s="580">
        <v>464655</v>
      </c>
      <c r="L189" s="580">
        <v>1182067</v>
      </c>
      <c r="M189" s="580">
        <v>1280466</v>
      </c>
      <c r="N189" s="580">
        <v>2462533</v>
      </c>
      <c r="O189" s="580">
        <v>9155</v>
      </c>
      <c r="P189" s="580">
        <v>6392</v>
      </c>
      <c r="Q189" s="580">
        <v>15547</v>
      </c>
      <c r="R189" s="580">
        <v>247335</v>
      </c>
      <c r="S189" s="580">
        <v>61174</v>
      </c>
      <c r="T189" s="580">
        <v>308509</v>
      </c>
      <c r="U189" s="580">
        <v>6676</v>
      </c>
      <c r="V189" s="580">
        <v>14108</v>
      </c>
      <c r="W189" s="580">
        <v>20784</v>
      </c>
      <c r="X189" s="580">
        <v>12056</v>
      </c>
      <c r="Y189" s="580">
        <v>11241</v>
      </c>
      <c r="Z189" s="580">
        <v>23297</v>
      </c>
      <c r="AA189" s="580">
        <v>1662153</v>
      </c>
      <c r="AB189" s="580">
        <v>1674286</v>
      </c>
      <c r="AC189" s="580">
        <v>3336439</v>
      </c>
    </row>
    <row r="190" spans="1:29" x14ac:dyDescent="0.3">
      <c r="A190" s="929"/>
      <c r="B190" s="464" t="s">
        <v>956</v>
      </c>
      <c r="C190" s="580">
        <v>15828</v>
      </c>
      <c r="D190" s="580">
        <v>14832</v>
      </c>
      <c r="E190" s="580">
        <v>30660</v>
      </c>
      <c r="F190" s="580">
        <v>2470</v>
      </c>
      <c r="G190" s="580">
        <v>7309</v>
      </c>
      <c r="H190" s="580">
        <v>9779</v>
      </c>
      <c r="I190" s="580">
        <v>184265</v>
      </c>
      <c r="J190" s="580">
        <v>295673</v>
      </c>
      <c r="K190" s="580">
        <v>479938</v>
      </c>
      <c r="L190" s="580">
        <v>1260037</v>
      </c>
      <c r="M190" s="580">
        <v>1330973</v>
      </c>
      <c r="N190" s="580">
        <v>2591010</v>
      </c>
      <c r="O190" s="580">
        <v>9095</v>
      </c>
      <c r="P190" s="580">
        <v>6817</v>
      </c>
      <c r="Q190" s="580">
        <v>15912</v>
      </c>
      <c r="R190" s="580">
        <v>284382</v>
      </c>
      <c r="S190" s="580">
        <v>63535</v>
      </c>
      <c r="T190" s="580">
        <v>347917</v>
      </c>
      <c r="U190" s="580">
        <v>10615</v>
      </c>
      <c r="V190" s="580">
        <v>12496</v>
      </c>
      <c r="W190" s="580">
        <v>23111</v>
      </c>
      <c r="X190" s="580">
        <v>11494</v>
      </c>
      <c r="Y190" s="580">
        <v>10490</v>
      </c>
      <c r="Z190" s="580">
        <v>21984</v>
      </c>
      <c r="AA190" s="580">
        <v>1778186</v>
      </c>
      <c r="AB190" s="580">
        <v>1742125</v>
      </c>
      <c r="AC190" s="580">
        <v>3520311</v>
      </c>
    </row>
    <row r="191" spans="1:29" ht="14.5" x14ac:dyDescent="0.35">
      <c r="A191" s="929">
        <v>30</v>
      </c>
      <c r="B191" s="935" t="s">
        <v>41</v>
      </c>
      <c r="C191" s="936"/>
      <c r="D191" s="936"/>
      <c r="E191" s="936"/>
      <c r="F191" s="936"/>
      <c r="G191" s="936"/>
      <c r="H191" s="936"/>
      <c r="I191" s="936"/>
      <c r="J191" s="936"/>
      <c r="K191" s="936"/>
      <c r="L191" s="936"/>
      <c r="M191" s="936"/>
      <c r="N191" s="936"/>
      <c r="O191" s="936"/>
      <c r="P191" s="936"/>
      <c r="Q191" s="936"/>
      <c r="R191" s="936"/>
      <c r="S191" s="936"/>
      <c r="T191" s="936"/>
      <c r="U191" s="936"/>
      <c r="V191" s="936"/>
      <c r="W191" s="936"/>
      <c r="X191" s="936"/>
      <c r="Y191" s="936"/>
      <c r="Z191" s="936"/>
      <c r="AA191" s="936"/>
      <c r="AB191" s="936"/>
      <c r="AC191" s="936"/>
    </row>
    <row r="192" spans="1:29" x14ac:dyDescent="0.3">
      <c r="A192" s="929"/>
      <c r="B192" s="463" t="s">
        <v>960</v>
      </c>
      <c r="C192" s="579">
        <v>5528</v>
      </c>
      <c r="D192" s="579">
        <v>3819</v>
      </c>
      <c r="E192" s="579">
        <v>9347</v>
      </c>
      <c r="F192" s="579">
        <v>13</v>
      </c>
      <c r="G192" s="579">
        <v>43</v>
      </c>
      <c r="H192" s="579">
        <v>56</v>
      </c>
      <c r="I192" s="579">
        <v>102415.49810665619</v>
      </c>
      <c r="J192" s="579">
        <v>141432.78418520672</v>
      </c>
      <c r="K192" s="579">
        <v>243848.28229186291</v>
      </c>
      <c r="L192" s="579">
        <v>709810.91600351443</v>
      </c>
      <c r="M192" s="579">
        <v>721308.09240771818</v>
      </c>
      <c r="N192" s="579">
        <v>1431119.0084112326</v>
      </c>
      <c r="O192" s="579">
        <v>6197</v>
      </c>
      <c r="P192" s="579">
        <v>5850</v>
      </c>
      <c r="Q192" s="579">
        <v>12047</v>
      </c>
      <c r="R192" s="579">
        <v>41784</v>
      </c>
      <c r="S192" s="579">
        <v>34644</v>
      </c>
      <c r="T192" s="579">
        <v>76428</v>
      </c>
      <c r="U192" s="579">
        <v>2119</v>
      </c>
      <c r="V192" s="579">
        <v>1668</v>
      </c>
      <c r="W192" s="579">
        <v>3787</v>
      </c>
      <c r="X192" s="579">
        <v>6377</v>
      </c>
      <c r="Y192" s="579">
        <v>4451</v>
      </c>
      <c r="Z192" s="579">
        <v>10828</v>
      </c>
      <c r="AA192" s="579">
        <v>874244.41411017056</v>
      </c>
      <c r="AB192" s="579">
        <v>913215.87659292493</v>
      </c>
      <c r="AC192" s="579">
        <v>1787460.2907030955</v>
      </c>
    </row>
    <row r="193" spans="1:29" x14ac:dyDescent="0.3">
      <c r="A193" s="929"/>
      <c r="B193" s="464" t="s">
        <v>959</v>
      </c>
      <c r="C193" s="580">
        <v>4624</v>
      </c>
      <c r="D193" s="580">
        <v>2606</v>
      </c>
      <c r="E193" s="580">
        <v>7230</v>
      </c>
      <c r="F193" s="580">
        <v>34</v>
      </c>
      <c r="G193" s="580">
        <v>38</v>
      </c>
      <c r="H193" s="580">
        <v>72</v>
      </c>
      <c r="I193" s="580">
        <v>91115.137973616351</v>
      </c>
      <c r="J193" s="580">
        <v>126029.4294508423</v>
      </c>
      <c r="K193" s="580">
        <v>217144.56742445871</v>
      </c>
      <c r="L193" s="580">
        <v>669112.3414574489</v>
      </c>
      <c r="M193" s="580">
        <v>678078.30541872815</v>
      </c>
      <c r="N193" s="580">
        <v>1347190.6468761771</v>
      </c>
      <c r="O193" s="580">
        <v>4079</v>
      </c>
      <c r="P193" s="580">
        <v>3485</v>
      </c>
      <c r="Q193" s="580">
        <v>7564</v>
      </c>
      <c r="R193" s="580">
        <v>42693</v>
      </c>
      <c r="S193" s="580">
        <v>37059</v>
      </c>
      <c r="T193" s="580">
        <v>79752</v>
      </c>
      <c r="U193" s="580">
        <v>1820</v>
      </c>
      <c r="V193" s="580">
        <v>1360</v>
      </c>
      <c r="W193" s="580">
        <v>3180</v>
      </c>
      <c r="X193" s="580">
        <v>5111</v>
      </c>
      <c r="Y193" s="580">
        <v>4318</v>
      </c>
      <c r="Z193" s="580">
        <v>9429</v>
      </c>
      <c r="AA193" s="580">
        <v>818588.47943106527</v>
      </c>
      <c r="AB193" s="580">
        <v>852973.73486957047</v>
      </c>
      <c r="AC193" s="580">
        <v>1671562.214300636</v>
      </c>
    </row>
    <row r="194" spans="1:29" x14ac:dyDescent="0.3">
      <c r="A194" s="929"/>
      <c r="B194" s="464" t="s">
        <v>958</v>
      </c>
      <c r="C194" s="580">
        <v>4442</v>
      </c>
      <c r="D194" s="580">
        <v>2525</v>
      </c>
      <c r="E194" s="580">
        <v>6967</v>
      </c>
      <c r="F194" s="580">
        <v>57</v>
      </c>
      <c r="G194" s="580">
        <v>43</v>
      </c>
      <c r="H194" s="580">
        <v>100</v>
      </c>
      <c r="I194" s="580">
        <v>89767</v>
      </c>
      <c r="J194" s="580">
        <v>117315</v>
      </c>
      <c r="K194" s="580">
        <v>207082</v>
      </c>
      <c r="L194" s="580">
        <v>638370</v>
      </c>
      <c r="M194" s="580">
        <v>633953</v>
      </c>
      <c r="N194" s="580">
        <v>1272323</v>
      </c>
      <c r="O194" s="580">
        <v>4386</v>
      </c>
      <c r="P194" s="580">
        <v>3529</v>
      </c>
      <c r="Q194" s="580">
        <v>7915</v>
      </c>
      <c r="R194" s="580">
        <v>50261</v>
      </c>
      <c r="S194" s="580">
        <v>41291</v>
      </c>
      <c r="T194" s="580">
        <v>91552</v>
      </c>
      <c r="U194" s="580">
        <v>1532</v>
      </c>
      <c r="V194" s="580">
        <v>1590</v>
      </c>
      <c r="W194" s="580">
        <v>3122</v>
      </c>
      <c r="X194" s="580">
        <v>4538</v>
      </c>
      <c r="Y194" s="580">
        <v>3081</v>
      </c>
      <c r="Z194" s="580">
        <v>7619</v>
      </c>
      <c r="AA194" s="580">
        <v>793353</v>
      </c>
      <c r="AB194" s="580">
        <v>803327</v>
      </c>
      <c r="AC194" s="580">
        <v>1596680</v>
      </c>
    </row>
    <row r="195" spans="1:29" x14ac:dyDescent="0.3">
      <c r="A195" s="929"/>
      <c r="B195" s="464" t="s">
        <v>957</v>
      </c>
      <c r="C195" s="580">
        <v>4228</v>
      </c>
      <c r="D195" s="580">
        <v>2487</v>
      </c>
      <c r="E195" s="580">
        <v>6715</v>
      </c>
      <c r="F195" s="580">
        <v>106</v>
      </c>
      <c r="G195" s="580">
        <v>74</v>
      </c>
      <c r="H195" s="580">
        <v>180</v>
      </c>
      <c r="I195" s="580">
        <v>86425</v>
      </c>
      <c r="J195" s="580">
        <v>109813</v>
      </c>
      <c r="K195" s="580">
        <v>196238</v>
      </c>
      <c r="L195" s="580">
        <v>617563</v>
      </c>
      <c r="M195" s="580">
        <v>634298</v>
      </c>
      <c r="N195" s="580">
        <v>1251861</v>
      </c>
      <c r="O195" s="580">
        <v>4791</v>
      </c>
      <c r="P195" s="580">
        <v>3180</v>
      </c>
      <c r="Q195" s="580">
        <v>7971</v>
      </c>
      <c r="R195" s="580">
        <v>56054</v>
      </c>
      <c r="S195" s="580">
        <v>43630</v>
      </c>
      <c r="T195" s="580">
        <v>99684</v>
      </c>
      <c r="U195" s="580">
        <v>2276</v>
      </c>
      <c r="V195" s="580">
        <v>2203</v>
      </c>
      <c r="W195" s="580">
        <v>4479</v>
      </c>
      <c r="X195" s="580">
        <v>3866</v>
      </c>
      <c r="Y195" s="580">
        <v>2792</v>
      </c>
      <c r="Z195" s="580">
        <v>6658</v>
      </c>
      <c r="AA195" s="580">
        <v>775309</v>
      </c>
      <c r="AB195" s="580">
        <v>798477</v>
      </c>
      <c r="AC195" s="580">
        <v>1573786</v>
      </c>
    </row>
    <row r="196" spans="1:29" x14ac:dyDescent="0.3">
      <c r="A196" s="929"/>
      <c r="B196" s="464" t="s">
        <v>956</v>
      </c>
      <c r="C196" s="580">
        <v>3507</v>
      </c>
      <c r="D196" s="580">
        <v>2001</v>
      </c>
      <c r="E196" s="580">
        <v>5508</v>
      </c>
      <c r="F196" s="580">
        <v>203</v>
      </c>
      <c r="G196" s="580">
        <v>170</v>
      </c>
      <c r="H196" s="580">
        <v>373</v>
      </c>
      <c r="I196" s="580">
        <v>81042</v>
      </c>
      <c r="J196" s="580">
        <v>103478</v>
      </c>
      <c r="K196" s="580">
        <v>184520</v>
      </c>
      <c r="L196" s="580">
        <v>519501</v>
      </c>
      <c r="M196" s="580">
        <v>559280</v>
      </c>
      <c r="N196" s="580">
        <v>1078781</v>
      </c>
      <c r="O196" s="580">
        <v>3310</v>
      </c>
      <c r="P196" s="580">
        <v>2292</v>
      </c>
      <c r="Q196" s="580">
        <v>5602</v>
      </c>
      <c r="R196" s="580">
        <v>60653</v>
      </c>
      <c r="S196" s="580">
        <v>45728</v>
      </c>
      <c r="T196" s="580">
        <v>106381</v>
      </c>
      <c r="U196" s="580">
        <v>923</v>
      </c>
      <c r="V196" s="580">
        <v>1290</v>
      </c>
      <c r="W196" s="580">
        <v>2213</v>
      </c>
      <c r="X196" s="580">
        <v>3629</v>
      </c>
      <c r="Y196" s="580">
        <v>2601</v>
      </c>
      <c r="Z196" s="580">
        <v>6230</v>
      </c>
      <c r="AA196" s="580">
        <v>672768</v>
      </c>
      <c r="AB196" s="580">
        <v>716840</v>
      </c>
      <c r="AC196" s="580">
        <v>1389608</v>
      </c>
    </row>
    <row r="197" spans="1:29" ht="14.5" x14ac:dyDescent="0.35">
      <c r="A197" s="929">
        <v>31</v>
      </c>
      <c r="B197" s="937" t="s">
        <v>58</v>
      </c>
      <c r="C197" s="936"/>
      <c r="D197" s="936"/>
      <c r="E197" s="936"/>
      <c r="F197" s="936"/>
      <c r="G197" s="936"/>
      <c r="H197" s="936"/>
      <c r="I197" s="936"/>
      <c r="J197" s="936"/>
      <c r="K197" s="936"/>
      <c r="L197" s="936"/>
      <c r="M197" s="936"/>
      <c r="N197" s="936"/>
      <c r="O197" s="936"/>
      <c r="P197" s="936"/>
      <c r="Q197" s="936"/>
      <c r="R197" s="936"/>
      <c r="S197" s="936"/>
      <c r="T197" s="936"/>
      <c r="U197" s="936"/>
      <c r="V197" s="936"/>
      <c r="W197" s="936"/>
      <c r="X197" s="936"/>
      <c r="Y197" s="936"/>
      <c r="Z197" s="936"/>
      <c r="AA197" s="936"/>
      <c r="AB197" s="936"/>
      <c r="AC197" s="936"/>
    </row>
    <row r="198" spans="1:29" x14ac:dyDescent="0.3">
      <c r="A198" s="929"/>
      <c r="B198" s="463" t="s">
        <v>960</v>
      </c>
      <c r="C198" s="579"/>
      <c r="D198" s="579">
        <v>2</v>
      </c>
      <c r="E198" s="579">
        <v>2</v>
      </c>
      <c r="F198" s="579"/>
      <c r="G198" s="579"/>
      <c r="H198" s="579"/>
      <c r="I198" s="579">
        <v>231</v>
      </c>
      <c r="J198" s="579">
        <v>535</v>
      </c>
      <c r="K198" s="579">
        <v>766</v>
      </c>
      <c r="L198" s="579">
        <v>4596</v>
      </c>
      <c r="M198" s="579">
        <v>5108</v>
      </c>
      <c r="N198" s="579">
        <v>9704</v>
      </c>
      <c r="O198" s="579">
        <v>40</v>
      </c>
      <c r="P198" s="579">
        <v>17</v>
      </c>
      <c r="Q198" s="579">
        <v>57</v>
      </c>
      <c r="R198" s="579">
        <v>1489</v>
      </c>
      <c r="S198" s="579">
        <v>472</v>
      </c>
      <c r="T198" s="579">
        <v>1961</v>
      </c>
      <c r="U198" s="579"/>
      <c r="V198" s="579"/>
      <c r="W198" s="579"/>
      <c r="X198" s="579">
        <v>54</v>
      </c>
      <c r="Y198" s="579">
        <v>76</v>
      </c>
      <c r="Z198" s="579">
        <v>130</v>
      </c>
      <c r="AA198" s="579">
        <v>6410</v>
      </c>
      <c r="AB198" s="579">
        <v>6210</v>
      </c>
      <c r="AC198" s="579">
        <v>12620</v>
      </c>
    </row>
    <row r="199" spans="1:29" x14ac:dyDescent="0.3">
      <c r="A199" s="929"/>
      <c r="B199" s="464" t="s">
        <v>959</v>
      </c>
      <c r="C199" s="580">
        <v>0</v>
      </c>
      <c r="D199" s="580">
        <v>2</v>
      </c>
      <c r="E199" s="580">
        <v>2</v>
      </c>
      <c r="F199" s="580"/>
      <c r="G199" s="580"/>
      <c r="H199" s="580"/>
      <c r="I199" s="580">
        <v>268</v>
      </c>
      <c r="J199" s="580">
        <v>641</v>
      </c>
      <c r="K199" s="580">
        <v>909</v>
      </c>
      <c r="L199" s="580">
        <v>4742</v>
      </c>
      <c r="M199" s="580">
        <v>5273</v>
      </c>
      <c r="N199" s="580">
        <v>10015</v>
      </c>
      <c r="O199" s="580">
        <v>44</v>
      </c>
      <c r="P199" s="580">
        <v>18</v>
      </c>
      <c r="Q199" s="580">
        <v>62</v>
      </c>
      <c r="R199" s="580">
        <v>1502</v>
      </c>
      <c r="S199" s="580">
        <v>397</v>
      </c>
      <c r="T199" s="580">
        <v>1899</v>
      </c>
      <c r="U199" s="580"/>
      <c r="V199" s="580"/>
      <c r="W199" s="580"/>
      <c r="X199" s="580">
        <v>51</v>
      </c>
      <c r="Y199" s="580">
        <v>71</v>
      </c>
      <c r="Z199" s="580">
        <v>122</v>
      </c>
      <c r="AA199" s="580">
        <v>6607</v>
      </c>
      <c r="AB199" s="580">
        <v>6402</v>
      </c>
      <c r="AC199" s="580">
        <v>13009</v>
      </c>
    </row>
    <row r="200" spans="1:29" x14ac:dyDescent="0.3">
      <c r="A200" s="929"/>
      <c r="B200" s="464" t="s">
        <v>958</v>
      </c>
      <c r="C200" s="580"/>
      <c r="D200" s="580"/>
      <c r="E200" s="580"/>
      <c r="F200" s="580"/>
      <c r="G200" s="580"/>
      <c r="H200" s="580"/>
      <c r="I200" s="580">
        <v>305</v>
      </c>
      <c r="J200" s="580">
        <v>543</v>
      </c>
      <c r="K200" s="580">
        <v>848</v>
      </c>
      <c r="L200" s="580">
        <v>4656</v>
      </c>
      <c r="M200" s="580">
        <v>5103</v>
      </c>
      <c r="N200" s="580">
        <v>9759</v>
      </c>
      <c r="O200" s="580"/>
      <c r="P200" s="580"/>
      <c r="Q200" s="580"/>
      <c r="R200" s="580">
        <v>1686</v>
      </c>
      <c r="S200" s="580">
        <v>422</v>
      </c>
      <c r="T200" s="580">
        <v>2108</v>
      </c>
      <c r="U200" s="580"/>
      <c r="V200" s="580"/>
      <c r="W200" s="580"/>
      <c r="X200" s="580">
        <v>36</v>
      </c>
      <c r="Y200" s="580">
        <v>54</v>
      </c>
      <c r="Z200" s="580">
        <v>90</v>
      </c>
      <c r="AA200" s="580">
        <v>6683</v>
      </c>
      <c r="AB200" s="580">
        <v>6122</v>
      </c>
      <c r="AC200" s="580">
        <v>12805</v>
      </c>
    </row>
    <row r="201" spans="1:29" x14ac:dyDescent="0.3">
      <c r="A201" s="929"/>
      <c r="B201" s="464" t="s">
        <v>957</v>
      </c>
      <c r="C201" s="580">
        <v>0</v>
      </c>
      <c r="D201" s="580">
        <v>0</v>
      </c>
      <c r="E201" s="580">
        <v>0</v>
      </c>
      <c r="F201" s="580">
        <v>0</v>
      </c>
      <c r="G201" s="580">
        <v>0</v>
      </c>
      <c r="H201" s="580">
        <v>0</v>
      </c>
      <c r="I201" s="580">
        <v>259</v>
      </c>
      <c r="J201" s="580">
        <v>508</v>
      </c>
      <c r="K201" s="580">
        <v>767</v>
      </c>
      <c r="L201" s="580">
        <v>4020</v>
      </c>
      <c r="M201" s="580">
        <v>4681</v>
      </c>
      <c r="N201" s="580">
        <v>8701</v>
      </c>
      <c r="O201" s="580">
        <v>0</v>
      </c>
      <c r="P201" s="580">
        <v>0</v>
      </c>
      <c r="Q201" s="580">
        <v>0</v>
      </c>
      <c r="R201" s="580">
        <v>1647</v>
      </c>
      <c r="S201" s="580">
        <v>397</v>
      </c>
      <c r="T201" s="580">
        <v>2044</v>
      </c>
      <c r="U201" s="580">
        <v>0</v>
      </c>
      <c r="V201" s="580">
        <v>0</v>
      </c>
      <c r="W201" s="580">
        <v>0</v>
      </c>
      <c r="X201" s="580">
        <v>22</v>
      </c>
      <c r="Y201" s="580">
        <v>36</v>
      </c>
      <c r="Z201" s="580">
        <v>58</v>
      </c>
      <c r="AA201" s="580">
        <v>5948</v>
      </c>
      <c r="AB201" s="580">
        <v>5622</v>
      </c>
      <c r="AC201" s="580">
        <v>11570</v>
      </c>
    </row>
    <row r="202" spans="1:29" x14ac:dyDescent="0.3">
      <c r="A202" s="929"/>
      <c r="B202" s="464" t="s">
        <v>956</v>
      </c>
      <c r="C202" s="580">
        <v>0</v>
      </c>
      <c r="D202" s="580">
        <v>0</v>
      </c>
      <c r="E202" s="580">
        <v>0</v>
      </c>
      <c r="F202" s="580">
        <v>0</v>
      </c>
      <c r="G202" s="580">
        <v>0</v>
      </c>
      <c r="H202" s="580">
        <v>0</v>
      </c>
      <c r="I202" s="580">
        <v>188</v>
      </c>
      <c r="J202" s="580">
        <v>433</v>
      </c>
      <c r="K202" s="580">
        <v>621</v>
      </c>
      <c r="L202" s="580">
        <v>3436</v>
      </c>
      <c r="M202" s="580">
        <v>4165</v>
      </c>
      <c r="N202" s="580">
        <v>7601</v>
      </c>
      <c r="O202" s="580">
        <v>0</v>
      </c>
      <c r="P202" s="580">
        <v>0</v>
      </c>
      <c r="Q202" s="580">
        <v>0</v>
      </c>
      <c r="R202" s="580">
        <v>1685</v>
      </c>
      <c r="S202" s="580">
        <v>381</v>
      </c>
      <c r="T202" s="580">
        <v>2066</v>
      </c>
      <c r="U202" s="580">
        <v>0</v>
      </c>
      <c r="V202" s="580">
        <v>0</v>
      </c>
      <c r="W202" s="580">
        <v>0</v>
      </c>
      <c r="X202" s="580">
        <v>11</v>
      </c>
      <c r="Y202" s="580">
        <v>26</v>
      </c>
      <c r="Z202" s="580">
        <v>37</v>
      </c>
      <c r="AA202" s="580">
        <v>5320</v>
      </c>
      <c r="AB202" s="580">
        <v>5005</v>
      </c>
      <c r="AC202" s="580">
        <v>10325</v>
      </c>
    </row>
    <row r="203" spans="1:29" ht="14.5" x14ac:dyDescent="0.35">
      <c r="A203" s="929">
        <v>32</v>
      </c>
      <c r="B203" s="935" t="s">
        <v>42</v>
      </c>
      <c r="C203" s="936"/>
      <c r="D203" s="936"/>
      <c r="E203" s="936"/>
      <c r="F203" s="936"/>
      <c r="G203" s="936"/>
      <c r="H203" s="936"/>
      <c r="I203" s="936"/>
      <c r="J203" s="936"/>
      <c r="K203" s="936"/>
      <c r="L203" s="936"/>
      <c r="M203" s="936"/>
      <c r="N203" s="936"/>
      <c r="O203" s="936"/>
      <c r="P203" s="936"/>
      <c r="Q203" s="936"/>
      <c r="R203" s="936"/>
      <c r="S203" s="936"/>
      <c r="T203" s="936"/>
      <c r="U203" s="936"/>
      <c r="V203" s="936"/>
      <c r="W203" s="936"/>
      <c r="X203" s="936"/>
      <c r="Y203" s="936"/>
      <c r="Z203" s="936"/>
      <c r="AA203" s="936"/>
      <c r="AB203" s="936"/>
      <c r="AC203" s="936"/>
    </row>
    <row r="204" spans="1:29" x14ac:dyDescent="0.3">
      <c r="A204" s="929"/>
      <c r="B204" s="463" t="s">
        <v>960</v>
      </c>
      <c r="C204" s="579">
        <v>372</v>
      </c>
      <c r="D204" s="579">
        <v>232</v>
      </c>
      <c r="E204" s="579">
        <v>604</v>
      </c>
      <c r="F204" s="579"/>
      <c r="G204" s="579"/>
      <c r="H204" s="579"/>
      <c r="I204" s="579">
        <v>4832</v>
      </c>
      <c r="J204" s="579">
        <v>5331</v>
      </c>
      <c r="K204" s="579">
        <v>10163</v>
      </c>
      <c r="L204" s="579">
        <v>45733</v>
      </c>
      <c r="M204" s="579">
        <v>45942</v>
      </c>
      <c r="N204" s="579">
        <v>91675</v>
      </c>
      <c r="O204" s="579">
        <v>71</v>
      </c>
      <c r="P204" s="579">
        <v>36</v>
      </c>
      <c r="Q204" s="579">
        <v>107</v>
      </c>
      <c r="R204" s="579">
        <v>2622</v>
      </c>
      <c r="S204" s="579">
        <v>2548</v>
      </c>
      <c r="T204" s="579">
        <v>5170</v>
      </c>
      <c r="U204" s="579">
        <v>22</v>
      </c>
      <c r="V204" s="579">
        <v>51</v>
      </c>
      <c r="W204" s="579">
        <v>73</v>
      </c>
      <c r="X204" s="579">
        <v>1391</v>
      </c>
      <c r="Y204" s="579">
        <v>1186</v>
      </c>
      <c r="Z204" s="579">
        <v>2577</v>
      </c>
      <c r="AA204" s="579">
        <v>55043</v>
      </c>
      <c r="AB204" s="579">
        <v>55326</v>
      </c>
      <c r="AC204" s="579">
        <v>110369</v>
      </c>
    </row>
    <row r="205" spans="1:29" x14ac:dyDescent="0.3">
      <c r="A205" s="929"/>
      <c r="B205" s="464" t="s">
        <v>959</v>
      </c>
      <c r="C205" s="580">
        <v>127</v>
      </c>
      <c r="D205" s="580">
        <v>77</v>
      </c>
      <c r="E205" s="580">
        <v>204</v>
      </c>
      <c r="F205" s="580">
        <v>1</v>
      </c>
      <c r="G205" s="580">
        <v>4</v>
      </c>
      <c r="H205" s="580">
        <v>5</v>
      </c>
      <c r="I205" s="580">
        <v>4326</v>
      </c>
      <c r="J205" s="580">
        <v>5130</v>
      </c>
      <c r="K205" s="580">
        <v>9456</v>
      </c>
      <c r="L205" s="580">
        <v>44093</v>
      </c>
      <c r="M205" s="580">
        <v>41382</v>
      </c>
      <c r="N205" s="580">
        <v>85475</v>
      </c>
      <c r="O205" s="580">
        <v>45</v>
      </c>
      <c r="P205" s="580">
        <v>29</v>
      </c>
      <c r="Q205" s="580">
        <v>74</v>
      </c>
      <c r="R205" s="580">
        <v>2411</v>
      </c>
      <c r="S205" s="580">
        <v>2567</v>
      </c>
      <c r="T205" s="580">
        <v>4978</v>
      </c>
      <c r="U205" s="580">
        <v>19</v>
      </c>
      <c r="V205" s="580">
        <v>9</v>
      </c>
      <c r="W205" s="580">
        <v>28</v>
      </c>
      <c r="X205" s="580">
        <v>1146</v>
      </c>
      <c r="Y205" s="580">
        <v>958</v>
      </c>
      <c r="Z205" s="580">
        <v>2104</v>
      </c>
      <c r="AA205" s="580">
        <v>52168</v>
      </c>
      <c r="AB205" s="580">
        <v>50156</v>
      </c>
      <c r="AC205" s="580">
        <v>102324</v>
      </c>
    </row>
    <row r="206" spans="1:29" x14ac:dyDescent="0.3">
      <c r="A206" s="929"/>
      <c r="B206" s="464" t="s">
        <v>958</v>
      </c>
      <c r="C206" s="580">
        <v>286</v>
      </c>
      <c r="D206" s="580">
        <v>173</v>
      </c>
      <c r="E206" s="580">
        <v>459</v>
      </c>
      <c r="F206" s="580">
        <v>2</v>
      </c>
      <c r="G206" s="580">
        <v>10</v>
      </c>
      <c r="H206" s="580">
        <v>12</v>
      </c>
      <c r="I206" s="580">
        <v>5209</v>
      </c>
      <c r="J206" s="580">
        <v>5840</v>
      </c>
      <c r="K206" s="580">
        <v>11049</v>
      </c>
      <c r="L206" s="580">
        <v>44432</v>
      </c>
      <c r="M206" s="580">
        <v>37731</v>
      </c>
      <c r="N206" s="580">
        <v>82163</v>
      </c>
      <c r="O206" s="580">
        <v>76</v>
      </c>
      <c r="P206" s="580">
        <v>59</v>
      </c>
      <c r="Q206" s="580">
        <v>135</v>
      </c>
      <c r="R206" s="580">
        <v>2409</v>
      </c>
      <c r="S206" s="580">
        <v>2297</v>
      </c>
      <c r="T206" s="580">
        <v>4706</v>
      </c>
      <c r="U206" s="580">
        <v>18</v>
      </c>
      <c r="V206" s="580">
        <v>18</v>
      </c>
      <c r="W206" s="580">
        <v>36</v>
      </c>
      <c r="X206" s="580">
        <v>1106</v>
      </c>
      <c r="Y206" s="580">
        <v>885</v>
      </c>
      <c r="Z206" s="580">
        <v>1991</v>
      </c>
      <c r="AA206" s="580">
        <v>53538</v>
      </c>
      <c r="AB206" s="580">
        <v>47013</v>
      </c>
      <c r="AC206" s="580">
        <v>100551</v>
      </c>
    </row>
    <row r="207" spans="1:29" x14ac:dyDescent="0.3">
      <c r="A207" s="929"/>
      <c r="B207" s="464" t="s">
        <v>957</v>
      </c>
      <c r="C207" s="580">
        <v>452</v>
      </c>
      <c r="D207" s="580">
        <v>220</v>
      </c>
      <c r="E207" s="580">
        <v>672</v>
      </c>
      <c r="F207" s="580">
        <v>2</v>
      </c>
      <c r="G207" s="580">
        <v>10</v>
      </c>
      <c r="H207" s="580">
        <v>12</v>
      </c>
      <c r="I207" s="580">
        <v>5919</v>
      </c>
      <c r="J207" s="580">
        <v>6287</v>
      </c>
      <c r="K207" s="580">
        <v>12206</v>
      </c>
      <c r="L207" s="580">
        <v>38810</v>
      </c>
      <c r="M207" s="580">
        <v>34214</v>
      </c>
      <c r="N207" s="580">
        <v>73024</v>
      </c>
      <c r="O207" s="580">
        <v>116</v>
      </c>
      <c r="P207" s="580">
        <v>133</v>
      </c>
      <c r="Q207" s="580">
        <v>249</v>
      </c>
      <c r="R207" s="580">
        <v>2243</v>
      </c>
      <c r="S207" s="580">
        <v>2632</v>
      </c>
      <c r="T207" s="580">
        <v>4875</v>
      </c>
      <c r="U207" s="580">
        <v>15</v>
      </c>
      <c r="V207" s="580">
        <v>13</v>
      </c>
      <c r="W207" s="580">
        <v>28</v>
      </c>
      <c r="X207" s="580">
        <v>871</v>
      </c>
      <c r="Y207" s="580">
        <v>723</v>
      </c>
      <c r="Z207" s="580">
        <v>1594</v>
      </c>
      <c r="AA207" s="580">
        <v>48428</v>
      </c>
      <c r="AB207" s="580">
        <v>44232</v>
      </c>
      <c r="AC207" s="580">
        <v>92660</v>
      </c>
    </row>
    <row r="208" spans="1:29" x14ac:dyDescent="0.3">
      <c r="A208" s="929"/>
      <c r="B208" s="464" t="s">
        <v>956</v>
      </c>
      <c r="C208" s="580">
        <v>388</v>
      </c>
      <c r="D208" s="580">
        <v>227</v>
      </c>
      <c r="E208" s="580">
        <v>615</v>
      </c>
      <c r="F208" s="580">
        <v>0</v>
      </c>
      <c r="G208" s="580">
        <v>0</v>
      </c>
      <c r="H208" s="580">
        <v>0</v>
      </c>
      <c r="I208" s="580">
        <v>5941</v>
      </c>
      <c r="J208" s="580">
        <v>5877</v>
      </c>
      <c r="K208" s="580">
        <v>11818</v>
      </c>
      <c r="L208" s="580">
        <v>37816</v>
      </c>
      <c r="M208" s="580">
        <v>30459</v>
      </c>
      <c r="N208" s="580">
        <v>68275</v>
      </c>
      <c r="O208" s="580">
        <v>67</v>
      </c>
      <c r="P208" s="580">
        <v>64</v>
      </c>
      <c r="Q208" s="580">
        <v>131</v>
      </c>
      <c r="R208" s="580">
        <v>2274</v>
      </c>
      <c r="S208" s="580">
        <v>2126</v>
      </c>
      <c r="T208" s="580">
        <v>4400</v>
      </c>
      <c r="U208" s="580">
        <v>149</v>
      </c>
      <c r="V208" s="580">
        <v>221</v>
      </c>
      <c r="W208" s="580">
        <v>370</v>
      </c>
      <c r="X208" s="580">
        <v>396</v>
      </c>
      <c r="Y208" s="580">
        <v>242</v>
      </c>
      <c r="Z208" s="580">
        <v>638</v>
      </c>
      <c r="AA208" s="580">
        <v>47031</v>
      </c>
      <c r="AB208" s="580">
        <v>39216</v>
      </c>
      <c r="AC208" s="580">
        <v>86247</v>
      </c>
    </row>
    <row r="209" spans="1:29" ht="14.5" x14ac:dyDescent="0.35">
      <c r="A209" s="929">
        <v>33</v>
      </c>
      <c r="B209" s="935" t="s">
        <v>43</v>
      </c>
      <c r="C209" s="936"/>
      <c r="D209" s="936"/>
      <c r="E209" s="936"/>
      <c r="F209" s="936"/>
      <c r="G209" s="936"/>
      <c r="H209" s="936"/>
      <c r="I209" s="936"/>
      <c r="J209" s="936"/>
      <c r="K209" s="936"/>
      <c r="L209" s="936"/>
      <c r="M209" s="936"/>
      <c r="N209" s="936"/>
      <c r="O209" s="936"/>
      <c r="P209" s="936"/>
      <c r="Q209" s="936"/>
      <c r="R209" s="936"/>
      <c r="S209" s="936"/>
      <c r="T209" s="936"/>
      <c r="U209" s="936"/>
      <c r="V209" s="936"/>
      <c r="W209" s="936"/>
      <c r="X209" s="936"/>
      <c r="Y209" s="936"/>
      <c r="Z209" s="936"/>
      <c r="AA209" s="936"/>
      <c r="AB209" s="936"/>
      <c r="AC209" s="936"/>
    </row>
    <row r="210" spans="1:29" x14ac:dyDescent="0.3">
      <c r="A210" s="929"/>
      <c r="B210" s="463" t="s">
        <v>960</v>
      </c>
      <c r="C210" s="579">
        <v>19145</v>
      </c>
      <c r="D210" s="579">
        <v>16135</v>
      </c>
      <c r="E210" s="579">
        <v>35280</v>
      </c>
      <c r="F210" s="579">
        <v>9</v>
      </c>
      <c r="G210" s="579">
        <v>56</v>
      </c>
      <c r="H210" s="579">
        <v>65</v>
      </c>
      <c r="I210" s="579">
        <v>384001.35828334122</v>
      </c>
      <c r="J210" s="579">
        <v>491872.72634458862</v>
      </c>
      <c r="K210" s="579">
        <v>875874.08462792984</v>
      </c>
      <c r="L210" s="579">
        <v>2938158.1374911428</v>
      </c>
      <c r="M210" s="579">
        <v>2814870.9719692725</v>
      </c>
      <c r="N210" s="579">
        <v>5753029.1094604153</v>
      </c>
      <c r="O210" s="579">
        <v>11271</v>
      </c>
      <c r="P210" s="579">
        <v>8059</v>
      </c>
      <c r="Q210" s="579">
        <v>19330</v>
      </c>
      <c r="R210" s="579">
        <v>280017</v>
      </c>
      <c r="S210" s="579">
        <v>192501</v>
      </c>
      <c r="T210" s="579">
        <v>472518</v>
      </c>
      <c r="U210" s="579">
        <v>17949</v>
      </c>
      <c r="V210" s="579">
        <v>16673</v>
      </c>
      <c r="W210" s="579">
        <v>34622</v>
      </c>
      <c r="X210" s="579">
        <v>48801</v>
      </c>
      <c r="Y210" s="579">
        <v>29579</v>
      </c>
      <c r="Z210" s="579">
        <v>78380</v>
      </c>
      <c r="AA210" s="579">
        <v>3699351.4957744842</v>
      </c>
      <c r="AB210" s="579">
        <v>3569746.6983138612</v>
      </c>
      <c r="AC210" s="579">
        <v>7269098.1940883454</v>
      </c>
    </row>
    <row r="211" spans="1:29" x14ac:dyDescent="0.3">
      <c r="A211" s="929"/>
      <c r="B211" s="464" t="s">
        <v>959</v>
      </c>
      <c r="C211" s="580">
        <v>14232</v>
      </c>
      <c r="D211" s="580">
        <v>10820</v>
      </c>
      <c r="E211" s="580">
        <v>25052</v>
      </c>
      <c r="F211" s="580">
        <v>19</v>
      </c>
      <c r="G211" s="580">
        <v>67</v>
      </c>
      <c r="H211" s="580">
        <v>86</v>
      </c>
      <c r="I211" s="580">
        <v>384775.43753676751</v>
      </c>
      <c r="J211" s="580">
        <v>478525.19088520581</v>
      </c>
      <c r="K211" s="580">
        <v>863300.62842197332</v>
      </c>
      <c r="L211" s="580">
        <v>3041322.0317932921</v>
      </c>
      <c r="M211" s="580">
        <v>2864997.9604184041</v>
      </c>
      <c r="N211" s="580">
        <v>5906319.9922116958</v>
      </c>
      <c r="O211" s="580">
        <v>12042</v>
      </c>
      <c r="P211" s="580">
        <v>8295</v>
      </c>
      <c r="Q211" s="580">
        <v>20337</v>
      </c>
      <c r="R211" s="580">
        <v>217314</v>
      </c>
      <c r="S211" s="580">
        <v>116732</v>
      </c>
      <c r="T211" s="580">
        <v>334046</v>
      </c>
      <c r="U211" s="580">
        <v>12275</v>
      </c>
      <c r="V211" s="580">
        <v>9096</v>
      </c>
      <c r="W211" s="580">
        <v>21371</v>
      </c>
      <c r="X211" s="580">
        <v>46821</v>
      </c>
      <c r="Y211" s="580">
        <v>27619</v>
      </c>
      <c r="Z211" s="580">
        <v>74440</v>
      </c>
      <c r="AA211" s="580">
        <v>3728800.4693300598</v>
      </c>
      <c r="AB211" s="580">
        <v>3516152.1513036089</v>
      </c>
      <c r="AC211" s="580">
        <v>7244952.6206336692</v>
      </c>
    </row>
    <row r="212" spans="1:29" x14ac:dyDescent="0.3">
      <c r="A212" s="929"/>
      <c r="B212" s="464" t="s">
        <v>958</v>
      </c>
      <c r="C212" s="580">
        <v>11988</v>
      </c>
      <c r="D212" s="580">
        <v>9725</v>
      </c>
      <c r="E212" s="580">
        <v>21713</v>
      </c>
      <c r="F212" s="580">
        <v>15</v>
      </c>
      <c r="G212" s="580">
        <v>62</v>
      </c>
      <c r="H212" s="580">
        <v>77</v>
      </c>
      <c r="I212" s="580">
        <v>348726</v>
      </c>
      <c r="J212" s="580">
        <v>411389</v>
      </c>
      <c r="K212" s="580">
        <v>760115</v>
      </c>
      <c r="L212" s="580">
        <v>3033329</v>
      </c>
      <c r="M212" s="580">
        <v>2745769</v>
      </c>
      <c r="N212" s="580">
        <v>5779098</v>
      </c>
      <c r="O212" s="580">
        <v>17801</v>
      </c>
      <c r="P212" s="580">
        <v>9432</v>
      </c>
      <c r="Q212" s="580">
        <v>27233</v>
      </c>
      <c r="R212" s="580">
        <v>217394</v>
      </c>
      <c r="S212" s="580">
        <v>103605</v>
      </c>
      <c r="T212" s="580">
        <v>320999</v>
      </c>
      <c r="U212" s="580">
        <v>3435</v>
      </c>
      <c r="V212" s="580">
        <v>2854</v>
      </c>
      <c r="W212" s="580">
        <v>6289</v>
      </c>
      <c r="X212" s="580">
        <v>36630</v>
      </c>
      <c r="Y212" s="580">
        <v>21270</v>
      </c>
      <c r="Z212" s="580">
        <v>57900</v>
      </c>
      <c r="AA212" s="580">
        <v>3669318</v>
      </c>
      <c r="AB212" s="580">
        <v>3304106</v>
      </c>
      <c r="AC212" s="580">
        <v>6973424</v>
      </c>
    </row>
    <row r="213" spans="1:29" x14ac:dyDescent="0.3">
      <c r="A213" s="929"/>
      <c r="B213" s="464" t="s">
        <v>957</v>
      </c>
      <c r="C213" s="580">
        <v>11560</v>
      </c>
      <c r="D213" s="580">
        <v>8246</v>
      </c>
      <c r="E213" s="580">
        <v>19806</v>
      </c>
      <c r="F213" s="580">
        <v>234</v>
      </c>
      <c r="G213" s="580">
        <v>381</v>
      </c>
      <c r="H213" s="580">
        <v>615</v>
      </c>
      <c r="I213" s="580">
        <v>278090</v>
      </c>
      <c r="J213" s="580">
        <v>353448</v>
      </c>
      <c r="K213" s="580">
        <v>631538</v>
      </c>
      <c r="L213" s="580">
        <v>2820340</v>
      </c>
      <c r="M213" s="580">
        <v>2727844</v>
      </c>
      <c r="N213" s="580">
        <v>5548184</v>
      </c>
      <c r="O213" s="580">
        <v>30530</v>
      </c>
      <c r="P213" s="580">
        <v>23307</v>
      </c>
      <c r="Q213" s="580">
        <v>53837</v>
      </c>
      <c r="R213" s="580">
        <v>215020</v>
      </c>
      <c r="S213" s="580">
        <v>112030</v>
      </c>
      <c r="T213" s="580">
        <v>327050</v>
      </c>
      <c r="U213" s="580">
        <v>8672</v>
      </c>
      <c r="V213" s="580">
        <v>9459</v>
      </c>
      <c r="W213" s="580">
        <v>18131</v>
      </c>
      <c r="X213" s="580">
        <v>32566</v>
      </c>
      <c r="Y213" s="580">
        <v>19340</v>
      </c>
      <c r="Z213" s="580">
        <v>51906</v>
      </c>
      <c r="AA213" s="580">
        <v>3397012</v>
      </c>
      <c r="AB213" s="580">
        <v>3254055</v>
      </c>
      <c r="AC213" s="580">
        <v>6651067</v>
      </c>
    </row>
    <row r="214" spans="1:29" x14ac:dyDescent="0.3">
      <c r="A214" s="929"/>
      <c r="B214" s="464" t="s">
        <v>956</v>
      </c>
      <c r="C214" s="580">
        <v>13693</v>
      </c>
      <c r="D214" s="580">
        <v>10071</v>
      </c>
      <c r="E214" s="580">
        <v>23764</v>
      </c>
      <c r="F214" s="580">
        <v>217</v>
      </c>
      <c r="G214" s="580">
        <v>320</v>
      </c>
      <c r="H214" s="580">
        <v>537</v>
      </c>
      <c r="I214" s="580">
        <v>237350</v>
      </c>
      <c r="J214" s="580">
        <v>331801</v>
      </c>
      <c r="K214" s="580">
        <v>569151</v>
      </c>
      <c r="L214" s="580">
        <v>2636040</v>
      </c>
      <c r="M214" s="580">
        <v>2765496</v>
      </c>
      <c r="N214" s="580">
        <v>5401536</v>
      </c>
      <c r="O214" s="580">
        <v>13318</v>
      </c>
      <c r="P214" s="580">
        <v>11152</v>
      </c>
      <c r="Q214" s="580">
        <v>24470</v>
      </c>
      <c r="R214" s="580">
        <v>198868</v>
      </c>
      <c r="S214" s="580">
        <v>103325</v>
      </c>
      <c r="T214" s="580">
        <v>302193</v>
      </c>
      <c r="U214" s="580">
        <v>10660</v>
      </c>
      <c r="V214" s="580">
        <v>14266</v>
      </c>
      <c r="W214" s="580">
        <v>24926</v>
      </c>
      <c r="X214" s="580">
        <v>26504</v>
      </c>
      <c r="Y214" s="580">
        <v>15133</v>
      </c>
      <c r="Z214" s="580">
        <v>41637</v>
      </c>
      <c r="AA214" s="580">
        <v>3136650</v>
      </c>
      <c r="AB214" s="580">
        <v>3251564</v>
      </c>
      <c r="AC214" s="580">
        <v>6388214</v>
      </c>
    </row>
    <row r="215" spans="1:29" ht="14.5" x14ac:dyDescent="0.35">
      <c r="A215" s="929">
        <v>34</v>
      </c>
      <c r="B215" s="935" t="s">
        <v>44</v>
      </c>
      <c r="C215" s="936"/>
      <c r="D215" s="936"/>
      <c r="E215" s="936"/>
      <c r="F215" s="936"/>
      <c r="G215" s="936"/>
      <c r="H215" s="936"/>
      <c r="I215" s="936"/>
      <c r="J215" s="936"/>
      <c r="K215" s="936"/>
      <c r="L215" s="936"/>
      <c r="M215" s="936"/>
      <c r="N215" s="936"/>
      <c r="O215" s="936"/>
      <c r="P215" s="936"/>
      <c r="Q215" s="936"/>
      <c r="R215" s="936"/>
      <c r="S215" s="936"/>
      <c r="T215" s="936"/>
      <c r="U215" s="936"/>
      <c r="V215" s="936"/>
      <c r="W215" s="936"/>
      <c r="X215" s="936"/>
      <c r="Y215" s="936"/>
      <c r="Z215" s="936"/>
      <c r="AA215" s="936"/>
      <c r="AB215" s="936"/>
      <c r="AC215" s="936"/>
    </row>
    <row r="216" spans="1:29" x14ac:dyDescent="0.3">
      <c r="A216" s="929"/>
      <c r="B216" s="463" t="s">
        <v>960</v>
      </c>
      <c r="C216" s="579">
        <v>4897</v>
      </c>
      <c r="D216" s="579">
        <v>4248</v>
      </c>
      <c r="E216" s="579">
        <v>9145</v>
      </c>
      <c r="F216" s="579"/>
      <c r="G216" s="579"/>
      <c r="H216" s="579"/>
      <c r="I216" s="579">
        <v>50967.42957321521</v>
      </c>
      <c r="J216" s="579">
        <v>66736.726541641779</v>
      </c>
      <c r="K216" s="579">
        <v>117704.15611485699</v>
      </c>
      <c r="L216" s="579">
        <v>234145.33939728915</v>
      </c>
      <c r="M216" s="579">
        <v>241240.44388426642</v>
      </c>
      <c r="N216" s="579">
        <v>475385.78328155557</v>
      </c>
      <c r="O216" s="579">
        <v>397</v>
      </c>
      <c r="P216" s="579">
        <v>375</v>
      </c>
      <c r="Q216" s="579">
        <v>772</v>
      </c>
      <c r="R216" s="579">
        <v>22814</v>
      </c>
      <c r="S216" s="579">
        <v>8572</v>
      </c>
      <c r="T216" s="579">
        <v>31386</v>
      </c>
      <c r="U216" s="579">
        <v>270</v>
      </c>
      <c r="V216" s="579">
        <v>111</v>
      </c>
      <c r="W216" s="579">
        <v>381</v>
      </c>
      <c r="X216" s="579">
        <v>3851</v>
      </c>
      <c r="Y216" s="579">
        <v>2670</v>
      </c>
      <c r="Z216" s="579">
        <v>6521</v>
      </c>
      <c r="AA216" s="579">
        <v>317341.7689705044</v>
      </c>
      <c r="AB216" s="579">
        <v>323953.17042590817</v>
      </c>
      <c r="AC216" s="579">
        <v>641294.93939641258</v>
      </c>
    </row>
    <row r="217" spans="1:29" x14ac:dyDescent="0.3">
      <c r="A217" s="929"/>
      <c r="B217" s="464" t="s">
        <v>959</v>
      </c>
      <c r="C217" s="580">
        <v>4367</v>
      </c>
      <c r="D217" s="580">
        <v>2919</v>
      </c>
      <c r="E217" s="580">
        <v>7286</v>
      </c>
      <c r="F217" s="580"/>
      <c r="G217" s="580"/>
      <c r="H217" s="580"/>
      <c r="I217" s="580">
        <v>44361.322300952699</v>
      </c>
      <c r="J217" s="580">
        <v>60690.591526825112</v>
      </c>
      <c r="K217" s="580">
        <v>105051.9138277778</v>
      </c>
      <c r="L217" s="580">
        <v>216847.233563972</v>
      </c>
      <c r="M217" s="580">
        <v>214264.78354232531</v>
      </c>
      <c r="N217" s="580">
        <v>431112.01710629731</v>
      </c>
      <c r="O217" s="580">
        <v>474</v>
      </c>
      <c r="P217" s="580">
        <v>420</v>
      </c>
      <c r="Q217" s="580">
        <v>894</v>
      </c>
      <c r="R217" s="580">
        <v>20974</v>
      </c>
      <c r="S217" s="580">
        <v>7987</v>
      </c>
      <c r="T217" s="580">
        <v>28961</v>
      </c>
      <c r="U217" s="580">
        <v>239</v>
      </c>
      <c r="V217" s="580">
        <v>98</v>
      </c>
      <c r="W217" s="580">
        <v>337</v>
      </c>
      <c r="X217" s="580">
        <v>3465</v>
      </c>
      <c r="Y217" s="580">
        <v>2308</v>
      </c>
      <c r="Z217" s="580">
        <v>5773</v>
      </c>
      <c r="AA217" s="580">
        <v>290727.55586492468</v>
      </c>
      <c r="AB217" s="580">
        <v>288687.37506915041</v>
      </c>
      <c r="AC217" s="580">
        <v>579414.93093407503</v>
      </c>
    </row>
    <row r="218" spans="1:29" x14ac:dyDescent="0.3">
      <c r="A218" s="929"/>
      <c r="B218" s="464" t="s">
        <v>958</v>
      </c>
      <c r="C218" s="580">
        <v>2573</v>
      </c>
      <c r="D218" s="580">
        <v>1900</v>
      </c>
      <c r="E218" s="580">
        <v>4473</v>
      </c>
      <c r="F218" s="580">
        <v>5</v>
      </c>
      <c r="G218" s="580"/>
      <c r="H218" s="580">
        <v>5</v>
      </c>
      <c r="I218" s="580">
        <v>41134</v>
      </c>
      <c r="J218" s="580">
        <v>53023</v>
      </c>
      <c r="K218" s="580">
        <v>94157</v>
      </c>
      <c r="L218" s="580">
        <v>217701</v>
      </c>
      <c r="M218" s="580">
        <v>216121</v>
      </c>
      <c r="N218" s="580">
        <v>433822</v>
      </c>
      <c r="O218" s="580">
        <v>560</v>
      </c>
      <c r="P218" s="580">
        <v>419</v>
      </c>
      <c r="Q218" s="580">
        <v>979</v>
      </c>
      <c r="R218" s="580">
        <v>20403</v>
      </c>
      <c r="S218" s="580">
        <v>7638</v>
      </c>
      <c r="T218" s="580">
        <v>28041</v>
      </c>
      <c r="U218" s="580">
        <v>218</v>
      </c>
      <c r="V218" s="580">
        <v>64</v>
      </c>
      <c r="W218" s="580">
        <v>282</v>
      </c>
      <c r="X218" s="580">
        <v>3555</v>
      </c>
      <c r="Y218" s="580">
        <v>2390</v>
      </c>
      <c r="Z218" s="580">
        <v>5945</v>
      </c>
      <c r="AA218" s="580">
        <v>286149</v>
      </c>
      <c r="AB218" s="580">
        <v>281555</v>
      </c>
      <c r="AC218" s="580">
        <v>567704</v>
      </c>
    </row>
    <row r="219" spans="1:29" x14ac:dyDescent="0.3">
      <c r="A219" s="929"/>
      <c r="B219" s="464" t="s">
        <v>957</v>
      </c>
      <c r="C219" s="580">
        <v>4099</v>
      </c>
      <c r="D219" s="580">
        <v>2533</v>
      </c>
      <c r="E219" s="580">
        <v>6632</v>
      </c>
      <c r="F219" s="580">
        <v>4</v>
      </c>
      <c r="G219" s="580">
        <v>1</v>
      </c>
      <c r="H219" s="580">
        <v>5</v>
      </c>
      <c r="I219" s="580">
        <v>46493</v>
      </c>
      <c r="J219" s="580">
        <v>61555</v>
      </c>
      <c r="K219" s="580">
        <v>108048</v>
      </c>
      <c r="L219" s="580">
        <v>227696</v>
      </c>
      <c r="M219" s="580">
        <v>239419</v>
      </c>
      <c r="N219" s="580">
        <v>467115</v>
      </c>
      <c r="O219" s="580">
        <v>1231</v>
      </c>
      <c r="P219" s="580">
        <v>1122</v>
      </c>
      <c r="Q219" s="580">
        <v>2353</v>
      </c>
      <c r="R219" s="580">
        <v>20926</v>
      </c>
      <c r="S219" s="580">
        <v>7946</v>
      </c>
      <c r="T219" s="580">
        <v>28872</v>
      </c>
      <c r="U219" s="580">
        <v>450</v>
      </c>
      <c r="V219" s="580">
        <v>176</v>
      </c>
      <c r="W219" s="580">
        <v>626</v>
      </c>
      <c r="X219" s="580">
        <v>3951</v>
      </c>
      <c r="Y219" s="580">
        <v>2549</v>
      </c>
      <c r="Z219" s="580">
        <v>6500</v>
      </c>
      <c r="AA219" s="580">
        <v>304850</v>
      </c>
      <c r="AB219" s="580">
        <v>315301</v>
      </c>
      <c r="AC219" s="580">
        <v>620151</v>
      </c>
    </row>
    <row r="220" spans="1:29" x14ac:dyDescent="0.3">
      <c r="A220" s="929"/>
      <c r="B220" s="464" t="s">
        <v>956</v>
      </c>
      <c r="C220" s="580">
        <v>3449</v>
      </c>
      <c r="D220" s="580">
        <v>2019</v>
      </c>
      <c r="E220" s="580">
        <v>5468</v>
      </c>
      <c r="F220" s="580">
        <v>21</v>
      </c>
      <c r="G220" s="580">
        <v>13</v>
      </c>
      <c r="H220" s="580">
        <v>34</v>
      </c>
      <c r="I220" s="580">
        <v>34137</v>
      </c>
      <c r="J220" s="580">
        <v>45833</v>
      </c>
      <c r="K220" s="580">
        <v>79970</v>
      </c>
      <c r="L220" s="580">
        <v>184770</v>
      </c>
      <c r="M220" s="580">
        <v>185154</v>
      </c>
      <c r="N220" s="580">
        <v>369924</v>
      </c>
      <c r="O220" s="580">
        <v>1096</v>
      </c>
      <c r="P220" s="580">
        <v>1078</v>
      </c>
      <c r="Q220" s="580">
        <v>2174</v>
      </c>
      <c r="R220" s="580">
        <v>21760</v>
      </c>
      <c r="S220" s="580">
        <v>7924</v>
      </c>
      <c r="T220" s="580">
        <v>29684</v>
      </c>
      <c r="U220" s="580">
        <v>294</v>
      </c>
      <c r="V220" s="580">
        <v>79</v>
      </c>
      <c r="W220" s="580">
        <v>373</v>
      </c>
      <c r="X220" s="580">
        <v>3366</v>
      </c>
      <c r="Y220" s="580">
        <v>2286</v>
      </c>
      <c r="Z220" s="580">
        <v>5652</v>
      </c>
      <c r="AA220" s="580">
        <v>248893</v>
      </c>
      <c r="AB220" s="580">
        <v>244386</v>
      </c>
      <c r="AC220" s="580">
        <v>493279</v>
      </c>
    </row>
    <row r="221" spans="1:29" ht="14.5" x14ac:dyDescent="0.35">
      <c r="A221" s="929">
        <v>35</v>
      </c>
      <c r="B221" s="935" t="s">
        <v>45</v>
      </c>
      <c r="C221" s="936"/>
      <c r="D221" s="936"/>
      <c r="E221" s="936"/>
      <c r="F221" s="936"/>
      <c r="G221" s="936"/>
      <c r="H221" s="936"/>
      <c r="I221" s="936"/>
      <c r="J221" s="936"/>
      <c r="K221" s="936"/>
      <c r="L221" s="936"/>
      <c r="M221" s="936"/>
      <c r="N221" s="936"/>
      <c r="O221" s="936"/>
      <c r="P221" s="936"/>
      <c r="Q221" s="936"/>
      <c r="R221" s="936"/>
      <c r="S221" s="936"/>
      <c r="T221" s="936"/>
      <c r="U221" s="936"/>
      <c r="V221" s="936"/>
      <c r="W221" s="936"/>
      <c r="X221" s="936"/>
      <c r="Y221" s="936"/>
      <c r="Z221" s="936"/>
      <c r="AA221" s="936"/>
      <c r="AB221" s="936"/>
      <c r="AC221" s="936"/>
    </row>
    <row r="222" spans="1:29" x14ac:dyDescent="0.3">
      <c r="A222" s="929"/>
      <c r="B222" s="463" t="s">
        <v>960</v>
      </c>
      <c r="C222" s="579">
        <v>10214</v>
      </c>
      <c r="D222" s="579">
        <v>6765</v>
      </c>
      <c r="E222" s="579">
        <v>16979</v>
      </c>
      <c r="F222" s="579">
        <v>77</v>
      </c>
      <c r="G222" s="579">
        <v>53</v>
      </c>
      <c r="H222" s="579">
        <v>130</v>
      </c>
      <c r="I222" s="579">
        <v>103879.44091226233</v>
      </c>
      <c r="J222" s="579">
        <v>152849.22654369441</v>
      </c>
      <c r="K222" s="579">
        <v>256728.66745595675</v>
      </c>
      <c r="L222" s="579">
        <v>949842.53030699457</v>
      </c>
      <c r="M222" s="579">
        <v>1001242.5120966336</v>
      </c>
      <c r="N222" s="579">
        <v>1951085.0424036281</v>
      </c>
      <c r="O222" s="579">
        <v>2559</v>
      </c>
      <c r="P222" s="579">
        <v>1955</v>
      </c>
      <c r="Q222" s="579">
        <v>4514</v>
      </c>
      <c r="R222" s="579">
        <v>119548</v>
      </c>
      <c r="S222" s="579">
        <v>80489</v>
      </c>
      <c r="T222" s="579">
        <v>200037</v>
      </c>
      <c r="U222" s="579">
        <v>3421</v>
      </c>
      <c r="V222" s="579">
        <v>3518</v>
      </c>
      <c r="W222" s="579">
        <v>6939</v>
      </c>
      <c r="X222" s="579">
        <v>9945</v>
      </c>
      <c r="Y222" s="579">
        <v>7122</v>
      </c>
      <c r="Z222" s="579">
        <v>17067</v>
      </c>
      <c r="AA222" s="579">
        <v>1199485.971219257</v>
      </c>
      <c r="AB222" s="579">
        <v>1253993.7386403279</v>
      </c>
      <c r="AC222" s="579">
        <v>2453479.7098595849</v>
      </c>
    </row>
    <row r="223" spans="1:29" x14ac:dyDescent="0.3">
      <c r="A223" s="929"/>
      <c r="B223" s="464" t="s">
        <v>959</v>
      </c>
      <c r="C223" s="580">
        <v>7931</v>
      </c>
      <c r="D223" s="580">
        <v>4640</v>
      </c>
      <c r="E223" s="580">
        <v>12571</v>
      </c>
      <c r="F223" s="580">
        <v>313</v>
      </c>
      <c r="G223" s="580">
        <v>262</v>
      </c>
      <c r="H223" s="580">
        <v>575</v>
      </c>
      <c r="I223" s="580">
        <v>130707.5</v>
      </c>
      <c r="J223" s="580">
        <v>186439.66666666669</v>
      </c>
      <c r="K223" s="580">
        <v>317147.16666666669</v>
      </c>
      <c r="L223" s="580">
        <v>1086423.166666667</v>
      </c>
      <c r="M223" s="580">
        <v>1048737.166666667</v>
      </c>
      <c r="N223" s="580">
        <v>2135160.333333333</v>
      </c>
      <c r="O223" s="580">
        <v>3010</v>
      </c>
      <c r="P223" s="580">
        <v>2048</v>
      </c>
      <c r="Q223" s="580">
        <v>5058</v>
      </c>
      <c r="R223" s="580">
        <v>117229</v>
      </c>
      <c r="S223" s="580">
        <v>77824</v>
      </c>
      <c r="T223" s="580">
        <v>195053</v>
      </c>
      <c r="U223" s="580">
        <v>5265</v>
      </c>
      <c r="V223" s="580">
        <v>5237</v>
      </c>
      <c r="W223" s="580">
        <v>10502</v>
      </c>
      <c r="X223" s="580">
        <v>9922</v>
      </c>
      <c r="Y223" s="580">
        <v>6880</v>
      </c>
      <c r="Z223" s="580">
        <v>16802</v>
      </c>
      <c r="AA223" s="580">
        <v>1360800.666666667</v>
      </c>
      <c r="AB223" s="580">
        <v>1332067.833333333</v>
      </c>
      <c r="AC223" s="580">
        <v>2692868.5</v>
      </c>
    </row>
    <row r="224" spans="1:29" x14ac:dyDescent="0.3">
      <c r="A224" s="929"/>
      <c r="B224" s="464" t="s">
        <v>958</v>
      </c>
      <c r="C224" s="580">
        <v>8683</v>
      </c>
      <c r="D224" s="580">
        <v>5103</v>
      </c>
      <c r="E224" s="580">
        <v>13786</v>
      </c>
      <c r="F224" s="580">
        <v>688</v>
      </c>
      <c r="G224" s="580">
        <v>614</v>
      </c>
      <c r="H224" s="580">
        <v>1302</v>
      </c>
      <c r="I224" s="580">
        <v>126244</v>
      </c>
      <c r="J224" s="580">
        <v>177120</v>
      </c>
      <c r="K224" s="580">
        <v>303364</v>
      </c>
      <c r="L224" s="580">
        <v>1106488</v>
      </c>
      <c r="M224" s="580">
        <v>1080500</v>
      </c>
      <c r="N224" s="580">
        <v>2186988</v>
      </c>
      <c r="O224" s="580">
        <v>3130</v>
      </c>
      <c r="P224" s="580">
        <v>2013</v>
      </c>
      <c r="Q224" s="580">
        <v>5143</v>
      </c>
      <c r="R224" s="580">
        <v>117513</v>
      </c>
      <c r="S224" s="580">
        <v>72433</v>
      </c>
      <c r="T224" s="580">
        <v>189946</v>
      </c>
      <c r="U224" s="580">
        <v>3291</v>
      </c>
      <c r="V224" s="580">
        <v>2115</v>
      </c>
      <c r="W224" s="580">
        <v>5406</v>
      </c>
      <c r="X224" s="580">
        <v>9590</v>
      </c>
      <c r="Y224" s="580">
        <v>6626</v>
      </c>
      <c r="Z224" s="580">
        <v>16216</v>
      </c>
      <c r="AA224" s="580">
        <v>1375627</v>
      </c>
      <c r="AB224" s="580">
        <v>1346524</v>
      </c>
      <c r="AC224" s="580">
        <v>2722151</v>
      </c>
    </row>
    <row r="225" spans="1:29" x14ac:dyDescent="0.3">
      <c r="A225" s="929"/>
      <c r="B225" s="464" t="s">
        <v>957</v>
      </c>
      <c r="C225" s="580">
        <v>8757</v>
      </c>
      <c r="D225" s="580">
        <v>5173</v>
      </c>
      <c r="E225" s="580">
        <v>13930</v>
      </c>
      <c r="F225" s="580">
        <v>1003</v>
      </c>
      <c r="G225" s="580">
        <v>963</v>
      </c>
      <c r="H225" s="580">
        <v>1966</v>
      </c>
      <c r="I225" s="580">
        <v>79405</v>
      </c>
      <c r="J225" s="580">
        <v>108051</v>
      </c>
      <c r="K225" s="580">
        <v>187456</v>
      </c>
      <c r="L225" s="580">
        <v>863390</v>
      </c>
      <c r="M225" s="580">
        <v>929778</v>
      </c>
      <c r="N225" s="580">
        <v>1793168</v>
      </c>
      <c r="O225" s="580">
        <v>3440</v>
      </c>
      <c r="P225" s="580">
        <v>2372</v>
      </c>
      <c r="Q225" s="580">
        <v>5812</v>
      </c>
      <c r="R225" s="580">
        <v>116868</v>
      </c>
      <c r="S225" s="580">
        <v>74479</v>
      </c>
      <c r="T225" s="580">
        <v>191347</v>
      </c>
      <c r="U225" s="580">
        <v>3381</v>
      </c>
      <c r="V225" s="580">
        <v>3119</v>
      </c>
      <c r="W225" s="580">
        <v>6500</v>
      </c>
      <c r="X225" s="580">
        <v>9939</v>
      </c>
      <c r="Y225" s="580">
        <v>5418</v>
      </c>
      <c r="Z225" s="580">
        <v>15357</v>
      </c>
      <c r="AA225" s="580">
        <v>1086183</v>
      </c>
      <c r="AB225" s="580">
        <v>1129353</v>
      </c>
      <c r="AC225" s="580">
        <v>2215536</v>
      </c>
    </row>
    <row r="226" spans="1:29" x14ac:dyDescent="0.3">
      <c r="A226" s="929"/>
      <c r="B226" s="464" t="s">
        <v>956</v>
      </c>
      <c r="C226" s="580">
        <v>8063</v>
      </c>
      <c r="D226" s="580">
        <v>4773</v>
      </c>
      <c r="E226" s="580">
        <v>12836</v>
      </c>
      <c r="F226" s="580">
        <v>1195</v>
      </c>
      <c r="G226" s="580">
        <v>983</v>
      </c>
      <c r="H226" s="580">
        <v>2178</v>
      </c>
      <c r="I226" s="580">
        <v>62665</v>
      </c>
      <c r="J226" s="580">
        <v>90360</v>
      </c>
      <c r="K226" s="580">
        <v>153025</v>
      </c>
      <c r="L226" s="580">
        <v>865130</v>
      </c>
      <c r="M226" s="580">
        <v>924953</v>
      </c>
      <c r="N226" s="580">
        <v>1790083</v>
      </c>
      <c r="O226" s="580">
        <v>3390</v>
      </c>
      <c r="P226" s="580">
        <v>2129</v>
      </c>
      <c r="Q226" s="580">
        <v>5519</v>
      </c>
      <c r="R226" s="580">
        <v>114991</v>
      </c>
      <c r="S226" s="580">
        <v>58776</v>
      </c>
      <c r="T226" s="580">
        <v>173767</v>
      </c>
      <c r="U226" s="580">
        <v>4859</v>
      </c>
      <c r="V226" s="580">
        <v>3695</v>
      </c>
      <c r="W226" s="580">
        <v>8554</v>
      </c>
      <c r="X226" s="580">
        <v>9336</v>
      </c>
      <c r="Y226" s="580">
        <v>5595</v>
      </c>
      <c r="Z226" s="580">
        <v>14931</v>
      </c>
      <c r="AA226" s="580">
        <v>1069629</v>
      </c>
      <c r="AB226" s="580">
        <v>1091264</v>
      </c>
      <c r="AC226" s="580">
        <v>2160893</v>
      </c>
    </row>
  </sheetData>
  <mergeCells count="88">
    <mergeCell ref="L1:T1"/>
    <mergeCell ref="U1:AC1"/>
    <mergeCell ref="X2:Z2"/>
    <mergeCell ref="AA2:AC2"/>
    <mergeCell ref="B2:B3"/>
    <mergeCell ref="C2:E2"/>
    <mergeCell ref="F2:H2"/>
    <mergeCell ref="I2:K2"/>
    <mergeCell ref="C1:K1"/>
    <mergeCell ref="A35:A40"/>
    <mergeCell ref="L2:N2"/>
    <mergeCell ref="O2:Q2"/>
    <mergeCell ref="R2:T2"/>
    <mergeCell ref="U2:W2"/>
    <mergeCell ref="A5:A10"/>
    <mergeCell ref="A11:A16"/>
    <mergeCell ref="A17:A22"/>
    <mergeCell ref="A23:A28"/>
    <mergeCell ref="A29:A34"/>
    <mergeCell ref="B5:AC5"/>
    <mergeCell ref="B11:AC11"/>
    <mergeCell ref="B17:AC17"/>
    <mergeCell ref="B23:AC23"/>
    <mergeCell ref="B29:AC29"/>
    <mergeCell ref="A2:A3"/>
    <mergeCell ref="A107:A112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79:A184"/>
    <mergeCell ref="A113:A118"/>
    <mergeCell ref="A119:A124"/>
    <mergeCell ref="A125:A130"/>
    <mergeCell ref="A131:A136"/>
    <mergeCell ref="A137:A142"/>
    <mergeCell ref="A143:A148"/>
    <mergeCell ref="A149:A154"/>
    <mergeCell ref="A155:A160"/>
    <mergeCell ref="A161:A166"/>
    <mergeCell ref="A167:A172"/>
    <mergeCell ref="A173:A178"/>
    <mergeCell ref="A221:A226"/>
    <mergeCell ref="A185:A190"/>
    <mergeCell ref="A191:A196"/>
    <mergeCell ref="A197:A202"/>
    <mergeCell ref="A203:A208"/>
    <mergeCell ref="A209:A214"/>
    <mergeCell ref="A215:A220"/>
    <mergeCell ref="B35:AC35"/>
    <mergeCell ref="B41:AC41"/>
    <mergeCell ref="B47:AC47"/>
    <mergeCell ref="B53:AC53"/>
    <mergeCell ref="B59:AC59"/>
    <mergeCell ref="B65:AC65"/>
    <mergeCell ref="B71:AC71"/>
    <mergeCell ref="B77:AC77"/>
    <mergeCell ref="B83:AC83"/>
    <mergeCell ref="B89:AC89"/>
    <mergeCell ref="B95:AC95"/>
    <mergeCell ref="B101:AC101"/>
    <mergeCell ref="B107:AC107"/>
    <mergeCell ref="B113:AC113"/>
    <mergeCell ref="B119:AC119"/>
    <mergeCell ref="B125:AC125"/>
    <mergeCell ref="B131:AC131"/>
    <mergeCell ref="B137:AC137"/>
    <mergeCell ref="B143:AC143"/>
    <mergeCell ref="B149:AC149"/>
    <mergeCell ref="B155:AC155"/>
    <mergeCell ref="B161:AC161"/>
    <mergeCell ref="B167:AC167"/>
    <mergeCell ref="B173:AC173"/>
    <mergeCell ref="B179:AC179"/>
    <mergeCell ref="B215:AC215"/>
    <mergeCell ref="B221:AC221"/>
    <mergeCell ref="B185:AC185"/>
    <mergeCell ref="B191:AC191"/>
    <mergeCell ref="B197:AC197"/>
    <mergeCell ref="B203:AC203"/>
    <mergeCell ref="B209:AC209"/>
  </mergeCells>
  <pageMargins left="0.19685039370078741" right="0.15748031496062992" top="0.39370078740157483" bottom="0.39370078740157483" header="0.31496062992125984" footer="0.19685039370078741"/>
  <pageSetup paperSize="9" scale="80" firstPageNumber="2" orientation="portrait" r:id="rId1"/>
  <headerFooter>
    <oddFooter>&amp;L&amp;"Arial,Italic"&amp;9AISHE 2023-24&amp;RT-43</oddFooter>
  </headerFooter>
  <rowBreaks count="3" manualBreakCount="3">
    <brk id="64" max="28" man="1"/>
    <brk id="124" max="28" man="1"/>
    <brk id="184" max="28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9E91-9755-4A0F-838A-1C6092ECD2DB}">
  <dimension ref="A1:AC226"/>
  <sheetViews>
    <sheetView showZeros="0" view="pageBreakPreview" zoomScale="93" zoomScaleSheetLayoutView="93" workbookViewId="0">
      <pane xSplit="2" ySplit="3" topLeftCell="X190" activePane="bottomRight" state="frozen"/>
      <selection activeCell="H18" sqref="H18"/>
      <selection pane="topRight" activeCell="H18" sqref="H18"/>
      <selection pane="bottomLeft" activeCell="H18" sqref="H18"/>
      <selection pane="bottomRight" activeCell="AK209" sqref="AK209"/>
    </sheetView>
  </sheetViews>
  <sheetFormatPr defaultColWidth="9.1796875" defaultRowHeight="14" x14ac:dyDescent="0.35"/>
  <cols>
    <col min="1" max="1" width="4.453125" style="510" bestFit="1" customWidth="1"/>
    <col min="2" max="2" width="31" style="510" customWidth="1"/>
    <col min="3" max="3" width="13" style="510" customWidth="1"/>
    <col min="4" max="5" width="10.54296875" style="510" customWidth="1"/>
    <col min="6" max="8" width="9.54296875" style="510" customWidth="1"/>
    <col min="9" max="11" width="10.54296875" style="510" customWidth="1"/>
    <col min="12" max="14" width="11.81640625" style="510" bestFit="1" customWidth="1"/>
    <col min="15" max="15" width="7.26953125" style="510" bestFit="1" customWidth="1"/>
    <col min="16" max="16" width="7.81640625" style="510" bestFit="1" customWidth="1"/>
    <col min="17" max="17" width="9" style="510" bestFit="1" customWidth="1"/>
    <col min="18" max="20" width="10.1796875" style="510" bestFit="1" customWidth="1"/>
    <col min="21" max="26" width="9.453125" style="510" customWidth="1"/>
    <col min="27" max="29" width="11.81640625" style="510" bestFit="1" customWidth="1"/>
    <col min="30" max="16384" width="9.1796875" style="510"/>
  </cols>
  <sheetData>
    <row r="1" spans="1:29" s="502" customFormat="1" ht="32.25" customHeight="1" x14ac:dyDescent="0.35">
      <c r="C1" s="947" t="s">
        <v>1022</v>
      </c>
      <c r="D1" s="947"/>
      <c r="E1" s="947"/>
      <c r="F1" s="947"/>
      <c r="G1" s="947"/>
      <c r="H1" s="947"/>
      <c r="I1" s="947"/>
      <c r="J1" s="947"/>
      <c r="K1" s="947"/>
      <c r="L1" s="947" t="str">
        <f>C1</f>
        <v>Table 44. Student Enrolment Trends at Various Levels in Regular Mode Over the Last 5 Years</v>
      </c>
      <c r="M1" s="947"/>
      <c r="N1" s="947"/>
      <c r="O1" s="947"/>
      <c r="P1" s="947"/>
      <c r="Q1" s="947"/>
      <c r="R1" s="947"/>
      <c r="S1" s="947"/>
      <c r="T1" s="947"/>
      <c r="U1" s="947" t="str">
        <f>L1</f>
        <v>Table 44. Student Enrolment Trends at Various Levels in Regular Mode Over the Last 5 Years</v>
      </c>
      <c r="V1" s="947"/>
      <c r="W1" s="947"/>
      <c r="X1" s="947"/>
      <c r="Y1" s="947"/>
      <c r="Z1" s="947"/>
      <c r="AA1" s="947"/>
      <c r="AB1" s="947"/>
      <c r="AC1" s="947"/>
    </row>
    <row r="2" spans="1:29" s="504" customFormat="1" ht="14.5" customHeight="1" x14ac:dyDescent="0.35">
      <c r="A2" s="656" t="s">
        <v>84</v>
      </c>
      <c r="B2" s="946" t="s">
        <v>1</v>
      </c>
      <c r="C2" s="945" t="s">
        <v>95</v>
      </c>
      <c r="D2" s="946"/>
      <c r="E2" s="946"/>
      <c r="F2" s="945" t="s">
        <v>96</v>
      </c>
      <c r="G2" s="946"/>
      <c r="H2" s="946"/>
      <c r="I2" s="945" t="s">
        <v>97</v>
      </c>
      <c r="J2" s="946"/>
      <c r="K2" s="946"/>
      <c r="L2" s="945" t="s">
        <v>98</v>
      </c>
      <c r="M2" s="946"/>
      <c r="N2" s="946"/>
      <c r="O2" s="945" t="s">
        <v>99</v>
      </c>
      <c r="P2" s="946"/>
      <c r="Q2" s="946"/>
      <c r="R2" s="945" t="s">
        <v>100</v>
      </c>
      <c r="S2" s="946"/>
      <c r="T2" s="946"/>
      <c r="U2" s="945" t="s">
        <v>101</v>
      </c>
      <c r="V2" s="946"/>
      <c r="W2" s="946"/>
      <c r="X2" s="945" t="s">
        <v>102</v>
      </c>
      <c r="Y2" s="946"/>
      <c r="Z2" s="946"/>
      <c r="AA2" s="945" t="s">
        <v>12</v>
      </c>
      <c r="AB2" s="946"/>
      <c r="AC2" s="946"/>
    </row>
    <row r="3" spans="1:29" s="504" customFormat="1" ht="18" customHeight="1" x14ac:dyDescent="0.35">
      <c r="A3" s="656"/>
      <c r="B3" s="946"/>
      <c r="C3" s="503" t="s">
        <v>103</v>
      </c>
      <c r="D3" s="503" t="s">
        <v>104</v>
      </c>
      <c r="E3" s="503" t="s">
        <v>965</v>
      </c>
      <c r="F3" s="503" t="s">
        <v>103</v>
      </c>
      <c r="G3" s="503" t="s">
        <v>104</v>
      </c>
      <c r="H3" s="503" t="s">
        <v>965</v>
      </c>
      <c r="I3" s="503" t="s">
        <v>103</v>
      </c>
      <c r="J3" s="503" t="s">
        <v>104</v>
      </c>
      <c r="K3" s="503" t="s">
        <v>965</v>
      </c>
      <c r="L3" s="503" t="s">
        <v>103</v>
      </c>
      <c r="M3" s="503" t="s">
        <v>104</v>
      </c>
      <c r="N3" s="503" t="s">
        <v>965</v>
      </c>
      <c r="O3" s="503" t="s">
        <v>103</v>
      </c>
      <c r="P3" s="503" t="s">
        <v>104</v>
      </c>
      <c r="Q3" s="503" t="s">
        <v>965</v>
      </c>
      <c r="R3" s="503" t="s">
        <v>103</v>
      </c>
      <c r="S3" s="503" t="s">
        <v>104</v>
      </c>
      <c r="T3" s="503" t="s">
        <v>965</v>
      </c>
      <c r="U3" s="503" t="s">
        <v>103</v>
      </c>
      <c r="V3" s="503" t="s">
        <v>104</v>
      </c>
      <c r="W3" s="503" t="s">
        <v>965</v>
      </c>
      <c r="X3" s="503" t="s">
        <v>103</v>
      </c>
      <c r="Y3" s="503" t="s">
        <v>104</v>
      </c>
      <c r="Z3" s="503" t="s">
        <v>965</v>
      </c>
      <c r="AA3" s="503" t="s">
        <v>103</v>
      </c>
      <c r="AB3" s="503" t="s">
        <v>104</v>
      </c>
      <c r="AC3" s="503" t="s">
        <v>965</v>
      </c>
    </row>
    <row r="4" spans="1:29" s="507" customFormat="1" x14ac:dyDescent="0.35">
      <c r="A4" s="505">
        <v>1</v>
      </c>
      <c r="B4" s="506">
        <v>2</v>
      </c>
      <c r="C4" s="506">
        <v>3</v>
      </c>
      <c r="D4" s="505">
        <v>4</v>
      </c>
      <c r="E4" s="506">
        <v>5</v>
      </c>
      <c r="F4" s="506">
        <v>6</v>
      </c>
      <c r="G4" s="505">
        <v>7</v>
      </c>
      <c r="H4" s="506">
        <v>8</v>
      </c>
      <c r="I4" s="506">
        <v>9</v>
      </c>
      <c r="J4" s="505">
        <v>10</v>
      </c>
      <c r="K4" s="506">
        <v>11</v>
      </c>
      <c r="L4" s="506">
        <v>12</v>
      </c>
      <c r="M4" s="505">
        <v>13</v>
      </c>
      <c r="N4" s="506">
        <v>14</v>
      </c>
      <c r="O4" s="506">
        <v>15</v>
      </c>
      <c r="P4" s="505">
        <v>16</v>
      </c>
      <c r="Q4" s="506">
        <v>17</v>
      </c>
      <c r="R4" s="506">
        <v>18</v>
      </c>
      <c r="S4" s="505">
        <v>19</v>
      </c>
      <c r="T4" s="506">
        <v>20</v>
      </c>
      <c r="U4" s="506">
        <v>21</v>
      </c>
      <c r="V4" s="505">
        <v>22</v>
      </c>
      <c r="W4" s="506">
        <v>23</v>
      </c>
      <c r="X4" s="506">
        <v>24</v>
      </c>
      <c r="Y4" s="505">
        <v>25</v>
      </c>
      <c r="Z4" s="506">
        <v>26</v>
      </c>
      <c r="AA4" s="506">
        <v>27</v>
      </c>
      <c r="AB4" s="505">
        <v>28</v>
      </c>
      <c r="AC4" s="505">
        <v>29</v>
      </c>
    </row>
    <row r="5" spans="1:29" x14ac:dyDescent="0.35">
      <c r="A5" s="655"/>
      <c r="B5" s="943" t="s">
        <v>46</v>
      </c>
      <c r="C5" s="943"/>
      <c r="D5" s="943"/>
      <c r="E5" s="943"/>
      <c r="F5" s="943"/>
      <c r="G5" s="943"/>
      <c r="H5" s="943"/>
      <c r="I5" s="943"/>
      <c r="J5" s="943"/>
      <c r="K5" s="943"/>
      <c r="L5" s="943"/>
      <c r="M5" s="943"/>
      <c r="N5" s="943"/>
      <c r="O5" s="943"/>
      <c r="P5" s="943"/>
      <c r="Q5" s="943"/>
      <c r="R5" s="943"/>
      <c r="S5" s="943"/>
      <c r="T5" s="943"/>
      <c r="U5" s="943"/>
      <c r="V5" s="943"/>
      <c r="W5" s="943"/>
      <c r="X5" s="943"/>
      <c r="Y5" s="943"/>
      <c r="Z5" s="943"/>
      <c r="AA5" s="943"/>
      <c r="AB5" s="943"/>
      <c r="AC5" s="943"/>
    </row>
    <row r="6" spans="1:29" s="502" customFormat="1" x14ac:dyDescent="0.35">
      <c r="A6" s="655"/>
      <c r="B6" s="508" t="s">
        <v>960</v>
      </c>
      <c r="C6" s="582">
        <v>172356</v>
      </c>
      <c r="D6" s="582">
        <v>171203</v>
      </c>
      <c r="E6" s="582">
        <v>343559</v>
      </c>
      <c r="F6" s="582">
        <v>668</v>
      </c>
      <c r="G6" s="582">
        <v>1418</v>
      </c>
      <c r="H6" s="582">
        <v>2086</v>
      </c>
      <c r="I6" s="582">
        <v>1752390</v>
      </c>
      <c r="J6" s="582">
        <v>2301620</v>
      </c>
      <c r="K6" s="582">
        <v>4054010</v>
      </c>
      <c r="L6" s="582">
        <v>15573557</v>
      </c>
      <c r="M6" s="582">
        <v>15663902</v>
      </c>
      <c r="N6" s="582">
        <v>31237459</v>
      </c>
      <c r="O6" s="582">
        <v>78507</v>
      </c>
      <c r="P6" s="582">
        <v>72477</v>
      </c>
      <c r="Q6" s="582">
        <v>150984</v>
      </c>
      <c r="R6" s="582">
        <v>1935444</v>
      </c>
      <c r="S6" s="582">
        <v>1259009</v>
      </c>
      <c r="T6" s="582">
        <v>3194453</v>
      </c>
      <c r="U6" s="582">
        <v>53741</v>
      </c>
      <c r="V6" s="582">
        <v>59103</v>
      </c>
      <c r="W6" s="582">
        <v>112844</v>
      </c>
      <c r="X6" s="582">
        <v>296141</v>
      </c>
      <c r="Y6" s="582">
        <v>272943</v>
      </c>
      <c r="Z6" s="582">
        <v>569084</v>
      </c>
      <c r="AA6" s="582">
        <v>19862804</v>
      </c>
      <c r="AB6" s="582">
        <v>19801675</v>
      </c>
      <c r="AC6" s="582">
        <v>39664479</v>
      </c>
    </row>
    <row r="7" spans="1:29" x14ac:dyDescent="0.35">
      <c r="A7" s="655"/>
      <c r="B7" s="509" t="s">
        <v>959</v>
      </c>
      <c r="C7" s="583">
        <v>120953</v>
      </c>
      <c r="D7" s="583">
        <v>112437</v>
      </c>
      <c r="E7" s="583">
        <v>233390</v>
      </c>
      <c r="F7" s="583">
        <v>1270</v>
      </c>
      <c r="G7" s="583">
        <v>1964</v>
      </c>
      <c r="H7" s="583">
        <v>3234</v>
      </c>
      <c r="I7" s="583">
        <v>1753126</v>
      </c>
      <c r="J7" s="583">
        <v>2269294</v>
      </c>
      <c r="K7" s="583">
        <v>4022421</v>
      </c>
      <c r="L7" s="583">
        <v>15863254</v>
      </c>
      <c r="M7" s="583">
        <v>15404651</v>
      </c>
      <c r="N7" s="583">
        <v>31267906</v>
      </c>
      <c r="O7" s="583">
        <v>84246</v>
      </c>
      <c r="P7" s="583">
        <v>75528</v>
      </c>
      <c r="Q7" s="583">
        <v>159774</v>
      </c>
      <c r="R7" s="583">
        <v>1852066</v>
      </c>
      <c r="S7" s="583">
        <v>1129499</v>
      </c>
      <c r="T7" s="583">
        <v>2981565</v>
      </c>
      <c r="U7" s="583">
        <v>51717</v>
      </c>
      <c r="V7" s="583">
        <v>59102</v>
      </c>
      <c r="W7" s="583">
        <v>110819</v>
      </c>
      <c r="X7" s="583">
        <v>284914</v>
      </c>
      <c r="Y7" s="583">
        <v>253622</v>
      </c>
      <c r="Z7" s="583">
        <v>538536</v>
      </c>
      <c r="AA7" s="583">
        <v>20011547</v>
      </c>
      <c r="AB7" s="583">
        <v>19306098</v>
      </c>
      <c r="AC7" s="583">
        <v>39317644</v>
      </c>
    </row>
    <row r="8" spans="1:29" x14ac:dyDescent="0.35">
      <c r="A8" s="655"/>
      <c r="B8" s="509" t="s">
        <v>958</v>
      </c>
      <c r="C8" s="583">
        <v>113902</v>
      </c>
      <c r="D8" s="583">
        <v>98620</v>
      </c>
      <c r="E8" s="583">
        <v>212522</v>
      </c>
      <c r="F8" s="583">
        <v>3373</v>
      </c>
      <c r="G8" s="583">
        <v>6118</v>
      </c>
      <c r="H8" s="583">
        <v>9491</v>
      </c>
      <c r="I8" s="583">
        <v>1646130</v>
      </c>
      <c r="J8" s="583">
        <v>2108957</v>
      </c>
      <c r="K8" s="583">
        <v>3755087</v>
      </c>
      <c r="L8" s="583">
        <v>15807973</v>
      </c>
      <c r="M8" s="583">
        <v>14895250</v>
      </c>
      <c r="N8" s="583">
        <v>30703223</v>
      </c>
      <c r="O8" s="583">
        <v>74052</v>
      </c>
      <c r="P8" s="583">
        <v>65255</v>
      </c>
      <c r="Q8" s="583">
        <v>139307</v>
      </c>
      <c r="R8" s="583">
        <v>1811927</v>
      </c>
      <c r="S8" s="583">
        <v>1002038</v>
      </c>
      <c r="T8" s="583">
        <v>2813965</v>
      </c>
      <c r="U8" s="583">
        <v>27509</v>
      </c>
      <c r="V8" s="583">
        <v>25635</v>
      </c>
      <c r="W8" s="583">
        <v>53144</v>
      </c>
      <c r="X8" s="583">
        <v>248416</v>
      </c>
      <c r="Y8" s="583">
        <v>211932</v>
      </c>
      <c r="Z8" s="583">
        <v>460348</v>
      </c>
      <c r="AA8" s="583">
        <v>19733282</v>
      </c>
      <c r="AB8" s="583">
        <v>18413805</v>
      </c>
      <c r="AC8" s="583">
        <v>38147087</v>
      </c>
    </row>
    <row r="9" spans="1:29" x14ac:dyDescent="0.35">
      <c r="A9" s="655"/>
      <c r="B9" s="509" t="s">
        <v>957</v>
      </c>
      <c r="C9" s="583">
        <v>116756</v>
      </c>
      <c r="D9" s="583">
        <v>95086</v>
      </c>
      <c r="E9" s="583">
        <v>211842</v>
      </c>
      <c r="F9" s="583">
        <v>6345</v>
      </c>
      <c r="G9" s="583">
        <v>10399</v>
      </c>
      <c r="H9" s="583">
        <v>16744</v>
      </c>
      <c r="I9" s="583">
        <v>1496213</v>
      </c>
      <c r="J9" s="583">
        <v>1955015</v>
      </c>
      <c r="K9" s="583">
        <v>3451228</v>
      </c>
      <c r="L9" s="583">
        <v>15009256</v>
      </c>
      <c r="M9" s="583">
        <v>14687217</v>
      </c>
      <c r="N9" s="583">
        <v>29696473</v>
      </c>
      <c r="O9" s="583">
        <v>69158</v>
      </c>
      <c r="P9" s="583">
        <v>60147</v>
      </c>
      <c r="Q9" s="583">
        <v>129305</v>
      </c>
      <c r="R9" s="583">
        <v>1797136</v>
      </c>
      <c r="S9" s="583">
        <v>1021519</v>
      </c>
      <c r="T9" s="583">
        <v>2818655</v>
      </c>
      <c r="U9" s="583">
        <v>52362</v>
      </c>
      <c r="V9" s="583">
        <v>47042</v>
      </c>
      <c r="W9" s="583">
        <v>99404</v>
      </c>
      <c r="X9" s="583">
        <v>211932</v>
      </c>
      <c r="Y9" s="583">
        <v>173256</v>
      </c>
      <c r="Z9" s="583">
        <v>385188</v>
      </c>
      <c r="AA9" s="583">
        <v>18759158</v>
      </c>
      <c r="AB9" s="583">
        <v>18049681</v>
      </c>
      <c r="AC9" s="583">
        <v>36808839</v>
      </c>
    </row>
    <row r="10" spans="1:29" x14ac:dyDescent="0.35">
      <c r="A10" s="655"/>
      <c r="B10" s="509" t="s">
        <v>956</v>
      </c>
      <c r="C10" s="584">
        <v>111400</v>
      </c>
      <c r="D10" s="584">
        <v>91049</v>
      </c>
      <c r="E10" s="584">
        <v>202449</v>
      </c>
      <c r="F10" s="584">
        <v>9010</v>
      </c>
      <c r="G10" s="584">
        <v>14855</v>
      </c>
      <c r="H10" s="584">
        <v>23865</v>
      </c>
      <c r="I10" s="584">
        <v>1355452</v>
      </c>
      <c r="J10" s="584">
        <v>1835637</v>
      </c>
      <c r="K10" s="584">
        <v>3191089</v>
      </c>
      <c r="L10" s="584">
        <v>13817639</v>
      </c>
      <c r="M10" s="584">
        <v>13911801</v>
      </c>
      <c r="N10" s="584">
        <v>27729440</v>
      </c>
      <c r="O10" s="584">
        <v>65483</v>
      </c>
      <c r="P10" s="584">
        <v>62800</v>
      </c>
      <c r="Q10" s="584">
        <v>128283</v>
      </c>
      <c r="R10" s="584">
        <v>1681882</v>
      </c>
      <c r="S10" s="584">
        <v>870620</v>
      </c>
      <c r="T10" s="584">
        <v>2552502</v>
      </c>
      <c r="U10" s="584">
        <v>55369</v>
      </c>
      <c r="V10" s="584">
        <v>69754</v>
      </c>
      <c r="W10" s="584">
        <v>125123</v>
      </c>
      <c r="X10" s="584">
        <v>167938</v>
      </c>
      <c r="Y10" s="584">
        <v>128748</v>
      </c>
      <c r="Z10" s="584">
        <v>296686</v>
      </c>
      <c r="AA10" s="584">
        <v>17264173</v>
      </c>
      <c r="AB10" s="584">
        <v>16985264</v>
      </c>
      <c r="AC10" s="584">
        <v>34249437</v>
      </c>
    </row>
    <row r="11" spans="1:29" ht="14.5" x14ac:dyDescent="0.35">
      <c r="A11" s="655">
        <v>1</v>
      </c>
      <c r="B11" s="944" t="s">
        <v>56</v>
      </c>
      <c r="C11" s="928"/>
      <c r="D11" s="928"/>
      <c r="E11" s="928"/>
      <c r="F11" s="928"/>
      <c r="G11" s="928"/>
      <c r="H11" s="928"/>
      <c r="I11" s="928"/>
      <c r="J11" s="928"/>
      <c r="K11" s="928"/>
      <c r="L11" s="928"/>
      <c r="M11" s="928"/>
      <c r="N11" s="928"/>
      <c r="O11" s="928"/>
      <c r="P11" s="928"/>
      <c r="Q11" s="928"/>
      <c r="R11" s="928"/>
      <c r="S11" s="928"/>
      <c r="T11" s="928"/>
      <c r="U11" s="928"/>
      <c r="V11" s="928"/>
      <c r="W11" s="928"/>
      <c r="X11" s="928"/>
      <c r="Y11" s="928"/>
      <c r="Z11" s="928"/>
      <c r="AA11" s="928"/>
      <c r="AB11" s="928"/>
      <c r="AC11" s="928"/>
    </row>
    <row r="12" spans="1:29" ht="15" x14ac:dyDescent="0.35">
      <c r="A12" s="655"/>
      <c r="B12" s="508" t="s">
        <v>960</v>
      </c>
      <c r="C12" s="606"/>
      <c r="D12" s="582"/>
      <c r="E12" s="582"/>
      <c r="F12" s="582"/>
      <c r="G12" s="582"/>
      <c r="H12" s="582"/>
      <c r="I12" s="582"/>
      <c r="J12" s="582"/>
      <c r="K12" s="582"/>
      <c r="L12" s="582">
        <v>964</v>
      </c>
      <c r="M12" s="582">
        <v>980</v>
      </c>
      <c r="N12" s="582">
        <v>1944</v>
      </c>
      <c r="O12" s="582">
        <v>1</v>
      </c>
      <c r="P12" s="582"/>
      <c r="Q12" s="582">
        <v>1</v>
      </c>
      <c r="R12" s="582">
        <v>349</v>
      </c>
      <c r="S12" s="582">
        <v>275</v>
      </c>
      <c r="T12" s="582">
        <v>624</v>
      </c>
      <c r="U12" s="582"/>
      <c r="V12" s="582"/>
      <c r="W12" s="582"/>
      <c r="X12" s="582">
        <v>48</v>
      </c>
      <c r="Y12" s="582">
        <v>131</v>
      </c>
      <c r="Z12" s="582">
        <v>179</v>
      </c>
      <c r="AA12" s="582">
        <v>1362</v>
      </c>
      <c r="AB12" s="582">
        <v>1386</v>
      </c>
      <c r="AC12" s="582">
        <v>2748</v>
      </c>
    </row>
    <row r="13" spans="1:29" x14ac:dyDescent="0.35">
      <c r="A13" s="655"/>
      <c r="B13" s="509" t="s">
        <v>959</v>
      </c>
      <c r="C13" s="583"/>
      <c r="D13" s="583"/>
      <c r="E13" s="583"/>
      <c r="F13" s="583"/>
      <c r="G13" s="583"/>
      <c r="H13" s="583"/>
      <c r="I13" s="583"/>
      <c r="J13" s="583"/>
      <c r="K13" s="583"/>
      <c r="L13" s="583">
        <v>1156</v>
      </c>
      <c r="M13" s="583">
        <v>1074</v>
      </c>
      <c r="N13" s="583">
        <v>2230</v>
      </c>
      <c r="O13" s="583"/>
      <c r="P13" s="583"/>
      <c r="Q13" s="583"/>
      <c r="R13" s="583">
        <v>429</v>
      </c>
      <c r="S13" s="583">
        <v>312</v>
      </c>
      <c r="T13" s="583">
        <v>741</v>
      </c>
      <c r="U13" s="583"/>
      <c r="V13" s="583"/>
      <c r="W13" s="583"/>
      <c r="X13" s="583">
        <v>48</v>
      </c>
      <c r="Y13" s="583">
        <v>131</v>
      </c>
      <c r="Z13" s="583">
        <v>179</v>
      </c>
      <c r="AA13" s="583">
        <v>1633</v>
      </c>
      <c r="AB13" s="583">
        <v>1517</v>
      </c>
      <c r="AC13" s="583">
        <v>3150</v>
      </c>
    </row>
    <row r="14" spans="1:29" x14ac:dyDescent="0.35">
      <c r="A14" s="655"/>
      <c r="B14" s="509" t="s">
        <v>958</v>
      </c>
      <c r="C14" s="583">
        <v>5</v>
      </c>
      <c r="D14" s="583">
        <v>9</v>
      </c>
      <c r="E14" s="583">
        <v>14</v>
      </c>
      <c r="F14" s="583"/>
      <c r="G14" s="583"/>
      <c r="H14" s="583"/>
      <c r="I14" s="583">
        <v>69</v>
      </c>
      <c r="J14" s="583">
        <v>283</v>
      </c>
      <c r="K14" s="583">
        <v>352</v>
      </c>
      <c r="L14" s="583">
        <v>2259</v>
      </c>
      <c r="M14" s="583">
        <v>3231</v>
      </c>
      <c r="N14" s="583">
        <v>5490</v>
      </c>
      <c r="O14" s="583"/>
      <c r="P14" s="583"/>
      <c r="Q14" s="583"/>
      <c r="R14" s="583">
        <v>544</v>
      </c>
      <c r="S14" s="583">
        <v>377</v>
      </c>
      <c r="T14" s="583">
        <v>921</v>
      </c>
      <c r="U14" s="583">
        <v>39</v>
      </c>
      <c r="V14" s="583">
        <v>33</v>
      </c>
      <c r="W14" s="583">
        <v>72</v>
      </c>
      <c r="X14" s="583">
        <v>193</v>
      </c>
      <c r="Y14" s="583">
        <v>355</v>
      </c>
      <c r="Z14" s="583">
        <v>548</v>
      </c>
      <c r="AA14" s="583">
        <v>3109</v>
      </c>
      <c r="AB14" s="583">
        <v>4288</v>
      </c>
      <c r="AC14" s="583">
        <v>7397</v>
      </c>
    </row>
    <row r="15" spans="1:29" x14ac:dyDescent="0.35">
      <c r="A15" s="655"/>
      <c r="B15" s="509" t="s">
        <v>957</v>
      </c>
      <c r="C15" s="583">
        <v>7</v>
      </c>
      <c r="D15" s="583">
        <v>12</v>
      </c>
      <c r="E15" s="583">
        <v>19</v>
      </c>
      <c r="F15" s="583">
        <v>0</v>
      </c>
      <c r="G15" s="583">
        <v>0</v>
      </c>
      <c r="H15" s="583">
        <v>0</v>
      </c>
      <c r="I15" s="583">
        <v>69</v>
      </c>
      <c r="J15" s="583">
        <v>283</v>
      </c>
      <c r="K15" s="583">
        <v>352</v>
      </c>
      <c r="L15" s="583">
        <v>2473</v>
      </c>
      <c r="M15" s="583">
        <v>3423</v>
      </c>
      <c r="N15" s="583">
        <v>5896</v>
      </c>
      <c r="O15" s="583">
        <v>14</v>
      </c>
      <c r="P15" s="583">
        <v>0</v>
      </c>
      <c r="Q15" s="583">
        <v>14</v>
      </c>
      <c r="R15" s="583">
        <v>601</v>
      </c>
      <c r="S15" s="583">
        <v>414</v>
      </c>
      <c r="T15" s="583">
        <v>1015</v>
      </c>
      <c r="U15" s="583">
        <v>39</v>
      </c>
      <c r="V15" s="583">
        <v>33</v>
      </c>
      <c r="W15" s="583">
        <v>72</v>
      </c>
      <c r="X15" s="583">
        <v>145</v>
      </c>
      <c r="Y15" s="583">
        <v>224</v>
      </c>
      <c r="Z15" s="583">
        <v>369</v>
      </c>
      <c r="AA15" s="583">
        <v>3348</v>
      </c>
      <c r="AB15" s="583">
        <v>4389</v>
      </c>
      <c r="AC15" s="583">
        <v>7737</v>
      </c>
    </row>
    <row r="16" spans="1:29" x14ac:dyDescent="0.35">
      <c r="A16" s="655"/>
      <c r="B16" s="509" t="s">
        <v>956</v>
      </c>
      <c r="C16" s="584">
        <v>5</v>
      </c>
      <c r="D16" s="584">
        <v>9</v>
      </c>
      <c r="E16" s="584">
        <v>14</v>
      </c>
      <c r="F16" s="584">
        <v>0</v>
      </c>
      <c r="G16" s="584">
        <v>0</v>
      </c>
      <c r="H16" s="584">
        <v>0</v>
      </c>
      <c r="I16" s="584">
        <v>69</v>
      </c>
      <c r="J16" s="584">
        <v>283</v>
      </c>
      <c r="K16" s="584">
        <v>352</v>
      </c>
      <c r="L16" s="584">
        <v>1933</v>
      </c>
      <c r="M16" s="584">
        <v>2757</v>
      </c>
      <c r="N16" s="584">
        <v>4690</v>
      </c>
      <c r="O16" s="584">
        <v>0</v>
      </c>
      <c r="P16" s="584">
        <v>0</v>
      </c>
      <c r="Q16" s="584">
        <v>0</v>
      </c>
      <c r="R16" s="584">
        <v>293</v>
      </c>
      <c r="S16" s="584">
        <v>231</v>
      </c>
      <c r="T16" s="584">
        <v>524</v>
      </c>
      <c r="U16" s="584">
        <v>46</v>
      </c>
      <c r="V16" s="584">
        <v>36</v>
      </c>
      <c r="W16" s="584">
        <v>82</v>
      </c>
      <c r="X16" s="584">
        <v>145</v>
      </c>
      <c r="Y16" s="584">
        <v>224</v>
      </c>
      <c r="Z16" s="584">
        <v>369</v>
      </c>
      <c r="AA16" s="584">
        <v>2491</v>
      </c>
      <c r="AB16" s="584">
        <v>3540</v>
      </c>
      <c r="AC16" s="584">
        <v>6031</v>
      </c>
    </row>
    <row r="17" spans="1:29" ht="14.5" x14ac:dyDescent="0.35">
      <c r="A17" s="655">
        <v>2</v>
      </c>
      <c r="B17" s="943" t="s">
        <v>13</v>
      </c>
      <c r="C17" s="928"/>
      <c r="D17" s="928"/>
      <c r="E17" s="928"/>
      <c r="F17" s="928"/>
      <c r="G17" s="928"/>
      <c r="H17" s="928"/>
      <c r="I17" s="928"/>
      <c r="J17" s="928"/>
      <c r="K17" s="928"/>
      <c r="L17" s="928"/>
      <c r="M17" s="928"/>
      <c r="N17" s="928"/>
      <c r="O17" s="928"/>
      <c r="P17" s="928"/>
      <c r="Q17" s="928"/>
      <c r="R17" s="928"/>
      <c r="S17" s="928"/>
      <c r="T17" s="928"/>
      <c r="U17" s="928"/>
      <c r="V17" s="928"/>
      <c r="W17" s="928"/>
      <c r="X17" s="928"/>
      <c r="Y17" s="928"/>
      <c r="Z17" s="928"/>
      <c r="AA17" s="928"/>
      <c r="AB17" s="928"/>
      <c r="AC17" s="928"/>
    </row>
    <row r="18" spans="1:29" x14ac:dyDescent="0.35">
      <c r="A18" s="655"/>
      <c r="B18" s="508" t="s">
        <v>960</v>
      </c>
      <c r="C18" s="582">
        <v>4490</v>
      </c>
      <c r="D18" s="582">
        <v>3837</v>
      </c>
      <c r="E18" s="582">
        <v>8327</v>
      </c>
      <c r="F18" s="582"/>
      <c r="G18" s="582"/>
      <c r="H18" s="582"/>
      <c r="I18" s="582">
        <v>77620</v>
      </c>
      <c r="J18" s="582">
        <v>80875</v>
      </c>
      <c r="K18" s="582">
        <v>158495</v>
      </c>
      <c r="L18" s="582">
        <v>634680</v>
      </c>
      <c r="M18" s="582">
        <v>630415</v>
      </c>
      <c r="N18" s="582">
        <v>1265094</v>
      </c>
      <c r="O18" s="582">
        <v>377</v>
      </c>
      <c r="P18" s="582">
        <v>288</v>
      </c>
      <c r="Q18" s="582">
        <v>665</v>
      </c>
      <c r="R18" s="582">
        <v>83372</v>
      </c>
      <c r="S18" s="582">
        <v>60789</v>
      </c>
      <c r="T18" s="582">
        <v>144161</v>
      </c>
      <c r="U18" s="582">
        <v>275</v>
      </c>
      <c r="V18" s="582">
        <v>127</v>
      </c>
      <c r="W18" s="582">
        <v>402</v>
      </c>
      <c r="X18" s="582">
        <v>7512</v>
      </c>
      <c r="Y18" s="582">
        <v>4531</v>
      </c>
      <c r="Z18" s="582">
        <v>12043</v>
      </c>
      <c r="AA18" s="582">
        <v>808326</v>
      </c>
      <c r="AB18" s="582">
        <v>780862</v>
      </c>
      <c r="AC18" s="582">
        <v>1589188</v>
      </c>
    </row>
    <row r="19" spans="1:29" x14ac:dyDescent="0.35">
      <c r="A19" s="655"/>
      <c r="B19" s="509" t="s">
        <v>959</v>
      </c>
      <c r="C19" s="583">
        <v>3348</v>
      </c>
      <c r="D19" s="583">
        <v>2846</v>
      </c>
      <c r="E19" s="583">
        <v>6194</v>
      </c>
      <c r="F19" s="583"/>
      <c r="G19" s="583"/>
      <c r="H19" s="583"/>
      <c r="I19" s="583">
        <v>71750</v>
      </c>
      <c r="J19" s="583">
        <v>75724</v>
      </c>
      <c r="K19" s="583">
        <v>147474</v>
      </c>
      <c r="L19" s="583">
        <v>670121</v>
      </c>
      <c r="M19" s="583">
        <v>645574</v>
      </c>
      <c r="N19" s="583">
        <v>1315695</v>
      </c>
      <c r="O19" s="583">
        <v>378</v>
      </c>
      <c r="P19" s="583">
        <v>246</v>
      </c>
      <c r="Q19" s="583">
        <v>624</v>
      </c>
      <c r="R19" s="583">
        <v>86574</v>
      </c>
      <c r="S19" s="583">
        <v>59408</v>
      </c>
      <c r="T19" s="583">
        <v>145982</v>
      </c>
      <c r="U19" s="583">
        <v>174</v>
      </c>
      <c r="V19" s="583">
        <v>34</v>
      </c>
      <c r="W19" s="583">
        <v>208</v>
      </c>
      <c r="X19" s="583">
        <v>7834</v>
      </c>
      <c r="Y19" s="583">
        <v>5116</v>
      </c>
      <c r="Z19" s="583">
        <v>12950</v>
      </c>
      <c r="AA19" s="583">
        <v>840179</v>
      </c>
      <c r="AB19" s="583">
        <v>788948</v>
      </c>
      <c r="AC19" s="583">
        <v>1629127</v>
      </c>
    </row>
    <row r="20" spans="1:29" x14ac:dyDescent="0.35">
      <c r="A20" s="655"/>
      <c r="B20" s="509" t="s">
        <v>958</v>
      </c>
      <c r="C20" s="583">
        <v>3237</v>
      </c>
      <c r="D20" s="583">
        <v>2346</v>
      </c>
      <c r="E20" s="583">
        <v>5583</v>
      </c>
      <c r="F20" s="583">
        <v>7</v>
      </c>
      <c r="G20" s="583">
        <v>16</v>
      </c>
      <c r="H20" s="583">
        <v>23</v>
      </c>
      <c r="I20" s="583">
        <v>74588</v>
      </c>
      <c r="J20" s="583">
        <v>75554</v>
      </c>
      <c r="K20" s="583">
        <v>150142</v>
      </c>
      <c r="L20" s="583">
        <v>732340</v>
      </c>
      <c r="M20" s="583">
        <v>671641</v>
      </c>
      <c r="N20" s="583">
        <v>1403981</v>
      </c>
      <c r="O20" s="583">
        <v>268</v>
      </c>
      <c r="P20" s="583">
        <v>165</v>
      </c>
      <c r="Q20" s="583">
        <v>433</v>
      </c>
      <c r="R20" s="583">
        <v>95018</v>
      </c>
      <c r="S20" s="583">
        <v>61430</v>
      </c>
      <c r="T20" s="583">
        <v>156448</v>
      </c>
      <c r="U20" s="583">
        <v>185</v>
      </c>
      <c r="V20" s="583">
        <v>47</v>
      </c>
      <c r="W20" s="583">
        <v>232</v>
      </c>
      <c r="X20" s="583">
        <v>6754</v>
      </c>
      <c r="Y20" s="583">
        <v>3762</v>
      </c>
      <c r="Z20" s="583">
        <v>10516</v>
      </c>
      <c r="AA20" s="583">
        <v>912397</v>
      </c>
      <c r="AB20" s="583">
        <v>814961</v>
      </c>
      <c r="AC20" s="583">
        <v>1727358</v>
      </c>
    </row>
    <row r="21" spans="1:29" x14ac:dyDescent="0.35">
      <c r="A21" s="655"/>
      <c r="B21" s="509" t="s">
        <v>957</v>
      </c>
      <c r="C21" s="583">
        <v>4283</v>
      </c>
      <c r="D21" s="583">
        <v>2708</v>
      </c>
      <c r="E21" s="583">
        <v>6991</v>
      </c>
      <c r="F21" s="583">
        <v>70</v>
      </c>
      <c r="G21" s="583">
        <v>48</v>
      </c>
      <c r="H21" s="583">
        <v>118</v>
      </c>
      <c r="I21" s="583">
        <v>89655</v>
      </c>
      <c r="J21" s="583">
        <v>91447</v>
      </c>
      <c r="K21" s="583">
        <v>181102</v>
      </c>
      <c r="L21" s="583">
        <v>765880</v>
      </c>
      <c r="M21" s="583">
        <v>704221</v>
      </c>
      <c r="N21" s="583">
        <v>1470101</v>
      </c>
      <c r="O21" s="583">
        <v>187</v>
      </c>
      <c r="P21" s="583">
        <v>135</v>
      </c>
      <c r="Q21" s="583">
        <v>322</v>
      </c>
      <c r="R21" s="583">
        <v>96256</v>
      </c>
      <c r="S21" s="583">
        <v>66003</v>
      </c>
      <c r="T21" s="583">
        <v>162259</v>
      </c>
      <c r="U21" s="583">
        <v>356</v>
      </c>
      <c r="V21" s="583">
        <v>442</v>
      </c>
      <c r="W21" s="583">
        <v>798</v>
      </c>
      <c r="X21" s="583">
        <v>8429</v>
      </c>
      <c r="Y21" s="583">
        <v>4528</v>
      </c>
      <c r="Z21" s="583">
        <v>12957</v>
      </c>
      <c r="AA21" s="583">
        <v>965116</v>
      </c>
      <c r="AB21" s="583">
        <v>869532</v>
      </c>
      <c r="AC21" s="583">
        <v>1834648</v>
      </c>
    </row>
    <row r="22" spans="1:29" x14ac:dyDescent="0.35">
      <c r="A22" s="655"/>
      <c r="B22" s="509" t="s">
        <v>956</v>
      </c>
      <c r="C22" s="584">
        <v>3837</v>
      </c>
      <c r="D22" s="584">
        <v>2879</v>
      </c>
      <c r="E22" s="584">
        <v>6716</v>
      </c>
      <c r="F22" s="584">
        <v>175</v>
      </c>
      <c r="G22" s="584">
        <v>102</v>
      </c>
      <c r="H22" s="584">
        <v>277</v>
      </c>
      <c r="I22" s="584">
        <v>88923</v>
      </c>
      <c r="J22" s="584">
        <v>85176</v>
      </c>
      <c r="K22" s="584">
        <v>174099</v>
      </c>
      <c r="L22" s="584">
        <v>671286</v>
      </c>
      <c r="M22" s="584">
        <v>602648</v>
      </c>
      <c r="N22" s="584">
        <v>1273934</v>
      </c>
      <c r="O22" s="584">
        <v>792</v>
      </c>
      <c r="P22" s="584">
        <v>468</v>
      </c>
      <c r="Q22" s="584">
        <v>1260</v>
      </c>
      <c r="R22" s="584">
        <v>92704</v>
      </c>
      <c r="S22" s="584">
        <v>59683</v>
      </c>
      <c r="T22" s="584">
        <v>152387</v>
      </c>
      <c r="U22" s="584">
        <v>3921</v>
      </c>
      <c r="V22" s="584">
        <v>6903</v>
      </c>
      <c r="W22" s="584">
        <v>10824</v>
      </c>
      <c r="X22" s="584">
        <v>8650</v>
      </c>
      <c r="Y22" s="584">
        <v>4362</v>
      </c>
      <c r="Z22" s="584">
        <v>13012</v>
      </c>
      <c r="AA22" s="584">
        <v>870288</v>
      </c>
      <c r="AB22" s="584">
        <v>762221</v>
      </c>
      <c r="AC22" s="584">
        <v>1632509</v>
      </c>
    </row>
    <row r="23" spans="1:29" ht="14.5" x14ac:dyDescent="0.35">
      <c r="A23" s="655">
        <v>3</v>
      </c>
      <c r="B23" s="943" t="s">
        <v>14</v>
      </c>
      <c r="C23" s="928"/>
      <c r="D23" s="928"/>
      <c r="E23" s="928"/>
      <c r="F23" s="928"/>
      <c r="G23" s="928"/>
      <c r="H23" s="928"/>
      <c r="I23" s="928"/>
      <c r="J23" s="928"/>
      <c r="K23" s="928"/>
      <c r="L23" s="928"/>
      <c r="M23" s="928"/>
      <c r="N23" s="928"/>
      <c r="O23" s="928"/>
      <c r="P23" s="928"/>
      <c r="Q23" s="928"/>
      <c r="R23" s="928"/>
      <c r="S23" s="928"/>
      <c r="T23" s="928"/>
      <c r="U23" s="928"/>
      <c r="V23" s="928"/>
      <c r="W23" s="928"/>
      <c r="X23" s="928"/>
      <c r="Y23" s="928"/>
      <c r="Z23" s="928"/>
      <c r="AA23" s="928"/>
      <c r="AB23" s="928"/>
      <c r="AC23" s="928"/>
    </row>
    <row r="24" spans="1:29" x14ac:dyDescent="0.35">
      <c r="A24" s="655"/>
      <c r="B24" s="508" t="s">
        <v>960</v>
      </c>
      <c r="C24" s="582">
        <v>750</v>
      </c>
      <c r="D24" s="582">
        <v>607</v>
      </c>
      <c r="E24" s="582">
        <v>1357</v>
      </c>
      <c r="F24" s="582"/>
      <c r="G24" s="582"/>
      <c r="H24" s="582"/>
      <c r="I24" s="582">
        <v>3591</v>
      </c>
      <c r="J24" s="582">
        <v>2933</v>
      </c>
      <c r="K24" s="582">
        <v>6524</v>
      </c>
      <c r="L24" s="582">
        <v>20303</v>
      </c>
      <c r="M24" s="582">
        <v>17561</v>
      </c>
      <c r="N24" s="582">
        <v>37864</v>
      </c>
      <c r="O24" s="582">
        <v>97</v>
      </c>
      <c r="P24" s="582">
        <v>72</v>
      </c>
      <c r="Q24" s="582">
        <v>169</v>
      </c>
      <c r="R24" s="582">
        <v>1134</v>
      </c>
      <c r="S24" s="582">
        <v>1310</v>
      </c>
      <c r="T24" s="582">
        <v>2444</v>
      </c>
      <c r="U24" s="582">
        <v>332</v>
      </c>
      <c r="V24" s="582">
        <v>186</v>
      </c>
      <c r="W24" s="582">
        <v>518</v>
      </c>
      <c r="X24" s="582">
        <v>1086</v>
      </c>
      <c r="Y24" s="582">
        <v>735</v>
      </c>
      <c r="Z24" s="582">
        <v>1821</v>
      </c>
      <c r="AA24" s="582">
        <v>27293</v>
      </c>
      <c r="AB24" s="582">
        <v>23404</v>
      </c>
      <c r="AC24" s="582">
        <v>50697</v>
      </c>
    </row>
    <row r="25" spans="1:29" x14ac:dyDescent="0.35">
      <c r="A25" s="655"/>
      <c r="B25" s="509" t="s">
        <v>959</v>
      </c>
      <c r="C25" s="583">
        <v>402</v>
      </c>
      <c r="D25" s="583">
        <v>275</v>
      </c>
      <c r="E25" s="583">
        <v>677</v>
      </c>
      <c r="F25" s="583">
        <v>23</v>
      </c>
      <c r="G25" s="583">
        <v>18</v>
      </c>
      <c r="H25" s="583">
        <v>41</v>
      </c>
      <c r="I25" s="583">
        <v>3848</v>
      </c>
      <c r="J25" s="583">
        <v>3043</v>
      </c>
      <c r="K25" s="583">
        <v>6891</v>
      </c>
      <c r="L25" s="583">
        <v>21577</v>
      </c>
      <c r="M25" s="583">
        <v>17759</v>
      </c>
      <c r="N25" s="583">
        <v>39336</v>
      </c>
      <c r="O25" s="583">
        <v>101</v>
      </c>
      <c r="P25" s="583">
        <v>82</v>
      </c>
      <c r="Q25" s="583">
        <v>183</v>
      </c>
      <c r="R25" s="583">
        <v>1436</v>
      </c>
      <c r="S25" s="583">
        <v>1632</v>
      </c>
      <c r="T25" s="583">
        <v>3068</v>
      </c>
      <c r="U25" s="583">
        <v>329</v>
      </c>
      <c r="V25" s="583">
        <v>194</v>
      </c>
      <c r="W25" s="583">
        <v>523</v>
      </c>
      <c r="X25" s="583">
        <v>1113</v>
      </c>
      <c r="Y25" s="583">
        <v>766</v>
      </c>
      <c r="Z25" s="583">
        <v>1879</v>
      </c>
      <c r="AA25" s="583">
        <v>28829</v>
      </c>
      <c r="AB25" s="583">
        <v>23769</v>
      </c>
      <c r="AC25" s="583">
        <v>52598</v>
      </c>
    </row>
    <row r="26" spans="1:29" x14ac:dyDescent="0.35">
      <c r="A26" s="655"/>
      <c r="B26" s="509" t="s">
        <v>958</v>
      </c>
      <c r="C26" s="583">
        <v>441</v>
      </c>
      <c r="D26" s="583">
        <v>240</v>
      </c>
      <c r="E26" s="583">
        <v>681</v>
      </c>
      <c r="F26" s="583"/>
      <c r="G26" s="583"/>
      <c r="H26" s="583"/>
      <c r="I26" s="583">
        <v>4482</v>
      </c>
      <c r="J26" s="583">
        <v>3399</v>
      </c>
      <c r="K26" s="583">
        <v>7881</v>
      </c>
      <c r="L26" s="583">
        <v>22113</v>
      </c>
      <c r="M26" s="583">
        <v>17705</v>
      </c>
      <c r="N26" s="583">
        <v>39818</v>
      </c>
      <c r="O26" s="583">
        <v>126</v>
      </c>
      <c r="P26" s="583">
        <v>80</v>
      </c>
      <c r="Q26" s="583">
        <v>206</v>
      </c>
      <c r="R26" s="583">
        <v>1315</v>
      </c>
      <c r="S26" s="583">
        <v>1224</v>
      </c>
      <c r="T26" s="583">
        <v>2539</v>
      </c>
      <c r="U26" s="583">
        <v>329</v>
      </c>
      <c r="V26" s="583">
        <v>163</v>
      </c>
      <c r="W26" s="583">
        <v>492</v>
      </c>
      <c r="X26" s="583">
        <v>1163</v>
      </c>
      <c r="Y26" s="583">
        <v>715</v>
      </c>
      <c r="Z26" s="583">
        <v>1878</v>
      </c>
      <c r="AA26" s="583">
        <v>29969</v>
      </c>
      <c r="AB26" s="583">
        <v>23526</v>
      </c>
      <c r="AC26" s="583">
        <v>53495</v>
      </c>
    </row>
    <row r="27" spans="1:29" x14ac:dyDescent="0.35">
      <c r="A27" s="655"/>
      <c r="B27" s="509" t="s">
        <v>957</v>
      </c>
      <c r="C27" s="583">
        <v>470</v>
      </c>
      <c r="D27" s="583">
        <v>258</v>
      </c>
      <c r="E27" s="583">
        <v>728</v>
      </c>
      <c r="F27" s="583">
        <v>56</v>
      </c>
      <c r="G27" s="583">
        <v>74</v>
      </c>
      <c r="H27" s="583">
        <v>130</v>
      </c>
      <c r="I27" s="583">
        <v>4281</v>
      </c>
      <c r="J27" s="583">
        <v>3678</v>
      </c>
      <c r="K27" s="583">
        <v>7959</v>
      </c>
      <c r="L27" s="583">
        <v>19091</v>
      </c>
      <c r="M27" s="583">
        <v>15895</v>
      </c>
      <c r="N27" s="583">
        <v>34986</v>
      </c>
      <c r="O27" s="583">
        <v>87</v>
      </c>
      <c r="P27" s="583">
        <v>68</v>
      </c>
      <c r="Q27" s="583">
        <v>155</v>
      </c>
      <c r="R27" s="583">
        <v>1370</v>
      </c>
      <c r="S27" s="583">
        <v>1081</v>
      </c>
      <c r="T27" s="583">
        <v>2451</v>
      </c>
      <c r="U27" s="583">
        <v>310</v>
      </c>
      <c r="V27" s="583">
        <v>162</v>
      </c>
      <c r="W27" s="583">
        <v>472</v>
      </c>
      <c r="X27" s="583">
        <v>1196</v>
      </c>
      <c r="Y27" s="583">
        <v>726</v>
      </c>
      <c r="Z27" s="583">
        <v>1922</v>
      </c>
      <c r="AA27" s="583">
        <v>26861</v>
      </c>
      <c r="AB27" s="583">
        <v>21942</v>
      </c>
      <c r="AC27" s="583">
        <v>48803</v>
      </c>
    </row>
    <row r="28" spans="1:29" x14ac:dyDescent="0.35">
      <c r="A28" s="655"/>
      <c r="B28" s="509" t="s">
        <v>956</v>
      </c>
      <c r="C28" s="584">
        <v>565</v>
      </c>
      <c r="D28" s="584">
        <v>421</v>
      </c>
      <c r="E28" s="584">
        <v>986</v>
      </c>
      <c r="F28" s="584">
        <v>57</v>
      </c>
      <c r="G28" s="584">
        <v>88</v>
      </c>
      <c r="H28" s="584">
        <v>145</v>
      </c>
      <c r="I28" s="584">
        <v>2874</v>
      </c>
      <c r="J28" s="584">
        <v>2296</v>
      </c>
      <c r="K28" s="584">
        <v>5170</v>
      </c>
      <c r="L28" s="584">
        <v>16058</v>
      </c>
      <c r="M28" s="584">
        <v>13373</v>
      </c>
      <c r="N28" s="584">
        <v>29431</v>
      </c>
      <c r="O28" s="584">
        <v>59</v>
      </c>
      <c r="P28" s="584">
        <v>59</v>
      </c>
      <c r="Q28" s="584">
        <v>118</v>
      </c>
      <c r="R28" s="584">
        <v>1263</v>
      </c>
      <c r="S28" s="584">
        <v>583</v>
      </c>
      <c r="T28" s="584">
        <v>1846</v>
      </c>
      <c r="U28" s="584">
        <v>299</v>
      </c>
      <c r="V28" s="584">
        <v>119</v>
      </c>
      <c r="W28" s="584">
        <v>418</v>
      </c>
      <c r="X28" s="584">
        <v>1015</v>
      </c>
      <c r="Y28" s="584">
        <v>628</v>
      </c>
      <c r="Z28" s="584">
        <v>1643</v>
      </c>
      <c r="AA28" s="584">
        <v>22190</v>
      </c>
      <c r="AB28" s="584">
        <v>17567</v>
      </c>
      <c r="AC28" s="584">
        <v>39757</v>
      </c>
    </row>
    <row r="29" spans="1:29" ht="14.5" x14ac:dyDescent="0.35">
      <c r="A29" s="655">
        <v>4</v>
      </c>
      <c r="B29" s="943" t="s">
        <v>15</v>
      </c>
      <c r="C29" s="928"/>
      <c r="D29" s="928"/>
      <c r="E29" s="928"/>
      <c r="F29" s="928"/>
      <c r="G29" s="928"/>
      <c r="H29" s="928"/>
      <c r="I29" s="928"/>
      <c r="J29" s="928"/>
      <c r="K29" s="928"/>
      <c r="L29" s="928"/>
      <c r="M29" s="928"/>
      <c r="N29" s="928"/>
      <c r="O29" s="928"/>
      <c r="P29" s="928"/>
      <c r="Q29" s="928"/>
      <c r="R29" s="928"/>
      <c r="S29" s="928"/>
      <c r="T29" s="928"/>
      <c r="U29" s="928"/>
      <c r="V29" s="928"/>
      <c r="W29" s="928"/>
      <c r="X29" s="928"/>
      <c r="Y29" s="928"/>
      <c r="Z29" s="928"/>
      <c r="AA29" s="928"/>
      <c r="AB29" s="928"/>
      <c r="AC29" s="928"/>
    </row>
    <row r="30" spans="1:29" x14ac:dyDescent="0.35">
      <c r="A30" s="655"/>
      <c r="B30" s="508" t="s">
        <v>960</v>
      </c>
      <c r="C30" s="582">
        <v>5818</v>
      </c>
      <c r="D30" s="582">
        <v>5510</v>
      </c>
      <c r="E30" s="582">
        <v>11328</v>
      </c>
      <c r="F30" s="582">
        <v>9</v>
      </c>
      <c r="G30" s="582">
        <v>49</v>
      </c>
      <c r="H30" s="582">
        <v>58</v>
      </c>
      <c r="I30" s="582">
        <v>15280</v>
      </c>
      <c r="J30" s="582">
        <v>23937</v>
      </c>
      <c r="K30" s="582">
        <v>39217</v>
      </c>
      <c r="L30" s="582">
        <v>266441</v>
      </c>
      <c r="M30" s="582">
        <v>298615</v>
      </c>
      <c r="N30" s="582">
        <v>565056</v>
      </c>
      <c r="O30" s="582">
        <v>289</v>
      </c>
      <c r="P30" s="582">
        <v>351</v>
      </c>
      <c r="Q30" s="582">
        <v>640</v>
      </c>
      <c r="R30" s="582">
        <v>17216</v>
      </c>
      <c r="S30" s="582">
        <v>20847</v>
      </c>
      <c r="T30" s="582">
        <v>38063</v>
      </c>
      <c r="U30" s="582">
        <v>10409</v>
      </c>
      <c r="V30" s="582">
        <v>14493</v>
      </c>
      <c r="W30" s="582">
        <v>24902</v>
      </c>
      <c r="X30" s="582">
        <v>3155</v>
      </c>
      <c r="Y30" s="582">
        <v>4231</v>
      </c>
      <c r="Z30" s="582">
        <v>7386</v>
      </c>
      <c r="AA30" s="582">
        <v>318617</v>
      </c>
      <c r="AB30" s="582">
        <v>368033</v>
      </c>
      <c r="AC30" s="582">
        <v>686650</v>
      </c>
    </row>
    <row r="31" spans="1:29" x14ac:dyDescent="0.35">
      <c r="A31" s="655"/>
      <c r="B31" s="509" t="s">
        <v>959</v>
      </c>
      <c r="C31" s="583">
        <v>3048</v>
      </c>
      <c r="D31" s="583">
        <v>2359</v>
      </c>
      <c r="E31" s="583">
        <v>5407</v>
      </c>
      <c r="F31" s="583">
        <v>16</v>
      </c>
      <c r="G31" s="583">
        <v>42</v>
      </c>
      <c r="H31" s="583">
        <v>58</v>
      </c>
      <c r="I31" s="583">
        <v>15263</v>
      </c>
      <c r="J31" s="583">
        <v>23088</v>
      </c>
      <c r="K31" s="583">
        <v>38351</v>
      </c>
      <c r="L31" s="583">
        <v>257494</v>
      </c>
      <c r="M31" s="583">
        <v>269204</v>
      </c>
      <c r="N31" s="583">
        <v>526697</v>
      </c>
      <c r="O31" s="583">
        <v>428</v>
      </c>
      <c r="P31" s="583">
        <v>544</v>
      </c>
      <c r="Q31" s="583">
        <v>972</v>
      </c>
      <c r="R31" s="583">
        <v>18547</v>
      </c>
      <c r="S31" s="583">
        <v>20041</v>
      </c>
      <c r="T31" s="583">
        <v>38588</v>
      </c>
      <c r="U31" s="583">
        <v>16010</v>
      </c>
      <c r="V31" s="583">
        <v>23211</v>
      </c>
      <c r="W31" s="583">
        <v>39221</v>
      </c>
      <c r="X31" s="583">
        <v>2879</v>
      </c>
      <c r="Y31" s="583">
        <v>3598</v>
      </c>
      <c r="Z31" s="583">
        <v>6477</v>
      </c>
      <c r="AA31" s="583">
        <v>313685</v>
      </c>
      <c r="AB31" s="583">
        <v>342086</v>
      </c>
      <c r="AC31" s="583">
        <v>655771</v>
      </c>
    </row>
    <row r="32" spans="1:29" x14ac:dyDescent="0.35">
      <c r="A32" s="655"/>
      <c r="B32" s="509" t="s">
        <v>958</v>
      </c>
      <c r="C32" s="583">
        <v>3140</v>
      </c>
      <c r="D32" s="583">
        <v>2230</v>
      </c>
      <c r="E32" s="583">
        <v>5370</v>
      </c>
      <c r="F32" s="583">
        <v>82</v>
      </c>
      <c r="G32" s="583">
        <v>132</v>
      </c>
      <c r="H32" s="583">
        <v>214</v>
      </c>
      <c r="I32" s="583">
        <v>13937</v>
      </c>
      <c r="J32" s="583">
        <v>21079</v>
      </c>
      <c r="K32" s="583">
        <v>35016</v>
      </c>
      <c r="L32" s="583">
        <v>273527</v>
      </c>
      <c r="M32" s="583">
        <v>281870</v>
      </c>
      <c r="N32" s="583">
        <v>555397</v>
      </c>
      <c r="O32" s="583">
        <v>344</v>
      </c>
      <c r="P32" s="583">
        <v>596</v>
      </c>
      <c r="Q32" s="583">
        <v>940</v>
      </c>
      <c r="R32" s="583">
        <v>12540</v>
      </c>
      <c r="S32" s="583">
        <v>9134</v>
      </c>
      <c r="T32" s="583">
        <v>21674</v>
      </c>
      <c r="U32" s="583">
        <v>82</v>
      </c>
      <c r="V32" s="583">
        <v>671</v>
      </c>
      <c r="W32" s="583">
        <v>753</v>
      </c>
      <c r="X32" s="583">
        <v>2571</v>
      </c>
      <c r="Y32" s="583">
        <v>2913</v>
      </c>
      <c r="Z32" s="583">
        <v>5484</v>
      </c>
      <c r="AA32" s="583">
        <v>306223</v>
      </c>
      <c r="AB32" s="583">
        <v>318625</v>
      </c>
      <c r="AC32" s="583">
        <v>624848</v>
      </c>
    </row>
    <row r="33" spans="1:29" x14ac:dyDescent="0.35">
      <c r="A33" s="655"/>
      <c r="B33" s="509" t="s">
        <v>957</v>
      </c>
      <c r="C33" s="583">
        <v>3648</v>
      </c>
      <c r="D33" s="583">
        <v>2356</v>
      </c>
      <c r="E33" s="583">
        <v>6004</v>
      </c>
      <c r="F33" s="583">
        <v>126</v>
      </c>
      <c r="G33" s="583">
        <v>180</v>
      </c>
      <c r="H33" s="583">
        <v>306</v>
      </c>
      <c r="I33" s="583">
        <v>13634</v>
      </c>
      <c r="J33" s="583">
        <v>20125</v>
      </c>
      <c r="K33" s="583">
        <v>33759</v>
      </c>
      <c r="L33" s="583">
        <v>282547</v>
      </c>
      <c r="M33" s="583">
        <v>295148</v>
      </c>
      <c r="N33" s="583">
        <v>577695</v>
      </c>
      <c r="O33" s="583">
        <v>389</v>
      </c>
      <c r="P33" s="583">
        <v>630</v>
      </c>
      <c r="Q33" s="583">
        <v>1019</v>
      </c>
      <c r="R33" s="583">
        <v>12627</v>
      </c>
      <c r="S33" s="583">
        <v>9364</v>
      </c>
      <c r="T33" s="583">
        <v>21991</v>
      </c>
      <c r="U33" s="583">
        <v>387</v>
      </c>
      <c r="V33" s="583">
        <v>785</v>
      </c>
      <c r="W33" s="583">
        <v>1172</v>
      </c>
      <c r="X33" s="583">
        <v>2459</v>
      </c>
      <c r="Y33" s="583">
        <v>2783</v>
      </c>
      <c r="Z33" s="583">
        <v>5242</v>
      </c>
      <c r="AA33" s="583">
        <v>315817</v>
      </c>
      <c r="AB33" s="583">
        <v>331371</v>
      </c>
      <c r="AC33" s="583">
        <v>647188</v>
      </c>
    </row>
    <row r="34" spans="1:29" x14ac:dyDescent="0.35">
      <c r="A34" s="655"/>
      <c r="B34" s="509" t="s">
        <v>956</v>
      </c>
      <c r="C34" s="584">
        <v>3214</v>
      </c>
      <c r="D34" s="584">
        <v>2413</v>
      </c>
      <c r="E34" s="584">
        <v>5627</v>
      </c>
      <c r="F34" s="584">
        <v>245</v>
      </c>
      <c r="G34" s="584">
        <v>371</v>
      </c>
      <c r="H34" s="584">
        <v>616</v>
      </c>
      <c r="I34" s="584">
        <v>12716</v>
      </c>
      <c r="J34" s="584">
        <v>17995</v>
      </c>
      <c r="K34" s="584">
        <v>30711</v>
      </c>
      <c r="L34" s="584">
        <v>241521</v>
      </c>
      <c r="M34" s="584">
        <v>259643</v>
      </c>
      <c r="N34" s="584">
        <v>501164</v>
      </c>
      <c r="O34" s="584">
        <v>473</v>
      </c>
      <c r="P34" s="584">
        <v>576</v>
      </c>
      <c r="Q34" s="584">
        <v>1049</v>
      </c>
      <c r="R34" s="584">
        <v>10655</v>
      </c>
      <c r="S34" s="584">
        <v>7374</v>
      </c>
      <c r="T34" s="584">
        <v>18029</v>
      </c>
      <c r="U34" s="584">
        <v>739</v>
      </c>
      <c r="V34" s="584">
        <v>1165</v>
      </c>
      <c r="W34" s="584">
        <v>1904</v>
      </c>
      <c r="X34" s="584">
        <v>2446</v>
      </c>
      <c r="Y34" s="584">
        <v>2247</v>
      </c>
      <c r="Z34" s="584">
        <v>4693</v>
      </c>
      <c r="AA34" s="584">
        <v>272009</v>
      </c>
      <c r="AB34" s="584">
        <v>291784</v>
      </c>
      <c r="AC34" s="584">
        <v>563793</v>
      </c>
    </row>
    <row r="35" spans="1:29" ht="14.5" x14ac:dyDescent="0.35">
      <c r="A35" s="655">
        <v>5</v>
      </c>
      <c r="B35" s="943" t="s">
        <v>16</v>
      </c>
      <c r="C35" s="928"/>
      <c r="D35" s="928"/>
      <c r="E35" s="928"/>
      <c r="F35" s="928"/>
      <c r="G35" s="928"/>
      <c r="H35" s="928"/>
      <c r="I35" s="928"/>
      <c r="J35" s="928"/>
      <c r="K35" s="928"/>
      <c r="L35" s="928"/>
      <c r="M35" s="928"/>
      <c r="N35" s="928"/>
      <c r="O35" s="928"/>
      <c r="P35" s="928"/>
      <c r="Q35" s="928"/>
      <c r="R35" s="928"/>
      <c r="S35" s="928"/>
      <c r="T35" s="928"/>
      <c r="U35" s="928"/>
      <c r="V35" s="928"/>
      <c r="W35" s="928"/>
      <c r="X35" s="928"/>
      <c r="Y35" s="928"/>
      <c r="Z35" s="928"/>
      <c r="AA35" s="928"/>
      <c r="AB35" s="928"/>
      <c r="AC35" s="928"/>
    </row>
    <row r="36" spans="1:29" x14ac:dyDescent="0.35">
      <c r="A36" s="655"/>
      <c r="B36" s="508" t="s">
        <v>960</v>
      </c>
      <c r="C36" s="582">
        <v>3287</v>
      </c>
      <c r="D36" s="582">
        <v>2407</v>
      </c>
      <c r="E36" s="582">
        <v>5694</v>
      </c>
      <c r="F36" s="582">
        <v>4</v>
      </c>
      <c r="G36" s="582">
        <v>4</v>
      </c>
      <c r="H36" s="582">
        <v>8</v>
      </c>
      <c r="I36" s="582">
        <v>62489</v>
      </c>
      <c r="J36" s="582">
        <v>74984</v>
      </c>
      <c r="K36" s="582">
        <v>137474</v>
      </c>
      <c r="L36" s="582">
        <v>1121333</v>
      </c>
      <c r="M36" s="582">
        <v>1172725</v>
      </c>
      <c r="N36" s="582">
        <v>2294057</v>
      </c>
      <c r="O36" s="582">
        <v>883</v>
      </c>
      <c r="P36" s="582">
        <v>609</v>
      </c>
      <c r="Q36" s="582">
        <v>1492</v>
      </c>
      <c r="R36" s="582">
        <v>74749</v>
      </c>
      <c r="S36" s="582">
        <v>64504</v>
      </c>
      <c r="T36" s="582">
        <v>139253</v>
      </c>
      <c r="U36" s="582">
        <v>5998</v>
      </c>
      <c r="V36" s="582">
        <v>3965</v>
      </c>
      <c r="W36" s="582">
        <v>9963</v>
      </c>
      <c r="X36" s="582">
        <v>2624</v>
      </c>
      <c r="Y36" s="582">
        <v>1947</v>
      </c>
      <c r="Z36" s="582">
        <v>4571</v>
      </c>
      <c r="AA36" s="582">
        <v>1271367</v>
      </c>
      <c r="AB36" s="582">
        <v>1321145</v>
      </c>
      <c r="AC36" s="582">
        <v>2592512</v>
      </c>
    </row>
    <row r="37" spans="1:29" x14ac:dyDescent="0.35">
      <c r="A37" s="655"/>
      <c r="B37" s="509" t="s">
        <v>959</v>
      </c>
      <c r="C37" s="583">
        <v>3434</v>
      </c>
      <c r="D37" s="583">
        <v>2205</v>
      </c>
      <c r="E37" s="583">
        <v>5639</v>
      </c>
      <c r="F37" s="583"/>
      <c r="G37" s="583"/>
      <c r="H37" s="583"/>
      <c r="I37" s="583">
        <v>54282</v>
      </c>
      <c r="J37" s="583">
        <v>64057</v>
      </c>
      <c r="K37" s="583">
        <v>118340</v>
      </c>
      <c r="L37" s="583">
        <v>1131017</v>
      </c>
      <c r="M37" s="583">
        <v>1074780</v>
      </c>
      <c r="N37" s="583">
        <v>2205797</v>
      </c>
      <c r="O37" s="583">
        <v>798</v>
      </c>
      <c r="P37" s="583">
        <v>462</v>
      </c>
      <c r="Q37" s="583">
        <v>1260</v>
      </c>
      <c r="R37" s="583">
        <v>67318</v>
      </c>
      <c r="S37" s="583">
        <v>57266</v>
      </c>
      <c r="T37" s="583">
        <v>124584</v>
      </c>
      <c r="U37" s="583">
        <v>2058</v>
      </c>
      <c r="V37" s="583">
        <v>1692</v>
      </c>
      <c r="W37" s="583">
        <v>3750</v>
      </c>
      <c r="X37" s="583">
        <v>2659</v>
      </c>
      <c r="Y37" s="583">
        <v>1981</v>
      </c>
      <c r="Z37" s="583">
        <v>4640</v>
      </c>
      <c r="AA37" s="583">
        <v>1261567</v>
      </c>
      <c r="AB37" s="583">
        <v>1202443</v>
      </c>
      <c r="AC37" s="583">
        <v>2464009</v>
      </c>
    </row>
    <row r="38" spans="1:29" x14ac:dyDescent="0.35">
      <c r="A38" s="655"/>
      <c r="B38" s="509" t="s">
        <v>958</v>
      </c>
      <c r="C38" s="583">
        <v>3720</v>
      </c>
      <c r="D38" s="583">
        <v>1854</v>
      </c>
      <c r="E38" s="583">
        <v>5574</v>
      </c>
      <c r="F38" s="583"/>
      <c r="G38" s="583"/>
      <c r="H38" s="583"/>
      <c r="I38" s="583">
        <v>55008</v>
      </c>
      <c r="J38" s="583">
        <v>51023</v>
      </c>
      <c r="K38" s="583">
        <v>106031</v>
      </c>
      <c r="L38" s="583">
        <v>1215443</v>
      </c>
      <c r="M38" s="583">
        <v>995154</v>
      </c>
      <c r="N38" s="583">
        <v>2210597</v>
      </c>
      <c r="O38" s="583">
        <v>853</v>
      </c>
      <c r="P38" s="583">
        <v>388</v>
      </c>
      <c r="Q38" s="583">
        <v>1241</v>
      </c>
      <c r="R38" s="583">
        <v>65340</v>
      </c>
      <c r="S38" s="583">
        <v>53248</v>
      </c>
      <c r="T38" s="583">
        <v>118588</v>
      </c>
      <c r="U38" s="583">
        <v>1417</v>
      </c>
      <c r="V38" s="583">
        <v>1292</v>
      </c>
      <c r="W38" s="583">
        <v>2709</v>
      </c>
      <c r="X38" s="583">
        <v>2809</v>
      </c>
      <c r="Y38" s="583">
        <v>1640</v>
      </c>
      <c r="Z38" s="583">
        <v>4449</v>
      </c>
      <c r="AA38" s="583">
        <v>1344590</v>
      </c>
      <c r="AB38" s="583">
        <v>1104599</v>
      </c>
      <c r="AC38" s="583">
        <v>2449189</v>
      </c>
    </row>
    <row r="39" spans="1:29" x14ac:dyDescent="0.35">
      <c r="A39" s="655"/>
      <c r="B39" s="509" t="s">
        <v>957</v>
      </c>
      <c r="C39" s="583">
        <v>2625</v>
      </c>
      <c r="D39" s="583">
        <v>1183</v>
      </c>
      <c r="E39" s="583">
        <v>3808</v>
      </c>
      <c r="F39" s="583">
        <v>50</v>
      </c>
      <c r="G39" s="583">
        <v>23</v>
      </c>
      <c r="H39" s="583">
        <v>73</v>
      </c>
      <c r="I39" s="583">
        <v>50051</v>
      </c>
      <c r="J39" s="583">
        <v>48189</v>
      </c>
      <c r="K39" s="583">
        <v>98240</v>
      </c>
      <c r="L39" s="583">
        <v>1057661</v>
      </c>
      <c r="M39" s="583">
        <v>864953</v>
      </c>
      <c r="N39" s="583">
        <v>1922614</v>
      </c>
      <c r="O39" s="583">
        <v>886</v>
      </c>
      <c r="P39" s="583">
        <v>459</v>
      </c>
      <c r="Q39" s="583">
        <v>1345</v>
      </c>
      <c r="R39" s="583">
        <v>56644</v>
      </c>
      <c r="S39" s="583">
        <v>48657</v>
      </c>
      <c r="T39" s="583">
        <v>105301</v>
      </c>
      <c r="U39" s="583">
        <v>3264</v>
      </c>
      <c r="V39" s="583">
        <v>2885</v>
      </c>
      <c r="W39" s="583">
        <v>6149</v>
      </c>
      <c r="X39" s="583">
        <v>2592</v>
      </c>
      <c r="Y39" s="583">
        <v>1333</v>
      </c>
      <c r="Z39" s="583">
        <v>3925</v>
      </c>
      <c r="AA39" s="583">
        <v>1173773</v>
      </c>
      <c r="AB39" s="583">
        <v>967682</v>
      </c>
      <c r="AC39" s="583">
        <v>2141455</v>
      </c>
    </row>
    <row r="40" spans="1:29" x14ac:dyDescent="0.35">
      <c r="A40" s="655"/>
      <c r="B40" s="509" t="s">
        <v>956</v>
      </c>
      <c r="C40" s="584">
        <v>1665</v>
      </c>
      <c r="D40" s="584">
        <v>1034</v>
      </c>
      <c r="E40" s="584">
        <v>2699</v>
      </c>
      <c r="F40" s="584">
        <v>55</v>
      </c>
      <c r="G40" s="584">
        <v>15</v>
      </c>
      <c r="H40" s="584">
        <v>70</v>
      </c>
      <c r="I40" s="584">
        <v>37369</v>
      </c>
      <c r="J40" s="584">
        <v>35886</v>
      </c>
      <c r="K40" s="584">
        <v>73255</v>
      </c>
      <c r="L40" s="584">
        <v>801196</v>
      </c>
      <c r="M40" s="584">
        <v>647494</v>
      </c>
      <c r="N40" s="584">
        <v>1448690</v>
      </c>
      <c r="O40" s="584">
        <v>788</v>
      </c>
      <c r="P40" s="584">
        <v>401</v>
      </c>
      <c r="Q40" s="584">
        <v>1189</v>
      </c>
      <c r="R40" s="584">
        <v>42497</v>
      </c>
      <c r="S40" s="584">
        <v>25277</v>
      </c>
      <c r="T40" s="584">
        <v>67774</v>
      </c>
      <c r="U40" s="584">
        <v>4024</v>
      </c>
      <c r="V40" s="584">
        <v>2562</v>
      </c>
      <c r="W40" s="584">
        <v>6586</v>
      </c>
      <c r="X40" s="584">
        <v>2258</v>
      </c>
      <c r="Y40" s="584">
        <v>1026</v>
      </c>
      <c r="Z40" s="584">
        <v>3284</v>
      </c>
      <c r="AA40" s="584">
        <v>889852</v>
      </c>
      <c r="AB40" s="584">
        <v>713695</v>
      </c>
      <c r="AC40" s="584">
        <v>1603547</v>
      </c>
    </row>
    <row r="41" spans="1:29" ht="14.5" x14ac:dyDescent="0.35">
      <c r="A41" s="655">
        <v>6</v>
      </c>
      <c r="B41" s="943" t="s">
        <v>17</v>
      </c>
      <c r="C41" s="928"/>
      <c r="D41" s="928"/>
      <c r="E41" s="928"/>
      <c r="F41" s="928"/>
      <c r="G41" s="928"/>
      <c r="H41" s="928"/>
      <c r="I41" s="928"/>
      <c r="J41" s="928"/>
      <c r="K41" s="928"/>
      <c r="L41" s="928"/>
      <c r="M41" s="928"/>
      <c r="N41" s="928"/>
      <c r="O41" s="928"/>
      <c r="P41" s="928"/>
      <c r="Q41" s="928"/>
      <c r="R41" s="928"/>
      <c r="S41" s="928"/>
      <c r="T41" s="928"/>
      <c r="U41" s="928"/>
      <c r="V41" s="928"/>
      <c r="W41" s="928"/>
      <c r="X41" s="928"/>
      <c r="Y41" s="928"/>
      <c r="Z41" s="928"/>
      <c r="AA41" s="928"/>
      <c r="AB41" s="928"/>
      <c r="AC41" s="928"/>
    </row>
    <row r="42" spans="1:29" x14ac:dyDescent="0.35">
      <c r="A42" s="655"/>
      <c r="B42" s="508" t="s">
        <v>960</v>
      </c>
      <c r="C42" s="582">
        <v>1320</v>
      </c>
      <c r="D42" s="582">
        <v>2032</v>
      </c>
      <c r="E42" s="582">
        <v>3352</v>
      </c>
      <c r="F42" s="582"/>
      <c r="G42" s="582"/>
      <c r="H42" s="582"/>
      <c r="I42" s="582">
        <v>4450</v>
      </c>
      <c r="J42" s="582">
        <v>7116</v>
      </c>
      <c r="K42" s="582">
        <v>11566</v>
      </c>
      <c r="L42" s="582">
        <v>25154</v>
      </c>
      <c r="M42" s="582">
        <v>27302</v>
      </c>
      <c r="N42" s="582">
        <v>52456</v>
      </c>
      <c r="O42" s="582">
        <v>388</v>
      </c>
      <c r="P42" s="582">
        <v>407</v>
      </c>
      <c r="Q42" s="582">
        <v>795</v>
      </c>
      <c r="R42" s="582">
        <v>1707</v>
      </c>
      <c r="S42" s="582">
        <v>1321</v>
      </c>
      <c r="T42" s="582">
        <v>3028</v>
      </c>
      <c r="U42" s="582">
        <v>386</v>
      </c>
      <c r="V42" s="582">
        <v>211</v>
      </c>
      <c r="W42" s="582">
        <v>597</v>
      </c>
      <c r="X42" s="582">
        <v>878</v>
      </c>
      <c r="Y42" s="582">
        <v>1333</v>
      </c>
      <c r="Z42" s="582">
        <v>2211</v>
      </c>
      <c r="AA42" s="582">
        <v>34283</v>
      </c>
      <c r="AB42" s="582">
        <v>39722</v>
      </c>
      <c r="AC42" s="582">
        <v>74005</v>
      </c>
    </row>
    <row r="43" spans="1:29" x14ac:dyDescent="0.35">
      <c r="A43" s="655"/>
      <c r="B43" s="509" t="s">
        <v>959</v>
      </c>
      <c r="C43" s="583">
        <v>340</v>
      </c>
      <c r="D43" s="583">
        <v>350</v>
      </c>
      <c r="E43" s="583">
        <v>690</v>
      </c>
      <c r="F43" s="583">
        <v>0</v>
      </c>
      <c r="G43" s="583">
        <v>1</v>
      </c>
      <c r="H43" s="583">
        <v>1</v>
      </c>
      <c r="I43" s="583">
        <v>4573</v>
      </c>
      <c r="J43" s="583">
        <v>7347</v>
      </c>
      <c r="K43" s="583">
        <v>11920</v>
      </c>
      <c r="L43" s="583">
        <v>25836</v>
      </c>
      <c r="M43" s="583">
        <v>28371</v>
      </c>
      <c r="N43" s="583">
        <v>54207</v>
      </c>
      <c r="O43" s="583">
        <v>322</v>
      </c>
      <c r="P43" s="583">
        <v>396</v>
      </c>
      <c r="Q43" s="583">
        <v>718</v>
      </c>
      <c r="R43" s="583">
        <v>1972</v>
      </c>
      <c r="S43" s="583">
        <v>995</v>
      </c>
      <c r="T43" s="583">
        <v>2967</v>
      </c>
      <c r="U43" s="583">
        <v>453</v>
      </c>
      <c r="V43" s="583">
        <v>290</v>
      </c>
      <c r="W43" s="583">
        <v>743</v>
      </c>
      <c r="X43" s="583">
        <v>1094</v>
      </c>
      <c r="Y43" s="583">
        <v>1553</v>
      </c>
      <c r="Z43" s="583">
        <v>2647</v>
      </c>
      <c r="AA43" s="583">
        <v>34590</v>
      </c>
      <c r="AB43" s="583">
        <v>39303</v>
      </c>
      <c r="AC43" s="583">
        <v>73893</v>
      </c>
    </row>
    <row r="44" spans="1:29" x14ac:dyDescent="0.35">
      <c r="A44" s="655"/>
      <c r="B44" s="509" t="s">
        <v>958</v>
      </c>
      <c r="C44" s="583">
        <v>343</v>
      </c>
      <c r="D44" s="583">
        <v>454</v>
      </c>
      <c r="E44" s="583">
        <v>797</v>
      </c>
      <c r="F44" s="583">
        <v>19</v>
      </c>
      <c r="G44" s="583">
        <v>25</v>
      </c>
      <c r="H44" s="583">
        <v>44</v>
      </c>
      <c r="I44" s="583">
        <v>4632</v>
      </c>
      <c r="J44" s="583">
        <v>8047</v>
      </c>
      <c r="K44" s="583">
        <v>12679</v>
      </c>
      <c r="L44" s="583">
        <v>25943</v>
      </c>
      <c r="M44" s="583">
        <v>28584</v>
      </c>
      <c r="N44" s="583">
        <v>54527</v>
      </c>
      <c r="O44" s="583">
        <v>243</v>
      </c>
      <c r="P44" s="583">
        <v>397</v>
      </c>
      <c r="Q44" s="583">
        <v>640</v>
      </c>
      <c r="R44" s="583">
        <v>1745</v>
      </c>
      <c r="S44" s="583">
        <v>1367</v>
      </c>
      <c r="T44" s="583">
        <v>3112</v>
      </c>
      <c r="U44" s="583">
        <v>306</v>
      </c>
      <c r="V44" s="583">
        <v>276</v>
      </c>
      <c r="W44" s="583">
        <v>582</v>
      </c>
      <c r="X44" s="583">
        <v>1123</v>
      </c>
      <c r="Y44" s="583">
        <v>1418</v>
      </c>
      <c r="Z44" s="583">
        <v>2541</v>
      </c>
      <c r="AA44" s="583">
        <v>34354</v>
      </c>
      <c r="AB44" s="583">
        <v>40568</v>
      </c>
      <c r="AC44" s="583">
        <v>74922</v>
      </c>
    </row>
    <row r="45" spans="1:29" x14ac:dyDescent="0.35">
      <c r="A45" s="655"/>
      <c r="B45" s="509" t="s">
        <v>957</v>
      </c>
      <c r="C45" s="583">
        <v>323</v>
      </c>
      <c r="D45" s="583">
        <v>427</v>
      </c>
      <c r="E45" s="583">
        <v>750</v>
      </c>
      <c r="F45" s="583">
        <v>158</v>
      </c>
      <c r="G45" s="583">
        <v>29</v>
      </c>
      <c r="H45" s="583">
        <v>187</v>
      </c>
      <c r="I45" s="583">
        <v>4244</v>
      </c>
      <c r="J45" s="583">
        <v>8142</v>
      </c>
      <c r="K45" s="583">
        <v>12386</v>
      </c>
      <c r="L45" s="583">
        <v>26105</v>
      </c>
      <c r="M45" s="583">
        <v>28727</v>
      </c>
      <c r="N45" s="583">
        <v>54832</v>
      </c>
      <c r="O45" s="583">
        <v>175</v>
      </c>
      <c r="P45" s="583">
        <v>419</v>
      </c>
      <c r="Q45" s="583">
        <v>594</v>
      </c>
      <c r="R45" s="583">
        <v>1824</v>
      </c>
      <c r="S45" s="583">
        <v>1260</v>
      </c>
      <c r="T45" s="583">
        <v>3084</v>
      </c>
      <c r="U45" s="583">
        <v>222</v>
      </c>
      <c r="V45" s="583">
        <v>222</v>
      </c>
      <c r="W45" s="583">
        <v>444</v>
      </c>
      <c r="X45" s="583">
        <v>883</v>
      </c>
      <c r="Y45" s="583">
        <v>1087</v>
      </c>
      <c r="Z45" s="583">
        <v>1970</v>
      </c>
      <c r="AA45" s="583">
        <v>33934</v>
      </c>
      <c r="AB45" s="583">
        <v>40313</v>
      </c>
      <c r="AC45" s="583">
        <v>74247</v>
      </c>
    </row>
    <row r="46" spans="1:29" x14ac:dyDescent="0.35">
      <c r="A46" s="655"/>
      <c r="B46" s="509" t="s">
        <v>956</v>
      </c>
      <c r="C46" s="584">
        <v>409</v>
      </c>
      <c r="D46" s="584">
        <v>550</v>
      </c>
      <c r="E46" s="584">
        <v>959</v>
      </c>
      <c r="F46" s="584">
        <v>140</v>
      </c>
      <c r="G46" s="584">
        <v>48</v>
      </c>
      <c r="H46" s="584">
        <v>188</v>
      </c>
      <c r="I46" s="584">
        <v>4482</v>
      </c>
      <c r="J46" s="584">
        <v>8372</v>
      </c>
      <c r="K46" s="584">
        <v>12854</v>
      </c>
      <c r="L46" s="584">
        <v>26617</v>
      </c>
      <c r="M46" s="584">
        <v>28722</v>
      </c>
      <c r="N46" s="584">
        <v>55339</v>
      </c>
      <c r="O46" s="584">
        <v>264</v>
      </c>
      <c r="P46" s="584">
        <v>437</v>
      </c>
      <c r="Q46" s="584">
        <v>701</v>
      </c>
      <c r="R46" s="584">
        <v>2047</v>
      </c>
      <c r="S46" s="584">
        <v>1223</v>
      </c>
      <c r="T46" s="584">
        <v>3270</v>
      </c>
      <c r="U46" s="584">
        <v>409</v>
      </c>
      <c r="V46" s="584">
        <v>259</v>
      </c>
      <c r="W46" s="584">
        <v>668</v>
      </c>
      <c r="X46" s="584">
        <v>1139</v>
      </c>
      <c r="Y46" s="584">
        <v>1290</v>
      </c>
      <c r="Z46" s="584">
        <v>2429</v>
      </c>
      <c r="AA46" s="584">
        <v>35507</v>
      </c>
      <c r="AB46" s="584">
        <v>40901</v>
      </c>
      <c r="AC46" s="584">
        <v>76408</v>
      </c>
    </row>
    <row r="47" spans="1:29" ht="14.5" x14ac:dyDescent="0.35">
      <c r="A47" s="655">
        <v>7</v>
      </c>
      <c r="B47" s="943" t="s">
        <v>18</v>
      </c>
      <c r="C47" s="928"/>
      <c r="D47" s="928"/>
      <c r="E47" s="928"/>
      <c r="F47" s="928"/>
      <c r="G47" s="928"/>
      <c r="H47" s="928"/>
      <c r="I47" s="928"/>
      <c r="J47" s="928"/>
      <c r="K47" s="928"/>
      <c r="L47" s="928"/>
      <c r="M47" s="928"/>
      <c r="N47" s="928"/>
      <c r="O47" s="928"/>
      <c r="P47" s="928"/>
      <c r="Q47" s="928"/>
      <c r="R47" s="928"/>
      <c r="S47" s="928"/>
      <c r="T47" s="928"/>
      <c r="U47" s="928"/>
      <c r="V47" s="928"/>
      <c r="W47" s="928"/>
      <c r="X47" s="928"/>
      <c r="Y47" s="928"/>
      <c r="Z47" s="928"/>
      <c r="AA47" s="928"/>
      <c r="AB47" s="928"/>
      <c r="AC47" s="928"/>
    </row>
    <row r="48" spans="1:29" x14ac:dyDescent="0.35">
      <c r="A48" s="655"/>
      <c r="B48" s="508" t="s">
        <v>960</v>
      </c>
      <c r="C48" s="582">
        <v>2349</v>
      </c>
      <c r="D48" s="582">
        <v>2159</v>
      </c>
      <c r="E48" s="582">
        <v>4508</v>
      </c>
      <c r="F48" s="582">
        <v>12</v>
      </c>
      <c r="G48" s="582">
        <v>25</v>
      </c>
      <c r="H48" s="582">
        <v>37</v>
      </c>
      <c r="I48" s="582">
        <v>30554</v>
      </c>
      <c r="J48" s="582">
        <v>49844</v>
      </c>
      <c r="K48" s="582">
        <v>80398</v>
      </c>
      <c r="L48" s="582">
        <v>185651</v>
      </c>
      <c r="M48" s="582">
        <v>260923</v>
      </c>
      <c r="N48" s="582">
        <v>446573</v>
      </c>
      <c r="O48" s="582">
        <v>6343</v>
      </c>
      <c r="P48" s="582">
        <v>7751</v>
      </c>
      <c r="Q48" s="582">
        <v>14094</v>
      </c>
      <c r="R48" s="582">
        <v>22788</v>
      </c>
      <c r="S48" s="582">
        <v>17747</v>
      </c>
      <c r="T48" s="582">
        <v>40535</v>
      </c>
      <c r="U48" s="582">
        <v>408</v>
      </c>
      <c r="V48" s="582">
        <v>437</v>
      </c>
      <c r="W48" s="582">
        <v>845</v>
      </c>
      <c r="X48" s="582">
        <v>3169</v>
      </c>
      <c r="Y48" s="582">
        <v>2983</v>
      </c>
      <c r="Z48" s="582">
        <v>6152</v>
      </c>
      <c r="AA48" s="582">
        <v>251273</v>
      </c>
      <c r="AB48" s="582">
        <v>341869</v>
      </c>
      <c r="AC48" s="582">
        <v>593142</v>
      </c>
    </row>
    <row r="49" spans="1:29" x14ac:dyDescent="0.35">
      <c r="A49" s="655"/>
      <c r="B49" s="509" t="s">
        <v>959</v>
      </c>
      <c r="C49" s="583">
        <v>1300</v>
      </c>
      <c r="D49" s="583">
        <v>1343</v>
      </c>
      <c r="E49" s="583">
        <v>2643</v>
      </c>
      <c r="F49" s="583">
        <v>7</v>
      </c>
      <c r="G49" s="583">
        <v>18</v>
      </c>
      <c r="H49" s="583">
        <v>25</v>
      </c>
      <c r="I49" s="583">
        <v>30882</v>
      </c>
      <c r="J49" s="583">
        <v>50223</v>
      </c>
      <c r="K49" s="583">
        <v>81105</v>
      </c>
      <c r="L49" s="583">
        <v>221476</v>
      </c>
      <c r="M49" s="583">
        <v>284091</v>
      </c>
      <c r="N49" s="583">
        <v>505568</v>
      </c>
      <c r="O49" s="583">
        <v>6367</v>
      </c>
      <c r="P49" s="583">
        <v>7750</v>
      </c>
      <c r="Q49" s="583">
        <v>14117</v>
      </c>
      <c r="R49" s="583">
        <v>21002</v>
      </c>
      <c r="S49" s="583">
        <v>16559</v>
      </c>
      <c r="T49" s="583">
        <v>37561</v>
      </c>
      <c r="U49" s="583">
        <v>268</v>
      </c>
      <c r="V49" s="583">
        <v>402</v>
      </c>
      <c r="W49" s="583">
        <v>670</v>
      </c>
      <c r="X49" s="583">
        <v>2775</v>
      </c>
      <c r="Y49" s="583">
        <v>2654</v>
      </c>
      <c r="Z49" s="583">
        <v>5429</v>
      </c>
      <c r="AA49" s="583">
        <v>284077</v>
      </c>
      <c r="AB49" s="583">
        <v>363041</v>
      </c>
      <c r="AC49" s="583">
        <v>647118</v>
      </c>
    </row>
    <row r="50" spans="1:29" x14ac:dyDescent="0.35">
      <c r="A50" s="655"/>
      <c r="B50" s="509" t="s">
        <v>958</v>
      </c>
      <c r="C50" s="583">
        <v>920</v>
      </c>
      <c r="D50" s="583">
        <v>917</v>
      </c>
      <c r="E50" s="583">
        <v>1837</v>
      </c>
      <c r="F50" s="583">
        <v>4</v>
      </c>
      <c r="G50" s="583">
        <v>8</v>
      </c>
      <c r="H50" s="583">
        <v>12</v>
      </c>
      <c r="I50" s="583">
        <v>27658</v>
      </c>
      <c r="J50" s="583">
        <v>44742</v>
      </c>
      <c r="K50" s="583">
        <v>72400</v>
      </c>
      <c r="L50" s="583">
        <v>215787</v>
      </c>
      <c r="M50" s="583">
        <v>267762</v>
      </c>
      <c r="N50" s="583">
        <v>483549</v>
      </c>
      <c r="O50" s="583">
        <v>5742</v>
      </c>
      <c r="P50" s="583">
        <v>6344</v>
      </c>
      <c r="Q50" s="583">
        <v>12086</v>
      </c>
      <c r="R50" s="583">
        <v>21386</v>
      </c>
      <c r="S50" s="583">
        <v>15254</v>
      </c>
      <c r="T50" s="583">
        <v>36640</v>
      </c>
      <c r="U50" s="583">
        <v>226</v>
      </c>
      <c r="V50" s="583">
        <v>428</v>
      </c>
      <c r="W50" s="583">
        <v>654</v>
      </c>
      <c r="X50" s="583">
        <v>2690</v>
      </c>
      <c r="Y50" s="583">
        <v>2409</v>
      </c>
      <c r="Z50" s="583">
        <v>5099</v>
      </c>
      <c r="AA50" s="583">
        <v>274413</v>
      </c>
      <c r="AB50" s="583">
        <v>337864</v>
      </c>
      <c r="AC50" s="583">
        <v>612277</v>
      </c>
    </row>
    <row r="51" spans="1:29" x14ac:dyDescent="0.35">
      <c r="A51" s="655"/>
      <c r="B51" s="509" t="s">
        <v>957</v>
      </c>
      <c r="C51" s="583">
        <v>910</v>
      </c>
      <c r="D51" s="583">
        <v>744</v>
      </c>
      <c r="E51" s="583">
        <v>1654</v>
      </c>
      <c r="F51" s="583">
        <v>36</v>
      </c>
      <c r="G51" s="583">
        <v>22</v>
      </c>
      <c r="H51" s="583">
        <v>58</v>
      </c>
      <c r="I51" s="583">
        <v>25566</v>
      </c>
      <c r="J51" s="583">
        <v>39663</v>
      </c>
      <c r="K51" s="583">
        <v>65229</v>
      </c>
      <c r="L51" s="583">
        <v>203718</v>
      </c>
      <c r="M51" s="583">
        <v>251446</v>
      </c>
      <c r="N51" s="583">
        <v>455164</v>
      </c>
      <c r="O51" s="583">
        <v>4450</v>
      </c>
      <c r="P51" s="583">
        <v>4591</v>
      </c>
      <c r="Q51" s="583">
        <v>9041</v>
      </c>
      <c r="R51" s="583">
        <v>21367</v>
      </c>
      <c r="S51" s="583">
        <v>15337</v>
      </c>
      <c r="T51" s="583">
        <v>36704</v>
      </c>
      <c r="U51" s="583">
        <v>269</v>
      </c>
      <c r="V51" s="583">
        <v>424</v>
      </c>
      <c r="W51" s="583">
        <v>693</v>
      </c>
      <c r="X51" s="583">
        <v>1542</v>
      </c>
      <c r="Y51" s="583">
        <v>1540</v>
      </c>
      <c r="Z51" s="583">
        <v>3082</v>
      </c>
      <c r="AA51" s="583">
        <v>257858</v>
      </c>
      <c r="AB51" s="583">
        <v>313767</v>
      </c>
      <c r="AC51" s="583">
        <v>571625</v>
      </c>
    </row>
    <row r="52" spans="1:29" x14ac:dyDescent="0.35">
      <c r="A52" s="655"/>
      <c r="B52" s="509" t="s">
        <v>956</v>
      </c>
      <c r="C52" s="584">
        <v>824</v>
      </c>
      <c r="D52" s="584">
        <v>691</v>
      </c>
      <c r="E52" s="584">
        <v>1515</v>
      </c>
      <c r="F52" s="584">
        <v>109</v>
      </c>
      <c r="G52" s="584">
        <v>89</v>
      </c>
      <c r="H52" s="584">
        <v>198</v>
      </c>
      <c r="I52" s="584">
        <v>23040</v>
      </c>
      <c r="J52" s="584">
        <v>34523</v>
      </c>
      <c r="K52" s="584">
        <v>57563</v>
      </c>
      <c r="L52" s="584">
        <v>173403</v>
      </c>
      <c r="M52" s="584">
        <v>219635</v>
      </c>
      <c r="N52" s="584">
        <v>393038</v>
      </c>
      <c r="O52" s="584">
        <v>4672</v>
      </c>
      <c r="P52" s="584">
        <v>5099</v>
      </c>
      <c r="Q52" s="584">
        <v>9771</v>
      </c>
      <c r="R52" s="584">
        <v>22197</v>
      </c>
      <c r="S52" s="584">
        <v>15478</v>
      </c>
      <c r="T52" s="584">
        <v>37675</v>
      </c>
      <c r="U52" s="584">
        <v>210</v>
      </c>
      <c r="V52" s="584">
        <v>335</v>
      </c>
      <c r="W52" s="584">
        <v>545</v>
      </c>
      <c r="X52" s="584">
        <v>1882</v>
      </c>
      <c r="Y52" s="584">
        <v>1848</v>
      </c>
      <c r="Z52" s="584">
        <v>3730</v>
      </c>
      <c r="AA52" s="584">
        <v>226337</v>
      </c>
      <c r="AB52" s="584">
        <v>277698</v>
      </c>
      <c r="AC52" s="584">
        <v>504035</v>
      </c>
    </row>
    <row r="53" spans="1:29" ht="14.5" x14ac:dyDescent="0.35">
      <c r="A53" s="655">
        <v>8</v>
      </c>
      <c r="B53" s="943" t="s">
        <v>19</v>
      </c>
      <c r="C53" s="928"/>
      <c r="D53" s="928"/>
      <c r="E53" s="928"/>
      <c r="F53" s="928"/>
      <c r="G53" s="928"/>
      <c r="H53" s="928"/>
      <c r="I53" s="928"/>
      <c r="J53" s="928"/>
      <c r="K53" s="928"/>
      <c r="L53" s="928"/>
      <c r="M53" s="928"/>
      <c r="N53" s="928"/>
      <c r="O53" s="928"/>
      <c r="P53" s="928"/>
      <c r="Q53" s="928"/>
      <c r="R53" s="928"/>
      <c r="S53" s="928"/>
      <c r="T53" s="928"/>
      <c r="U53" s="928"/>
      <c r="V53" s="928"/>
      <c r="W53" s="928"/>
      <c r="X53" s="928"/>
      <c r="Y53" s="928"/>
      <c r="Z53" s="928"/>
      <c r="AA53" s="928"/>
      <c r="AB53" s="928"/>
      <c r="AC53" s="928"/>
    </row>
    <row r="54" spans="1:29" x14ac:dyDescent="0.35">
      <c r="A54" s="655"/>
      <c r="B54" s="508" t="s">
        <v>960</v>
      </c>
      <c r="C54" s="582">
        <v>9882</v>
      </c>
      <c r="D54" s="582">
        <v>8752</v>
      </c>
      <c r="E54" s="582">
        <v>18634</v>
      </c>
      <c r="F54" s="582">
        <v>27</v>
      </c>
      <c r="G54" s="582">
        <v>72</v>
      </c>
      <c r="H54" s="582">
        <v>99</v>
      </c>
      <c r="I54" s="582">
        <v>25249</v>
      </c>
      <c r="J54" s="582">
        <v>24106</v>
      </c>
      <c r="K54" s="582">
        <v>49355</v>
      </c>
      <c r="L54" s="582">
        <v>188028</v>
      </c>
      <c r="M54" s="582">
        <v>200350</v>
      </c>
      <c r="N54" s="582">
        <v>388378</v>
      </c>
      <c r="O54" s="582">
        <v>4437</v>
      </c>
      <c r="P54" s="582">
        <v>3140</v>
      </c>
      <c r="Q54" s="582">
        <v>7577</v>
      </c>
      <c r="R54" s="582">
        <v>15411</v>
      </c>
      <c r="S54" s="582">
        <v>11921</v>
      </c>
      <c r="T54" s="582">
        <v>27332</v>
      </c>
      <c r="U54" s="582">
        <v>1065</v>
      </c>
      <c r="V54" s="582">
        <v>1065</v>
      </c>
      <c r="W54" s="582">
        <v>2130</v>
      </c>
      <c r="X54" s="582">
        <v>5313</v>
      </c>
      <c r="Y54" s="582">
        <v>4465</v>
      </c>
      <c r="Z54" s="582">
        <v>9778</v>
      </c>
      <c r="AA54" s="582">
        <v>249412</v>
      </c>
      <c r="AB54" s="582">
        <v>253871</v>
      </c>
      <c r="AC54" s="582">
        <v>503283</v>
      </c>
    </row>
    <row r="55" spans="1:29" x14ac:dyDescent="0.35">
      <c r="A55" s="655"/>
      <c r="B55" s="509" t="s">
        <v>959</v>
      </c>
      <c r="C55" s="583">
        <v>11326</v>
      </c>
      <c r="D55" s="583">
        <v>9640</v>
      </c>
      <c r="E55" s="583">
        <v>20966</v>
      </c>
      <c r="F55" s="583">
        <v>249</v>
      </c>
      <c r="G55" s="583">
        <v>251</v>
      </c>
      <c r="H55" s="583">
        <v>500</v>
      </c>
      <c r="I55" s="583">
        <v>26003</v>
      </c>
      <c r="J55" s="583">
        <v>25750</v>
      </c>
      <c r="K55" s="583">
        <v>51754</v>
      </c>
      <c r="L55" s="583">
        <v>252875</v>
      </c>
      <c r="M55" s="583">
        <v>253547</v>
      </c>
      <c r="N55" s="583">
        <v>506422</v>
      </c>
      <c r="O55" s="583">
        <v>3831</v>
      </c>
      <c r="P55" s="583">
        <v>2450</v>
      </c>
      <c r="Q55" s="583">
        <v>6281</v>
      </c>
      <c r="R55" s="583">
        <v>16212</v>
      </c>
      <c r="S55" s="583">
        <v>11256</v>
      </c>
      <c r="T55" s="583">
        <v>27468</v>
      </c>
      <c r="U55" s="583">
        <v>1250</v>
      </c>
      <c r="V55" s="583">
        <v>1202</v>
      </c>
      <c r="W55" s="583">
        <v>2452</v>
      </c>
      <c r="X55" s="583">
        <v>5254</v>
      </c>
      <c r="Y55" s="583">
        <v>3965</v>
      </c>
      <c r="Z55" s="583">
        <v>9219</v>
      </c>
      <c r="AA55" s="583">
        <v>317001</v>
      </c>
      <c r="AB55" s="583">
        <v>308061</v>
      </c>
      <c r="AC55" s="583">
        <v>625062</v>
      </c>
    </row>
    <row r="56" spans="1:29" x14ac:dyDescent="0.35">
      <c r="A56" s="655"/>
      <c r="B56" s="509" t="s">
        <v>958</v>
      </c>
      <c r="C56" s="583">
        <v>7533</v>
      </c>
      <c r="D56" s="583">
        <v>6561</v>
      </c>
      <c r="E56" s="583">
        <v>14094</v>
      </c>
      <c r="F56" s="583">
        <v>716</v>
      </c>
      <c r="G56" s="583">
        <v>761</v>
      </c>
      <c r="H56" s="583">
        <v>1477</v>
      </c>
      <c r="I56" s="583">
        <v>22132</v>
      </c>
      <c r="J56" s="583">
        <v>22665</v>
      </c>
      <c r="K56" s="583">
        <v>44797</v>
      </c>
      <c r="L56" s="583">
        <v>179180</v>
      </c>
      <c r="M56" s="583">
        <v>197718</v>
      </c>
      <c r="N56" s="583">
        <v>376898</v>
      </c>
      <c r="O56" s="583">
        <v>3763</v>
      </c>
      <c r="P56" s="583">
        <v>2519</v>
      </c>
      <c r="Q56" s="583">
        <v>6282</v>
      </c>
      <c r="R56" s="583">
        <v>14930</v>
      </c>
      <c r="S56" s="583">
        <v>11747</v>
      </c>
      <c r="T56" s="583">
        <v>26677</v>
      </c>
      <c r="U56" s="583">
        <v>1311</v>
      </c>
      <c r="V56" s="583">
        <v>1066</v>
      </c>
      <c r="W56" s="583">
        <v>2377</v>
      </c>
      <c r="X56" s="583">
        <v>3785</v>
      </c>
      <c r="Y56" s="583">
        <v>2349</v>
      </c>
      <c r="Z56" s="583">
        <v>6134</v>
      </c>
      <c r="AA56" s="583">
        <v>233350</v>
      </c>
      <c r="AB56" s="583">
        <v>245386</v>
      </c>
      <c r="AC56" s="583">
        <v>478736</v>
      </c>
    </row>
    <row r="57" spans="1:29" x14ac:dyDescent="0.35">
      <c r="A57" s="655"/>
      <c r="B57" s="509" t="s">
        <v>957</v>
      </c>
      <c r="C57" s="583">
        <v>8112</v>
      </c>
      <c r="D57" s="583">
        <v>7332</v>
      </c>
      <c r="E57" s="583">
        <v>15444</v>
      </c>
      <c r="F57" s="583">
        <v>772</v>
      </c>
      <c r="G57" s="583">
        <v>764</v>
      </c>
      <c r="H57" s="583">
        <v>1536</v>
      </c>
      <c r="I57" s="583">
        <v>20904</v>
      </c>
      <c r="J57" s="583">
        <v>21417</v>
      </c>
      <c r="K57" s="583">
        <v>42321</v>
      </c>
      <c r="L57" s="583">
        <v>167197</v>
      </c>
      <c r="M57" s="583">
        <v>185508</v>
      </c>
      <c r="N57" s="583">
        <v>352705</v>
      </c>
      <c r="O57" s="583">
        <v>4076</v>
      </c>
      <c r="P57" s="583">
        <v>2979</v>
      </c>
      <c r="Q57" s="583">
        <v>7055</v>
      </c>
      <c r="R57" s="583">
        <v>15220</v>
      </c>
      <c r="S57" s="583">
        <v>12709</v>
      </c>
      <c r="T57" s="583">
        <v>27929</v>
      </c>
      <c r="U57" s="583">
        <v>1415</v>
      </c>
      <c r="V57" s="583">
        <v>1143</v>
      </c>
      <c r="W57" s="583">
        <v>2558</v>
      </c>
      <c r="X57" s="583">
        <v>3735</v>
      </c>
      <c r="Y57" s="583">
        <v>2228</v>
      </c>
      <c r="Z57" s="583">
        <v>5963</v>
      </c>
      <c r="AA57" s="583">
        <v>221431</v>
      </c>
      <c r="AB57" s="583">
        <v>234080</v>
      </c>
      <c r="AC57" s="583">
        <v>455511</v>
      </c>
    </row>
    <row r="58" spans="1:29" x14ac:dyDescent="0.35">
      <c r="A58" s="655"/>
      <c r="B58" s="509" t="s">
        <v>956</v>
      </c>
      <c r="C58" s="584">
        <v>8812</v>
      </c>
      <c r="D58" s="584">
        <v>7458</v>
      </c>
      <c r="E58" s="584">
        <v>16270</v>
      </c>
      <c r="F58" s="584">
        <v>650</v>
      </c>
      <c r="G58" s="584">
        <v>672</v>
      </c>
      <c r="H58" s="584">
        <v>1322</v>
      </c>
      <c r="I58" s="584">
        <v>24635</v>
      </c>
      <c r="J58" s="584">
        <v>24080</v>
      </c>
      <c r="K58" s="584">
        <v>48715</v>
      </c>
      <c r="L58" s="584">
        <v>162498</v>
      </c>
      <c r="M58" s="584">
        <v>178598</v>
      </c>
      <c r="N58" s="584">
        <v>341096</v>
      </c>
      <c r="O58" s="584">
        <v>2692</v>
      </c>
      <c r="P58" s="584">
        <v>2215</v>
      </c>
      <c r="Q58" s="584">
        <v>4907</v>
      </c>
      <c r="R58" s="584">
        <v>17816</v>
      </c>
      <c r="S58" s="584">
        <v>12949</v>
      </c>
      <c r="T58" s="584">
        <v>30765</v>
      </c>
      <c r="U58" s="584">
        <v>2340</v>
      </c>
      <c r="V58" s="584">
        <v>1627</v>
      </c>
      <c r="W58" s="584">
        <v>3967</v>
      </c>
      <c r="X58" s="584">
        <v>2999</v>
      </c>
      <c r="Y58" s="584">
        <v>1497</v>
      </c>
      <c r="Z58" s="584">
        <v>4496</v>
      </c>
      <c r="AA58" s="584">
        <v>222442</v>
      </c>
      <c r="AB58" s="584">
        <v>229096</v>
      </c>
      <c r="AC58" s="584">
        <v>451538</v>
      </c>
    </row>
    <row r="59" spans="1:29" ht="14.5" x14ac:dyDescent="0.35">
      <c r="A59" s="655">
        <v>9</v>
      </c>
      <c r="B59" s="943" t="s">
        <v>20</v>
      </c>
      <c r="C59" s="928"/>
      <c r="D59" s="928"/>
      <c r="E59" s="928"/>
      <c r="F59" s="928"/>
      <c r="G59" s="928"/>
      <c r="H59" s="928"/>
      <c r="I59" s="928"/>
      <c r="J59" s="928"/>
      <c r="K59" s="928"/>
      <c r="L59" s="928"/>
      <c r="M59" s="928"/>
      <c r="N59" s="928"/>
      <c r="O59" s="928"/>
      <c r="P59" s="928"/>
      <c r="Q59" s="928"/>
      <c r="R59" s="928"/>
      <c r="S59" s="928"/>
      <c r="T59" s="928"/>
      <c r="U59" s="928"/>
      <c r="V59" s="928"/>
      <c r="W59" s="928"/>
      <c r="X59" s="928"/>
      <c r="Y59" s="928"/>
      <c r="Z59" s="928"/>
      <c r="AA59" s="928"/>
      <c r="AB59" s="928"/>
      <c r="AC59" s="928"/>
    </row>
    <row r="60" spans="1:29" x14ac:dyDescent="0.35">
      <c r="A60" s="655"/>
      <c r="B60" s="508" t="s">
        <v>960</v>
      </c>
      <c r="C60" s="582">
        <v>851</v>
      </c>
      <c r="D60" s="582">
        <v>965</v>
      </c>
      <c r="E60" s="582">
        <v>1816</v>
      </c>
      <c r="F60" s="582">
        <v>4</v>
      </c>
      <c r="G60" s="582">
        <v>11</v>
      </c>
      <c r="H60" s="582">
        <v>15</v>
      </c>
      <c r="I60" s="582">
        <v>2774</v>
      </c>
      <c r="J60" s="582">
        <v>3967</v>
      </c>
      <c r="K60" s="582">
        <v>6741</v>
      </c>
      <c r="L60" s="582">
        <v>20650</v>
      </c>
      <c r="M60" s="582">
        <v>21830</v>
      </c>
      <c r="N60" s="582">
        <v>42480</v>
      </c>
      <c r="O60" s="582">
        <v>42</v>
      </c>
      <c r="P60" s="582">
        <v>59</v>
      </c>
      <c r="Q60" s="582">
        <v>101</v>
      </c>
      <c r="R60" s="582">
        <v>3354</v>
      </c>
      <c r="S60" s="582">
        <v>1369</v>
      </c>
      <c r="T60" s="582">
        <v>4723</v>
      </c>
      <c r="U60" s="582">
        <v>241</v>
      </c>
      <c r="V60" s="582">
        <v>11</v>
      </c>
      <c r="W60" s="582">
        <v>252</v>
      </c>
      <c r="X60" s="582">
        <v>1698</v>
      </c>
      <c r="Y60" s="582">
        <v>1389</v>
      </c>
      <c r="Z60" s="582">
        <v>3087</v>
      </c>
      <c r="AA60" s="582">
        <v>29614</v>
      </c>
      <c r="AB60" s="582">
        <v>29601</v>
      </c>
      <c r="AC60" s="582">
        <v>59215</v>
      </c>
    </row>
    <row r="61" spans="1:29" x14ac:dyDescent="0.35">
      <c r="A61" s="655"/>
      <c r="B61" s="509" t="s">
        <v>959</v>
      </c>
      <c r="C61" s="583">
        <v>635</v>
      </c>
      <c r="D61" s="583">
        <v>743</v>
      </c>
      <c r="E61" s="583">
        <v>1378</v>
      </c>
      <c r="F61" s="583">
        <v>4</v>
      </c>
      <c r="G61" s="583">
        <v>10</v>
      </c>
      <c r="H61" s="583">
        <v>14</v>
      </c>
      <c r="I61" s="583">
        <v>2623</v>
      </c>
      <c r="J61" s="583">
        <v>3996</v>
      </c>
      <c r="K61" s="583">
        <v>6619</v>
      </c>
      <c r="L61" s="583">
        <v>20742</v>
      </c>
      <c r="M61" s="583">
        <v>21541</v>
      </c>
      <c r="N61" s="583">
        <v>42283</v>
      </c>
      <c r="O61" s="583">
        <v>135</v>
      </c>
      <c r="P61" s="583">
        <v>74</v>
      </c>
      <c r="Q61" s="583">
        <v>209</v>
      </c>
      <c r="R61" s="583">
        <v>5132</v>
      </c>
      <c r="S61" s="583">
        <v>1132</v>
      </c>
      <c r="T61" s="583">
        <v>6264</v>
      </c>
      <c r="U61" s="583">
        <v>66</v>
      </c>
      <c r="V61" s="583">
        <v>13</v>
      </c>
      <c r="W61" s="583">
        <v>79</v>
      </c>
      <c r="X61" s="583">
        <v>1669</v>
      </c>
      <c r="Y61" s="583">
        <v>1340</v>
      </c>
      <c r="Z61" s="583">
        <v>3009</v>
      </c>
      <c r="AA61" s="583">
        <v>31006</v>
      </c>
      <c r="AB61" s="583">
        <v>28849</v>
      </c>
      <c r="AC61" s="583">
        <v>59855</v>
      </c>
    </row>
    <row r="62" spans="1:29" x14ac:dyDescent="0.35">
      <c r="A62" s="655"/>
      <c r="B62" s="509" t="s">
        <v>958</v>
      </c>
      <c r="C62" s="583">
        <v>494</v>
      </c>
      <c r="D62" s="583">
        <v>407</v>
      </c>
      <c r="E62" s="583">
        <v>901</v>
      </c>
      <c r="F62" s="583">
        <v>10</v>
      </c>
      <c r="G62" s="583"/>
      <c r="H62" s="583">
        <v>10</v>
      </c>
      <c r="I62" s="583">
        <v>2710</v>
      </c>
      <c r="J62" s="583">
        <v>3680</v>
      </c>
      <c r="K62" s="583">
        <v>6390</v>
      </c>
      <c r="L62" s="583">
        <v>20831</v>
      </c>
      <c r="M62" s="583">
        <v>21355</v>
      </c>
      <c r="N62" s="583">
        <v>42186</v>
      </c>
      <c r="O62" s="583">
        <v>48</v>
      </c>
      <c r="P62" s="583">
        <v>56</v>
      </c>
      <c r="Q62" s="583">
        <v>104</v>
      </c>
      <c r="R62" s="583">
        <v>6490</v>
      </c>
      <c r="S62" s="583">
        <v>945</v>
      </c>
      <c r="T62" s="583">
        <v>7435</v>
      </c>
      <c r="U62" s="583">
        <v>12</v>
      </c>
      <c r="V62" s="583"/>
      <c r="W62" s="583">
        <v>12</v>
      </c>
      <c r="X62" s="583">
        <v>1581</v>
      </c>
      <c r="Y62" s="583">
        <v>1221</v>
      </c>
      <c r="Z62" s="583">
        <v>2802</v>
      </c>
      <c r="AA62" s="583">
        <v>32176</v>
      </c>
      <c r="AB62" s="583">
        <v>27664</v>
      </c>
      <c r="AC62" s="583">
        <v>59840</v>
      </c>
    </row>
    <row r="63" spans="1:29" x14ac:dyDescent="0.35">
      <c r="A63" s="655"/>
      <c r="B63" s="509" t="s">
        <v>957</v>
      </c>
      <c r="C63" s="583">
        <v>276</v>
      </c>
      <c r="D63" s="583">
        <v>340</v>
      </c>
      <c r="E63" s="583">
        <v>616</v>
      </c>
      <c r="F63" s="583">
        <v>6</v>
      </c>
      <c r="G63" s="583">
        <v>2</v>
      </c>
      <c r="H63" s="583">
        <v>8</v>
      </c>
      <c r="I63" s="583">
        <v>2169</v>
      </c>
      <c r="J63" s="583">
        <v>3376</v>
      </c>
      <c r="K63" s="583">
        <v>5545</v>
      </c>
      <c r="L63" s="583">
        <v>17717</v>
      </c>
      <c r="M63" s="583">
        <v>21797</v>
      </c>
      <c r="N63" s="583">
        <v>39514</v>
      </c>
      <c r="O63" s="583">
        <v>24</v>
      </c>
      <c r="P63" s="583">
        <v>71</v>
      </c>
      <c r="Q63" s="583">
        <v>95</v>
      </c>
      <c r="R63" s="583">
        <v>4656</v>
      </c>
      <c r="S63" s="583">
        <v>1534</v>
      </c>
      <c r="T63" s="583">
        <v>6190</v>
      </c>
      <c r="U63" s="583">
        <v>17</v>
      </c>
      <c r="V63" s="583">
        <v>14</v>
      </c>
      <c r="W63" s="583">
        <v>31</v>
      </c>
      <c r="X63" s="583">
        <v>422</v>
      </c>
      <c r="Y63" s="583">
        <v>923</v>
      </c>
      <c r="Z63" s="583">
        <v>1345</v>
      </c>
      <c r="AA63" s="583">
        <v>25287</v>
      </c>
      <c r="AB63" s="583">
        <v>28057</v>
      </c>
      <c r="AC63" s="583">
        <v>53344</v>
      </c>
    </row>
    <row r="64" spans="1:29" x14ac:dyDescent="0.35">
      <c r="A64" s="655"/>
      <c r="B64" s="509" t="s">
        <v>956</v>
      </c>
      <c r="C64" s="584">
        <v>217</v>
      </c>
      <c r="D64" s="584">
        <v>216</v>
      </c>
      <c r="E64" s="584">
        <v>433</v>
      </c>
      <c r="F64" s="584">
        <v>1</v>
      </c>
      <c r="G64" s="584">
        <v>4</v>
      </c>
      <c r="H64" s="584">
        <v>5</v>
      </c>
      <c r="I64" s="584">
        <v>1799</v>
      </c>
      <c r="J64" s="584">
        <v>3139</v>
      </c>
      <c r="K64" s="584">
        <v>4938</v>
      </c>
      <c r="L64" s="584">
        <v>15641</v>
      </c>
      <c r="M64" s="584">
        <v>20727</v>
      </c>
      <c r="N64" s="584">
        <v>36368</v>
      </c>
      <c r="O64" s="584">
        <v>39</v>
      </c>
      <c r="P64" s="584">
        <v>52</v>
      </c>
      <c r="Q64" s="584">
        <v>91</v>
      </c>
      <c r="R64" s="584">
        <v>4412</v>
      </c>
      <c r="S64" s="584">
        <v>872</v>
      </c>
      <c r="T64" s="584">
        <v>5284</v>
      </c>
      <c r="U64" s="584">
        <v>20</v>
      </c>
      <c r="V64" s="584">
        <v>4</v>
      </c>
      <c r="W64" s="584">
        <v>24</v>
      </c>
      <c r="X64" s="584">
        <v>196</v>
      </c>
      <c r="Y64" s="584">
        <v>528</v>
      </c>
      <c r="Z64" s="584">
        <v>724</v>
      </c>
      <c r="AA64" s="584">
        <v>22325</v>
      </c>
      <c r="AB64" s="584">
        <v>25542</v>
      </c>
      <c r="AC64" s="584">
        <v>47867</v>
      </c>
    </row>
    <row r="65" spans="1:29" ht="14.5" x14ac:dyDescent="0.35">
      <c r="A65" s="655">
        <v>10</v>
      </c>
      <c r="B65" s="943" t="s">
        <v>21</v>
      </c>
      <c r="C65" s="928"/>
      <c r="D65" s="928"/>
      <c r="E65" s="928"/>
      <c r="F65" s="928"/>
      <c r="G65" s="928"/>
      <c r="H65" s="928"/>
      <c r="I65" s="928"/>
      <c r="J65" s="928"/>
      <c r="K65" s="928"/>
      <c r="L65" s="928"/>
      <c r="M65" s="928"/>
      <c r="N65" s="928"/>
      <c r="O65" s="928"/>
      <c r="P65" s="928"/>
      <c r="Q65" s="928"/>
      <c r="R65" s="928"/>
      <c r="S65" s="928"/>
      <c r="T65" s="928"/>
      <c r="U65" s="928"/>
      <c r="V65" s="928"/>
      <c r="W65" s="928"/>
      <c r="X65" s="928"/>
      <c r="Y65" s="928"/>
      <c r="Z65" s="928"/>
      <c r="AA65" s="928"/>
      <c r="AB65" s="928"/>
      <c r="AC65" s="928"/>
    </row>
    <row r="66" spans="1:29" x14ac:dyDescent="0.35">
      <c r="A66" s="655"/>
      <c r="B66" s="508" t="s">
        <v>960</v>
      </c>
      <c r="C66" s="582">
        <v>9232</v>
      </c>
      <c r="D66" s="582">
        <v>7824</v>
      </c>
      <c r="E66" s="582">
        <v>17056</v>
      </c>
      <c r="F66" s="582"/>
      <c r="G66" s="582">
        <v>27</v>
      </c>
      <c r="H66" s="582">
        <v>27</v>
      </c>
      <c r="I66" s="582">
        <v>99237</v>
      </c>
      <c r="J66" s="582">
        <v>114181</v>
      </c>
      <c r="K66" s="582">
        <v>213418</v>
      </c>
      <c r="L66" s="582">
        <v>729877</v>
      </c>
      <c r="M66" s="582">
        <v>598666</v>
      </c>
      <c r="N66" s="582">
        <v>1328543</v>
      </c>
      <c r="O66" s="582">
        <v>4263</v>
      </c>
      <c r="P66" s="582">
        <v>3834</v>
      </c>
      <c r="Q66" s="582">
        <v>8097</v>
      </c>
      <c r="R66" s="582">
        <v>112158</v>
      </c>
      <c r="S66" s="582">
        <v>71070</v>
      </c>
      <c r="T66" s="582">
        <v>183228</v>
      </c>
      <c r="U66" s="582">
        <v>3849</v>
      </c>
      <c r="V66" s="582">
        <v>3505</v>
      </c>
      <c r="W66" s="582">
        <v>7354</v>
      </c>
      <c r="X66" s="582">
        <v>17646</v>
      </c>
      <c r="Y66" s="582">
        <v>13504</v>
      </c>
      <c r="Z66" s="582">
        <v>31150</v>
      </c>
      <c r="AA66" s="582">
        <v>976262</v>
      </c>
      <c r="AB66" s="582">
        <v>812611</v>
      </c>
      <c r="AC66" s="582">
        <v>1788873</v>
      </c>
    </row>
    <row r="67" spans="1:29" x14ac:dyDescent="0.35">
      <c r="A67" s="655"/>
      <c r="B67" s="509" t="s">
        <v>959</v>
      </c>
      <c r="C67" s="583">
        <v>6166</v>
      </c>
      <c r="D67" s="583">
        <v>4963</v>
      </c>
      <c r="E67" s="583">
        <v>11129</v>
      </c>
      <c r="F67" s="583">
        <v>31</v>
      </c>
      <c r="G67" s="583">
        <v>17</v>
      </c>
      <c r="H67" s="583">
        <v>48</v>
      </c>
      <c r="I67" s="583">
        <v>99686</v>
      </c>
      <c r="J67" s="583">
        <v>109185</v>
      </c>
      <c r="K67" s="583">
        <v>208871</v>
      </c>
      <c r="L67" s="583">
        <v>726831</v>
      </c>
      <c r="M67" s="583">
        <v>573092</v>
      </c>
      <c r="N67" s="583">
        <v>1299923</v>
      </c>
      <c r="O67" s="583">
        <v>4916</v>
      </c>
      <c r="P67" s="583">
        <v>4295</v>
      </c>
      <c r="Q67" s="583">
        <v>9211</v>
      </c>
      <c r="R67" s="583">
        <v>108151</v>
      </c>
      <c r="S67" s="583">
        <v>61998</v>
      </c>
      <c r="T67" s="583">
        <v>170149</v>
      </c>
      <c r="U67" s="583">
        <v>3397</v>
      </c>
      <c r="V67" s="583">
        <v>3318</v>
      </c>
      <c r="W67" s="583">
        <v>6715</v>
      </c>
      <c r="X67" s="583">
        <v>16042</v>
      </c>
      <c r="Y67" s="583">
        <v>12544</v>
      </c>
      <c r="Z67" s="583">
        <v>28586</v>
      </c>
      <c r="AA67" s="583">
        <v>965220</v>
      </c>
      <c r="AB67" s="583">
        <v>769412</v>
      </c>
      <c r="AC67" s="583">
        <v>1734632</v>
      </c>
    </row>
    <row r="68" spans="1:29" x14ac:dyDescent="0.35">
      <c r="A68" s="655"/>
      <c r="B68" s="509" t="s">
        <v>958</v>
      </c>
      <c r="C68" s="583">
        <v>4799</v>
      </c>
      <c r="D68" s="583">
        <v>3734</v>
      </c>
      <c r="E68" s="583">
        <v>8533</v>
      </c>
      <c r="F68" s="583">
        <v>35</v>
      </c>
      <c r="G68" s="583">
        <v>29</v>
      </c>
      <c r="H68" s="583">
        <v>64</v>
      </c>
      <c r="I68" s="583">
        <v>85479</v>
      </c>
      <c r="J68" s="583">
        <v>98232</v>
      </c>
      <c r="K68" s="583">
        <v>183711</v>
      </c>
      <c r="L68" s="583">
        <v>718541</v>
      </c>
      <c r="M68" s="583">
        <v>555620</v>
      </c>
      <c r="N68" s="583">
        <v>1274161</v>
      </c>
      <c r="O68" s="583">
        <v>3499</v>
      </c>
      <c r="P68" s="583">
        <v>3585</v>
      </c>
      <c r="Q68" s="583">
        <v>7084</v>
      </c>
      <c r="R68" s="583">
        <v>109442</v>
      </c>
      <c r="S68" s="583">
        <v>54406</v>
      </c>
      <c r="T68" s="583">
        <v>163848</v>
      </c>
      <c r="U68" s="583">
        <v>3245</v>
      </c>
      <c r="V68" s="583">
        <v>2666</v>
      </c>
      <c r="W68" s="583">
        <v>5911</v>
      </c>
      <c r="X68" s="583">
        <v>12359</v>
      </c>
      <c r="Y68" s="583">
        <v>10484</v>
      </c>
      <c r="Z68" s="583">
        <v>22843</v>
      </c>
      <c r="AA68" s="583">
        <v>937399</v>
      </c>
      <c r="AB68" s="583">
        <v>728756</v>
      </c>
      <c r="AC68" s="583">
        <v>1666155</v>
      </c>
    </row>
    <row r="69" spans="1:29" x14ac:dyDescent="0.35">
      <c r="A69" s="655"/>
      <c r="B69" s="509" t="s">
        <v>957</v>
      </c>
      <c r="C69" s="583">
        <v>4819</v>
      </c>
      <c r="D69" s="583">
        <v>3202</v>
      </c>
      <c r="E69" s="583">
        <v>8021</v>
      </c>
      <c r="F69" s="583">
        <v>135</v>
      </c>
      <c r="G69" s="583">
        <v>177</v>
      </c>
      <c r="H69" s="583">
        <v>312</v>
      </c>
      <c r="I69" s="583">
        <v>79326</v>
      </c>
      <c r="J69" s="583">
        <v>91062</v>
      </c>
      <c r="K69" s="583">
        <v>170388</v>
      </c>
      <c r="L69" s="583">
        <v>675468</v>
      </c>
      <c r="M69" s="583">
        <v>523944</v>
      </c>
      <c r="N69" s="583">
        <v>1199412</v>
      </c>
      <c r="O69" s="583">
        <v>2645</v>
      </c>
      <c r="P69" s="583">
        <v>2541</v>
      </c>
      <c r="Q69" s="583">
        <v>5186</v>
      </c>
      <c r="R69" s="583">
        <v>100057</v>
      </c>
      <c r="S69" s="583">
        <v>49305</v>
      </c>
      <c r="T69" s="583">
        <v>149362</v>
      </c>
      <c r="U69" s="583">
        <v>13273</v>
      </c>
      <c r="V69" s="583">
        <v>2943</v>
      </c>
      <c r="W69" s="583">
        <v>16216</v>
      </c>
      <c r="X69" s="583">
        <v>9405</v>
      </c>
      <c r="Y69" s="583">
        <v>7575</v>
      </c>
      <c r="Z69" s="583">
        <v>16980</v>
      </c>
      <c r="AA69" s="583">
        <v>885128</v>
      </c>
      <c r="AB69" s="583">
        <v>680749</v>
      </c>
      <c r="AC69" s="583">
        <v>1565877</v>
      </c>
    </row>
    <row r="70" spans="1:29" x14ac:dyDescent="0.35">
      <c r="A70" s="655"/>
      <c r="B70" s="509" t="s">
        <v>956</v>
      </c>
      <c r="C70" s="584">
        <v>4380</v>
      </c>
      <c r="D70" s="584">
        <v>3050</v>
      </c>
      <c r="E70" s="584">
        <v>7430</v>
      </c>
      <c r="F70" s="584">
        <v>468</v>
      </c>
      <c r="G70" s="584">
        <v>469</v>
      </c>
      <c r="H70" s="584">
        <v>937</v>
      </c>
      <c r="I70" s="584">
        <v>62682</v>
      </c>
      <c r="J70" s="584">
        <v>81184</v>
      </c>
      <c r="K70" s="584">
        <v>143866</v>
      </c>
      <c r="L70" s="584">
        <v>652694</v>
      </c>
      <c r="M70" s="584">
        <v>509260</v>
      </c>
      <c r="N70" s="584">
        <v>1161954</v>
      </c>
      <c r="O70" s="584">
        <v>3055</v>
      </c>
      <c r="P70" s="584">
        <v>3009</v>
      </c>
      <c r="Q70" s="584">
        <v>6064</v>
      </c>
      <c r="R70" s="584">
        <v>94354</v>
      </c>
      <c r="S70" s="584">
        <v>44466</v>
      </c>
      <c r="T70" s="584">
        <v>138820</v>
      </c>
      <c r="U70" s="584">
        <v>3719</v>
      </c>
      <c r="V70" s="584">
        <v>4424</v>
      </c>
      <c r="W70" s="584">
        <v>8143</v>
      </c>
      <c r="X70" s="584">
        <v>7635</v>
      </c>
      <c r="Y70" s="584">
        <v>6880</v>
      </c>
      <c r="Z70" s="584">
        <v>14515</v>
      </c>
      <c r="AA70" s="584">
        <v>828987</v>
      </c>
      <c r="AB70" s="584">
        <v>652742</v>
      </c>
      <c r="AC70" s="584">
        <v>1481729</v>
      </c>
    </row>
    <row r="71" spans="1:29" ht="14.5" x14ac:dyDescent="0.35">
      <c r="A71" s="655">
        <v>11</v>
      </c>
      <c r="B71" s="943" t="s">
        <v>22</v>
      </c>
      <c r="C71" s="928"/>
      <c r="D71" s="928"/>
      <c r="E71" s="928"/>
      <c r="F71" s="928"/>
      <c r="G71" s="928"/>
      <c r="H71" s="928"/>
      <c r="I71" s="928"/>
      <c r="J71" s="928"/>
      <c r="K71" s="928"/>
      <c r="L71" s="928"/>
      <c r="M71" s="928"/>
      <c r="N71" s="928"/>
      <c r="O71" s="928"/>
      <c r="P71" s="928"/>
      <c r="Q71" s="928"/>
      <c r="R71" s="928"/>
      <c r="S71" s="928"/>
      <c r="T71" s="928"/>
      <c r="U71" s="928"/>
      <c r="V71" s="928"/>
      <c r="W71" s="928"/>
      <c r="X71" s="928"/>
      <c r="Y71" s="928"/>
      <c r="Z71" s="928"/>
      <c r="AA71" s="928"/>
      <c r="AB71" s="928"/>
      <c r="AC71" s="928"/>
    </row>
    <row r="72" spans="1:29" x14ac:dyDescent="0.35">
      <c r="A72" s="655"/>
      <c r="B72" s="508" t="s">
        <v>960</v>
      </c>
      <c r="C72" s="582">
        <v>5118</v>
      </c>
      <c r="D72" s="582">
        <v>8076</v>
      </c>
      <c r="E72" s="582">
        <v>13194</v>
      </c>
      <c r="F72" s="582">
        <v>27</v>
      </c>
      <c r="G72" s="582">
        <v>49</v>
      </c>
      <c r="H72" s="582">
        <v>76</v>
      </c>
      <c r="I72" s="582">
        <v>37804</v>
      </c>
      <c r="J72" s="582">
        <v>65972</v>
      </c>
      <c r="K72" s="582">
        <v>103776</v>
      </c>
      <c r="L72" s="582">
        <v>350850</v>
      </c>
      <c r="M72" s="582">
        <v>390371</v>
      </c>
      <c r="N72" s="582">
        <v>741221</v>
      </c>
      <c r="O72" s="582">
        <v>1613</v>
      </c>
      <c r="P72" s="582">
        <v>1669</v>
      </c>
      <c r="Q72" s="582">
        <v>3282</v>
      </c>
      <c r="R72" s="582">
        <v>64711</v>
      </c>
      <c r="S72" s="582">
        <v>32206</v>
      </c>
      <c r="T72" s="582">
        <v>96917</v>
      </c>
      <c r="U72" s="582">
        <v>874</v>
      </c>
      <c r="V72" s="582">
        <v>1211</v>
      </c>
      <c r="W72" s="582">
        <v>2085</v>
      </c>
      <c r="X72" s="582">
        <v>13403</v>
      </c>
      <c r="Y72" s="582">
        <v>13332</v>
      </c>
      <c r="Z72" s="582">
        <v>26735</v>
      </c>
      <c r="AA72" s="582">
        <v>474400</v>
      </c>
      <c r="AB72" s="582">
        <v>512886</v>
      </c>
      <c r="AC72" s="582">
        <v>987286</v>
      </c>
    </row>
    <row r="73" spans="1:29" x14ac:dyDescent="0.35">
      <c r="A73" s="655"/>
      <c r="B73" s="509" t="s">
        <v>959</v>
      </c>
      <c r="C73" s="583">
        <v>2727</v>
      </c>
      <c r="D73" s="583">
        <v>4155</v>
      </c>
      <c r="E73" s="583">
        <v>6882</v>
      </c>
      <c r="F73" s="583">
        <v>18</v>
      </c>
      <c r="G73" s="583">
        <v>47</v>
      </c>
      <c r="H73" s="583">
        <v>65</v>
      </c>
      <c r="I73" s="583">
        <v>38074</v>
      </c>
      <c r="J73" s="583">
        <v>68082</v>
      </c>
      <c r="K73" s="583">
        <v>106156</v>
      </c>
      <c r="L73" s="583">
        <v>346542</v>
      </c>
      <c r="M73" s="583">
        <v>382977</v>
      </c>
      <c r="N73" s="583">
        <v>729519</v>
      </c>
      <c r="O73" s="583">
        <v>1547</v>
      </c>
      <c r="P73" s="583">
        <v>1588</v>
      </c>
      <c r="Q73" s="583">
        <v>3135</v>
      </c>
      <c r="R73" s="583">
        <v>66760</v>
      </c>
      <c r="S73" s="583">
        <v>33365</v>
      </c>
      <c r="T73" s="583">
        <v>100125</v>
      </c>
      <c r="U73" s="583">
        <v>752</v>
      </c>
      <c r="V73" s="583">
        <v>876</v>
      </c>
      <c r="W73" s="583">
        <v>1628</v>
      </c>
      <c r="X73" s="583">
        <v>12766</v>
      </c>
      <c r="Y73" s="583">
        <v>11290</v>
      </c>
      <c r="Z73" s="583">
        <v>24056</v>
      </c>
      <c r="AA73" s="583">
        <v>469186</v>
      </c>
      <c r="AB73" s="583">
        <v>502380</v>
      </c>
      <c r="AC73" s="583">
        <v>971566</v>
      </c>
    </row>
    <row r="74" spans="1:29" x14ac:dyDescent="0.35">
      <c r="A74" s="655"/>
      <c r="B74" s="509" t="s">
        <v>958</v>
      </c>
      <c r="C74" s="583">
        <v>1784</v>
      </c>
      <c r="D74" s="583">
        <v>2385</v>
      </c>
      <c r="E74" s="583">
        <v>4169</v>
      </c>
      <c r="F74" s="583">
        <v>16</v>
      </c>
      <c r="G74" s="583">
        <v>32</v>
      </c>
      <c r="H74" s="583">
        <v>48</v>
      </c>
      <c r="I74" s="583">
        <v>36383</v>
      </c>
      <c r="J74" s="583">
        <v>65311</v>
      </c>
      <c r="K74" s="583">
        <v>101694</v>
      </c>
      <c r="L74" s="583">
        <v>325470</v>
      </c>
      <c r="M74" s="583">
        <v>359870</v>
      </c>
      <c r="N74" s="583">
        <v>685340</v>
      </c>
      <c r="O74" s="583">
        <v>1282</v>
      </c>
      <c r="P74" s="583">
        <v>1407</v>
      </c>
      <c r="Q74" s="583">
        <v>2689</v>
      </c>
      <c r="R74" s="583">
        <v>63214</v>
      </c>
      <c r="S74" s="583">
        <v>29622</v>
      </c>
      <c r="T74" s="583">
        <v>92836</v>
      </c>
      <c r="U74" s="583">
        <v>277</v>
      </c>
      <c r="V74" s="583">
        <v>511</v>
      </c>
      <c r="W74" s="583">
        <v>788</v>
      </c>
      <c r="X74" s="583">
        <v>11781</v>
      </c>
      <c r="Y74" s="583">
        <v>9648</v>
      </c>
      <c r="Z74" s="583">
        <v>21429</v>
      </c>
      <c r="AA74" s="583">
        <v>440207</v>
      </c>
      <c r="AB74" s="583">
        <v>468786</v>
      </c>
      <c r="AC74" s="583">
        <v>908993</v>
      </c>
    </row>
    <row r="75" spans="1:29" x14ac:dyDescent="0.35">
      <c r="A75" s="655"/>
      <c r="B75" s="509" t="s">
        <v>957</v>
      </c>
      <c r="C75" s="583">
        <v>2046</v>
      </c>
      <c r="D75" s="583">
        <v>2502</v>
      </c>
      <c r="E75" s="583">
        <v>4548</v>
      </c>
      <c r="F75" s="583">
        <v>104</v>
      </c>
      <c r="G75" s="583">
        <v>142</v>
      </c>
      <c r="H75" s="583">
        <v>246</v>
      </c>
      <c r="I75" s="583">
        <v>31622</v>
      </c>
      <c r="J75" s="583">
        <v>57938</v>
      </c>
      <c r="K75" s="583">
        <v>89560</v>
      </c>
      <c r="L75" s="583">
        <v>305577</v>
      </c>
      <c r="M75" s="583">
        <v>349690</v>
      </c>
      <c r="N75" s="583">
        <v>655267</v>
      </c>
      <c r="O75" s="583">
        <v>1089</v>
      </c>
      <c r="P75" s="583">
        <v>1109</v>
      </c>
      <c r="Q75" s="583">
        <v>2198</v>
      </c>
      <c r="R75" s="583">
        <v>59805</v>
      </c>
      <c r="S75" s="583">
        <v>26628</v>
      </c>
      <c r="T75" s="583">
        <v>86433</v>
      </c>
      <c r="U75" s="583">
        <v>659</v>
      </c>
      <c r="V75" s="583">
        <v>984</v>
      </c>
      <c r="W75" s="583">
        <v>1643</v>
      </c>
      <c r="X75" s="583">
        <v>9775</v>
      </c>
      <c r="Y75" s="583">
        <v>7662</v>
      </c>
      <c r="Z75" s="583">
        <v>17437</v>
      </c>
      <c r="AA75" s="583">
        <v>410677</v>
      </c>
      <c r="AB75" s="583">
        <v>446655</v>
      </c>
      <c r="AC75" s="583">
        <v>857332</v>
      </c>
    </row>
    <row r="76" spans="1:29" x14ac:dyDescent="0.35">
      <c r="A76" s="655"/>
      <c r="B76" s="509" t="s">
        <v>956</v>
      </c>
      <c r="C76" s="584">
        <v>1810</v>
      </c>
      <c r="D76" s="584">
        <v>2356</v>
      </c>
      <c r="E76" s="584">
        <v>4166</v>
      </c>
      <c r="F76" s="584">
        <v>80</v>
      </c>
      <c r="G76" s="584">
        <v>230</v>
      </c>
      <c r="H76" s="584">
        <v>310</v>
      </c>
      <c r="I76" s="584">
        <v>28328</v>
      </c>
      <c r="J76" s="584">
        <v>52669</v>
      </c>
      <c r="K76" s="584">
        <v>80997</v>
      </c>
      <c r="L76" s="584">
        <v>282926</v>
      </c>
      <c r="M76" s="584">
        <v>333714</v>
      </c>
      <c r="N76" s="584">
        <v>616640</v>
      </c>
      <c r="O76" s="584">
        <v>1372</v>
      </c>
      <c r="P76" s="584">
        <v>1360</v>
      </c>
      <c r="Q76" s="584">
        <v>2732</v>
      </c>
      <c r="R76" s="584">
        <v>49268</v>
      </c>
      <c r="S76" s="584">
        <v>21295</v>
      </c>
      <c r="T76" s="584">
        <v>70563</v>
      </c>
      <c r="U76" s="584">
        <v>1621</v>
      </c>
      <c r="V76" s="584">
        <v>1778</v>
      </c>
      <c r="W76" s="584">
        <v>3399</v>
      </c>
      <c r="X76" s="584">
        <v>8715</v>
      </c>
      <c r="Y76" s="584">
        <v>4334</v>
      </c>
      <c r="Z76" s="584">
        <v>13049</v>
      </c>
      <c r="AA76" s="584">
        <v>374120</v>
      </c>
      <c r="AB76" s="584">
        <v>417736</v>
      </c>
      <c r="AC76" s="584">
        <v>791856</v>
      </c>
    </row>
    <row r="77" spans="1:29" ht="14.5" x14ac:dyDescent="0.35">
      <c r="A77" s="655">
        <v>12</v>
      </c>
      <c r="B77" s="943" t="s">
        <v>23</v>
      </c>
      <c r="C77" s="928"/>
      <c r="D77" s="928"/>
      <c r="E77" s="928"/>
      <c r="F77" s="928"/>
      <c r="G77" s="928"/>
      <c r="H77" s="928"/>
      <c r="I77" s="928"/>
      <c r="J77" s="928"/>
      <c r="K77" s="928"/>
      <c r="L77" s="928"/>
      <c r="M77" s="928"/>
      <c r="N77" s="928"/>
      <c r="O77" s="928"/>
      <c r="P77" s="928"/>
      <c r="Q77" s="928"/>
      <c r="R77" s="928"/>
      <c r="S77" s="928"/>
      <c r="T77" s="928"/>
      <c r="U77" s="928"/>
      <c r="V77" s="928"/>
      <c r="W77" s="928"/>
      <c r="X77" s="928"/>
      <c r="Y77" s="928"/>
      <c r="Z77" s="928"/>
      <c r="AA77" s="928"/>
      <c r="AB77" s="928"/>
      <c r="AC77" s="928"/>
    </row>
    <row r="78" spans="1:29" x14ac:dyDescent="0.35">
      <c r="A78" s="655"/>
      <c r="B78" s="508" t="s">
        <v>960</v>
      </c>
      <c r="C78" s="582">
        <v>1252</v>
      </c>
      <c r="D78" s="582">
        <v>1198</v>
      </c>
      <c r="E78" s="582">
        <v>2450</v>
      </c>
      <c r="F78" s="582">
        <v>11</v>
      </c>
      <c r="G78" s="582">
        <v>1</v>
      </c>
      <c r="H78" s="582">
        <v>12</v>
      </c>
      <c r="I78" s="582">
        <v>11184</v>
      </c>
      <c r="J78" s="582">
        <v>15836</v>
      </c>
      <c r="K78" s="582">
        <v>27020</v>
      </c>
      <c r="L78" s="582">
        <v>96791</v>
      </c>
      <c r="M78" s="582">
        <v>124007</v>
      </c>
      <c r="N78" s="582">
        <v>220798</v>
      </c>
      <c r="O78" s="582">
        <v>452</v>
      </c>
      <c r="P78" s="582">
        <v>687</v>
      </c>
      <c r="Q78" s="582">
        <v>1139</v>
      </c>
      <c r="R78" s="582">
        <v>9201</v>
      </c>
      <c r="S78" s="582">
        <v>8042</v>
      </c>
      <c r="T78" s="582">
        <v>17243</v>
      </c>
      <c r="U78" s="582">
        <v>183</v>
      </c>
      <c r="V78" s="582">
        <v>121</v>
      </c>
      <c r="W78" s="582">
        <v>304</v>
      </c>
      <c r="X78" s="582">
        <v>1333</v>
      </c>
      <c r="Y78" s="582">
        <v>1285</v>
      </c>
      <c r="Z78" s="582">
        <v>2618</v>
      </c>
      <c r="AA78" s="582">
        <v>120407</v>
      </c>
      <c r="AB78" s="582">
        <v>151177</v>
      </c>
      <c r="AC78" s="582">
        <v>271584</v>
      </c>
    </row>
    <row r="79" spans="1:29" x14ac:dyDescent="0.35">
      <c r="A79" s="655"/>
      <c r="B79" s="509" t="s">
        <v>959</v>
      </c>
      <c r="C79" s="583">
        <v>965</v>
      </c>
      <c r="D79" s="583">
        <v>976</v>
      </c>
      <c r="E79" s="583">
        <v>1941</v>
      </c>
      <c r="F79" s="583">
        <v>11</v>
      </c>
      <c r="G79" s="583">
        <v>1</v>
      </c>
      <c r="H79" s="583">
        <v>12</v>
      </c>
      <c r="I79" s="583">
        <v>9591</v>
      </c>
      <c r="J79" s="583">
        <v>13622</v>
      </c>
      <c r="K79" s="583">
        <v>23213</v>
      </c>
      <c r="L79" s="583">
        <v>95333</v>
      </c>
      <c r="M79" s="583">
        <v>121559</v>
      </c>
      <c r="N79" s="583">
        <v>216892</v>
      </c>
      <c r="O79" s="583">
        <v>570</v>
      </c>
      <c r="P79" s="583">
        <v>794</v>
      </c>
      <c r="Q79" s="583">
        <v>1364</v>
      </c>
      <c r="R79" s="583">
        <v>8651</v>
      </c>
      <c r="S79" s="583">
        <v>7699</v>
      </c>
      <c r="T79" s="583">
        <v>16350</v>
      </c>
      <c r="U79" s="583">
        <v>183</v>
      </c>
      <c r="V79" s="583">
        <v>223</v>
      </c>
      <c r="W79" s="583">
        <v>406</v>
      </c>
      <c r="X79" s="583">
        <v>1531</v>
      </c>
      <c r="Y79" s="583">
        <v>1183</v>
      </c>
      <c r="Z79" s="583">
        <v>2714</v>
      </c>
      <c r="AA79" s="583">
        <v>116835</v>
      </c>
      <c r="AB79" s="583">
        <v>146057</v>
      </c>
      <c r="AC79" s="583">
        <v>262892</v>
      </c>
    </row>
    <row r="80" spans="1:29" x14ac:dyDescent="0.35">
      <c r="A80" s="655"/>
      <c r="B80" s="509" t="s">
        <v>958</v>
      </c>
      <c r="C80" s="583">
        <v>1028</v>
      </c>
      <c r="D80" s="583">
        <v>1055</v>
      </c>
      <c r="E80" s="583">
        <v>2083</v>
      </c>
      <c r="F80" s="583">
        <v>44</v>
      </c>
      <c r="G80" s="583">
        <v>38</v>
      </c>
      <c r="H80" s="583">
        <v>82</v>
      </c>
      <c r="I80" s="583">
        <v>8188</v>
      </c>
      <c r="J80" s="583">
        <v>12123</v>
      </c>
      <c r="K80" s="583">
        <v>20311</v>
      </c>
      <c r="L80" s="583">
        <v>96407</v>
      </c>
      <c r="M80" s="583">
        <v>122052</v>
      </c>
      <c r="N80" s="583">
        <v>218459</v>
      </c>
      <c r="O80" s="583">
        <v>774</v>
      </c>
      <c r="P80" s="583">
        <v>785</v>
      </c>
      <c r="Q80" s="583">
        <v>1559</v>
      </c>
      <c r="R80" s="583">
        <v>8774</v>
      </c>
      <c r="S80" s="583">
        <v>7243</v>
      </c>
      <c r="T80" s="583">
        <v>16017</v>
      </c>
      <c r="U80" s="583">
        <v>333</v>
      </c>
      <c r="V80" s="583">
        <v>204</v>
      </c>
      <c r="W80" s="583">
        <v>537</v>
      </c>
      <c r="X80" s="583">
        <v>1504</v>
      </c>
      <c r="Y80" s="583">
        <v>1101</v>
      </c>
      <c r="Z80" s="583">
        <v>2605</v>
      </c>
      <c r="AA80" s="583">
        <v>117052</v>
      </c>
      <c r="AB80" s="583">
        <v>144601</v>
      </c>
      <c r="AC80" s="583">
        <v>261653</v>
      </c>
    </row>
    <row r="81" spans="1:29" x14ac:dyDescent="0.35">
      <c r="A81" s="655"/>
      <c r="B81" s="509" t="s">
        <v>957</v>
      </c>
      <c r="C81" s="583">
        <v>1100</v>
      </c>
      <c r="D81" s="583">
        <v>1012</v>
      </c>
      <c r="E81" s="583">
        <v>2112</v>
      </c>
      <c r="F81" s="583">
        <v>136</v>
      </c>
      <c r="G81" s="583">
        <v>134</v>
      </c>
      <c r="H81" s="583">
        <v>270</v>
      </c>
      <c r="I81" s="583">
        <v>8255</v>
      </c>
      <c r="J81" s="583">
        <v>11665</v>
      </c>
      <c r="K81" s="583">
        <v>19920</v>
      </c>
      <c r="L81" s="583">
        <v>86266</v>
      </c>
      <c r="M81" s="583">
        <v>110790</v>
      </c>
      <c r="N81" s="583">
        <v>197056</v>
      </c>
      <c r="O81" s="583">
        <v>364</v>
      </c>
      <c r="P81" s="583">
        <v>572</v>
      </c>
      <c r="Q81" s="583">
        <v>936</v>
      </c>
      <c r="R81" s="583">
        <v>8096</v>
      </c>
      <c r="S81" s="583">
        <v>7505</v>
      </c>
      <c r="T81" s="583">
        <v>15601</v>
      </c>
      <c r="U81" s="583">
        <v>324</v>
      </c>
      <c r="V81" s="583">
        <v>236</v>
      </c>
      <c r="W81" s="583">
        <v>560</v>
      </c>
      <c r="X81" s="583">
        <v>1504</v>
      </c>
      <c r="Y81" s="583">
        <v>965</v>
      </c>
      <c r="Z81" s="583">
        <v>2469</v>
      </c>
      <c r="AA81" s="583">
        <v>106045</v>
      </c>
      <c r="AB81" s="583">
        <v>132879</v>
      </c>
      <c r="AC81" s="583">
        <v>238924</v>
      </c>
    </row>
    <row r="82" spans="1:29" x14ac:dyDescent="0.35">
      <c r="A82" s="655"/>
      <c r="B82" s="509" t="s">
        <v>956</v>
      </c>
      <c r="C82" s="584">
        <v>1027</v>
      </c>
      <c r="D82" s="584">
        <v>897</v>
      </c>
      <c r="E82" s="584">
        <v>1924</v>
      </c>
      <c r="F82" s="584">
        <v>118</v>
      </c>
      <c r="G82" s="584">
        <v>214</v>
      </c>
      <c r="H82" s="584">
        <v>332</v>
      </c>
      <c r="I82" s="584">
        <v>7680</v>
      </c>
      <c r="J82" s="584">
        <v>10928</v>
      </c>
      <c r="K82" s="584">
        <v>18608</v>
      </c>
      <c r="L82" s="584">
        <v>88779</v>
      </c>
      <c r="M82" s="584">
        <v>113683</v>
      </c>
      <c r="N82" s="584">
        <v>202462</v>
      </c>
      <c r="O82" s="584">
        <v>354</v>
      </c>
      <c r="P82" s="584">
        <v>682</v>
      </c>
      <c r="Q82" s="584">
        <v>1036</v>
      </c>
      <c r="R82" s="584">
        <v>8449</v>
      </c>
      <c r="S82" s="584">
        <v>7753</v>
      </c>
      <c r="T82" s="584">
        <v>16202</v>
      </c>
      <c r="U82" s="584">
        <v>590</v>
      </c>
      <c r="V82" s="584">
        <v>677</v>
      </c>
      <c r="W82" s="584">
        <v>1267</v>
      </c>
      <c r="X82" s="584">
        <v>990</v>
      </c>
      <c r="Y82" s="584">
        <v>523</v>
      </c>
      <c r="Z82" s="584">
        <v>1513</v>
      </c>
      <c r="AA82" s="584">
        <v>107987</v>
      </c>
      <c r="AB82" s="584">
        <v>135357</v>
      </c>
      <c r="AC82" s="584">
        <v>243344</v>
      </c>
    </row>
    <row r="83" spans="1:29" ht="14.5" x14ac:dyDescent="0.35">
      <c r="A83" s="655">
        <v>13</v>
      </c>
      <c r="B83" s="943" t="s">
        <v>24</v>
      </c>
      <c r="C83" s="928"/>
      <c r="D83" s="928"/>
      <c r="E83" s="928"/>
      <c r="F83" s="928"/>
      <c r="G83" s="928"/>
      <c r="H83" s="928"/>
      <c r="I83" s="928"/>
      <c r="J83" s="928"/>
      <c r="K83" s="928"/>
      <c r="L83" s="928"/>
      <c r="M83" s="928"/>
      <c r="N83" s="928"/>
      <c r="O83" s="928"/>
      <c r="P83" s="928"/>
      <c r="Q83" s="928"/>
      <c r="R83" s="928"/>
      <c r="S83" s="928"/>
      <c r="T83" s="928"/>
      <c r="U83" s="928"/>
      <c r="V83" s="928"/>
      <c r="W83" s="928"/>
      <c r="X83" s="928"/>
      <c r="Y83" s="928"/>
      <c r="Z83" s="928"/>
      <c r="AA83" s="928"/>
      <c r="AB83" s="928"/>
      <c r="AC83" s="928"/>
    </row>
    <row r="84" spans="1:29" x14ac:dyDescent="0.35">
      <c r="A84" s="655"/>
      <c r="B84" s="508" t="s">
        <v>960</v>
      </c>
      <c r="C84" s="582">
        <v>2461</v>
      </c>
      <c r="D84" s="582">
        <v>2799</v>
      </c>
      <c r="E84" s="582">
        <v>5260</v>
      </c>
      <c r="F84" s="582"/>
      <c r="G84" s="582"/>
      <c r="H84" s="582"/>
      <c r="I84" s="582">
        <v>8793</v>
      </c>
      <c r="J84" s="582">
        <v>11406</v>
      </c>
      <c r="K84" s="582">
        <v>20199</v>
      </c>
      <c r="L84" s="582">
        <v>88869</v>
      </c>
      <c r="M84" s="582">
        <v>101489</v>
      </c>
      <c r="N84" s="582">
        <v>190358</v>
      </c>
      <c r="O84" s="582">
        <v>160</v>
      </c>
      <c r="P84" s="582">
        <v>138</v>
      </c>
      <c r="Q84" s="582">
        <v>298</v>
      </c>
      <c r="R84" s="582">
        <v>10115</v>
      </c>
      <c r="S84" s="582">
        <v>10380</v>
      </c>
      <c r="T84" s="582">
        <v>20495</v>
      </c>
      <c r="U84" s="582">
        <v>174</v>
      </c>
      <c r="V84" s="582">
        <v>260</v>
      </c>
      <c r="W84" s="582">
        <v>434</v>
      </c>
      <c r="X84" s="582">
        <v>4867</v>
      </c>
      <c r="Y84" s="582">
        <v>5947</v>
      </c>
      <c r="Z84" s="582">
        <v>10814</v>
      </c>
      <c r="AA84" s="582">
        <v>115439</v>
      </c>
      <c r="AB84" s="582">
        <v>132419</v>
      </c>
      <c r="AC84" s="582">
        <v>247858</v>
      </c>
    </row>
    <row r="85" spans="1:29" x14ac:dyDescent="0.35">
      <c r="A85" s="655"/>
      <c r="B85" s="509" t="s">
        <v>959</v>
      </c>
      <c r="C85" s="583">
        <v>1788</v>
      </c>
      <c r="D85" s="583">
        <v>2085</v>
      </c>
      <c r="E85" s="583">
        <v>3873</v>
      </c>
      <c r="F85" s="583"/>
      <c r="G85" s="583"/>
      <c r="H85" s="583"/>
      <c r="I85" s="583">
        <v>8986</v>
      </c>
      <c r="J85" s="583">
        <v>12256</v>
      </c>
      <c r="K85" s="583">
        <v>21242</v>
      </c>
      <c r="L85" s="583">
        <v>106111</v>
      </c>
      <c r="M85" s="583">
        <v>114248</v>
      </c>
      <c r="N85" s="583">
        <v>220359</v>
      </c>
      <c r="O85" s="583">
        <v>120</v>
      </c>
      <c r="P85" s="583">
        <v>108</v>
      </c>
      <c r="Q85" s="583">
        <v>228</v>
      </c>
      <c r="R85" s="583">
        <v>9175</v>
      </c>
      <c r="S85" s="583">
        <v>10486</v>
      </c>
      <c r="T85" s="583">
        <v>19661</v>
      </c>
      <c r="U85" s="583">
        <v>550</v>
      </c>
      <c r="V85" s="583">
        <v>587</v>
      </c>
      <c r="W85" s="583">
        <v>1137</v>
      </c>
      <c r="X85" s="583">
        <v>5379</v>
      </c>
      <c r="Y85" s="583">
        <v>6217</v>
      </c>
      <c r="Z85" s="583">
        <v>11596</v>
      </c>
      <c r="AA85" s="583">
        <v>132109</v>
      </c>
      <c r="AB85" s="583">
        <v>145987</v>
      </c>
      <c r="AC85" s="583">
        <v>278096</v>
      </c>
    </row>
    <row r="86" spans="1:29" x14ac:dyDescent="0.35">
      <c r="A86" s="655"/>
      <c r="B86" s="509" t="s">
        <v>958</v>
      </c>
      <c r="C86" s="583">
        <v>1879</v>
      </c>
      <c r="D86" s="583">
        <v>1923</v>
      </c>
      <c r="E86" s="583">
        <v>3802</v>
      </c>
      <c r="F86" s="583">
        <v>41</v>
      </c>
      <c r="G86" s="583">
        <v>82</v>
      </c>
      <c r="H86" s="583">
        <v>123</v>
      </c>
      <c r="I86" s="583">
        <v>9318</v>
      </c>
      <c r="J86" s="583">
        <v>11831</v>
      </c>
      <c r="K86" s="583">
        <v>21149</v>
      </c>
      <c r="L86" s="583">
        <v>105063</v>
      </c>
      <c r="M86" s="583">
        <v>115560</v>
      </c>
      <c r="N86" s="583">
        <v>220623</v>
      </c>
      <c r="O86" s="583">
        <v>193</v>
      </c>
      <c r="P86" s="583">
        <v>119</v>
      </c>
      <c r="Q86" s="583">
        <v>312</v>
      </c>
      <c r="R86" s="583">
        <v>8876</v>
      </c>
      <c r="S86" s="583">
        <v>10500</v>
      </c>
      <c r="T86" s="583">
        <v>19376</v>
      </c>
      <c r="U86" s="583">
        <v>330</v>
      </c>
      <c r="V86" s="583">
        <v>334</v>
      </c>
      <c r="W86" s="583">
        <v>664</v>
      </c>
      <c r="X86" s="583">
        <v>4188</v>
      </c>
      <c r="Y86" s="583">
        <v>4959</v>
      </c>
      <c r="Z86" s="583">
        <v>9147</v>
      </c>
      <c r="AA86" s="583">
        <v>129888</v>
      </c>
      <c r="AB86" s="583">
        <v>145308</v>
      </c>
      <c r="AC86" s="583">
        <v>275196</v>
      </c>
    </row>
    <row r="87" spans="1:29" x14ac:dyDescent="0.35">
      <c r="A87" s="655"/>
      <c r="B87" s="509" t="s">
        <v>957</v>
      </c>
      <c r="C87" s="583">
        <v>2412</v>
      </c>
      <c r="D87" s="583">
        <v>2033</v>
      </c>
      <c r="E87" s="583">
        <v>4445</v>
      </c>
      <c r="F87" s="583">
        <v>117</v>
      </c>
      <c r="G87" s="583">
        <v>180</v>
      </c>
      <c r="H87" s="583">
        <v>297</v>
      </c>
      <c r="I87" s="583">
        <v>9240</v>
      </c>
      <c r="J87" s="583">
        <v>11038</v>
      </c>
      <c r="K87" s="583">
        <v>20278</v>
      </c>
      <c r="L87" s="583">
        <v>109709</v>
      </c>
      <c r="M87" s="583">
        <v>121257</v>
      </c>
      <c r="N87" s="583">
        <v>230966</v>
      </c>
      <c r="O87" s="583">
        <v>159</v>
      </c>
      <c r="P87" s="583">
        <v>98</v>
      </c>
      <c r="Q87" s="583">
        <v>257</v>
      </c>
      <c r="R87" s="583">
        <v>12399</v>
      </c>
      <c r="S87" s="583">
        <v>11890</v>
      </c>
      <c r="T87" s="583">
        <v>24289</v>
      </c>
      <c r="U87" s="583">
        <v>805</v>
      </c>
      <c r="V87" s="583">
        <v>746</v>
      </c>
      <c r="W87" s="583">
        <v>1551</v>
      </c>
      <c r="X87" s="583">
        <v>4509</v>
      </c>
      <c r="Y87" s="583">
        <v>5401</v>
      </c>
      <c r="Z87" s="583">
        <v>9910</v>
      </c>
      <c r="AA87" s="583">
        <v>139350</v>
      </c>
      <c r="AB87" s="583">
        <v>152643</v>
      </c>
      <c r="AC87" s="583">
        <v>291993</v>
      </c>
    </row>
    <row r="88" spans="1:29" x14ac:dyDescent="0.35">
      <c r="A88" s="655"/>
      <c r="B88" s="509" t="s">
        <v>956</v>
      </c>
      <c r="C88" s="584">
        <v>2080</v>
      </c>
      <c r="D88" s="584">
        <v>1909</v>
      </c>
      <c r="E88" s="584">
        <v>3989</v>
      </c>
      <c r="F88" s="584">
        <v>94</v>
      </c>
      <c r="G88" s="584">
        <v>156</v>
      </c>
      <c r="H88" s="584">
        <v>250</v>
      </c>
      <c r="I88" s="584">
        <v>9412</v>
      </c>
      <c r="J88" s="584">
        <v>9747</v>
      </c>
      <c r="K88" s="584">
        <v>19159</v>
      </c>
      <c r="L88" s="584">
        <v>112144</v>
      </c>
      <c r="M88" s="584">
        <v>118427</v>
      </c>
      <c r="N88" s="584">
        <v>230571</v>
      </c>
      <c r="O88" s="584">
        <v>220</v>
      </c>
      <c r="P88" s="584">
        <v>145</v>
      </c>
      <c r="Q88" s="584">
        <v>365</v>
      </c>
      <c r="R88" s="584">
        <v>8637</v>
      </c>
      <c r="S88" s="584">
        <v>6219</v>
      </c>
      <c r="T88" s="584">
        <v>14856</v>
      </c>
      <c r="U88" s="584">
        <v>988</v>
      </c>
      <c r="V88" s="584">
        <v>1119</v>
      </c>
      <c r="W88" s="584">
        <v>2107</v>
      </c>
      <c r="X88" s="584">
        <v>2846</v>
      </c>
      <c r="Y88" s="584">
        <v>3540</v>
      </c>
      <c r="Z88" s="584">
        <v>6386</v>
      </c>
      <c r="AA88" s="584">
        <v>136421</v>
      </c>
      <c r="AB88" s="584">
        <v>141262</v>
      </c>
      <c r="AC88" s="584">
        <v>277683</v>
      </c>
    </row>
    <row r="89" spans="1:29" ht="14.5" x14ac:dyDescent="0.35">
      <c r="A89" s="655">
        <v>14</v>
      </c>
      <c r="B89" s="943" t="s">
        <v>25</v>
      </c>
      <c r="C89" s="928"/>
      <c r="D89" s="928"/>
      <c r="E89" s="928"/>
      <c r="F89" s="928"/>
      <c r="G89" s="928"/>
      <c r="H89" s="928"/>
      <c r="I89" s="928"/>
      <c r="J89" s="928"/>
      <c r="K89" s="928"/>
      <c r="L89" s="928"/>
      <c r="M89" s="928"/>
      <c r="N89" s="928"/>
      <c r="O89" s="928"/>
      <c r="P89" s="928"/>
      <c r="Q89" s="928"/>
      <c r="R89" s="928"/>
      <c r="S89" s="928"/>
      <c r="T89" s="928"/>
      <c r="U89" s="928"/>
      <c r="V89" s="928"/>
      <c r="W89" s="928"/>
      <c r="X89" s="928"/>
      <c r="Y89" s="928"/>
      <c r="Z89" s="928"/>
      <c r="AA89" s="928"/>
      <c r="AB89" s="928"/>
      <c r="AC89" s="928"/>
    </row>
    <row r="90" spans="1:29" x14ac:dyDescent="0.35">
      <c r="A90" s="655"/>
      <c r="B90" s="508" t="s">
        <v>960</v>
      </c>
      <c r="C90" s="582">
        <v>2807</v>
      </c>
      <c r="D90" s="582">
        <v>1913</v>
      </c>
      <c r="E90" s="582">
        <v>4720</v>
      </c>
      <c r="F90" s="582">
        <v>21</v>
      </c>
      <c r="G90" s="582">
        <v>70</v>
      </c>
      <c r="H90" s="582">
        <v>91</v>
      </c>
      <c r="I90" s="582">
        <v>35018</v>
      </c>
      <c r="J90" s="582">
        <v>51262</v>
      </c>
      <c r="K90" s="582">
        <v>86280</v>
      </c>
      <c r="L90" s="582">
        <v>335562</v>
      </c>
      <c r="M90" s="582">
        <v>361467</v>
      </c>
      <c r="N90" s="582">
        <v>697029</v>
      </c>
      <c r="O90" s="582">
        <v>1490</v>
      </c>
      <c r="P90" s="582">
        <v>979</v>
      </c>
      <c r="Q90" s="582">
        <v>2469</v>
      </c>
      <c r="R90" s="582">
        <v>45679</v>
      </c>
      <c r="S90" s="582">
        <v>29693</v>
      </c>
      <c r="T90" s="582">
        <v>75372</v>
      </c>
      <c r="U90" s="582">
        <v>1940</v>
      </c>
      <c r="V90" s="582">
        <v>963</v>
      </c>
      <c r="W90" s="582">
        <v>2903</v>
      </c>
      <c r="X90" s="582">
        <v>3332</v>
      </c>
      <c r="Y90" s="582">
        <v>2365</v>
      </c>
      <c r="Z90" s="582">
        <v>5697</v>
      </c>
      <c r="AA90" s="582">
        <v>425849</v>
      </c>
      <c r="AB90" s="582">
        <v>448712</v>
      </c>
      <c r="AC90" s="582">
        <v>874561</v>
      </c>
    </row>
    <row r="91" spans="1:29" x14ac:dyDescent="0.35">
      <c r="A91" s="655"/>
      <c r="B91" s="509" t="s">
        <v>959</v>
      </c>
      <c r="C91" s="583">
        <v>1403</v>
      </c>
      <c r="D91" s="583">
        <v>879</v>
      </c>
      <c r="E91" s="583">
        <v>2282</v>
      </c>
      <c r="F91" s="583">
        <v>13</v>
      </c>
      <c r="G91" s="583">
        <v>66</v>
      </c>
      <c r="H91" s="583">
        <v>79</v>
      </c>
      <c r="I91" s="583">
        <v>37646</v>
      </c>
      <c r="J91" s="583">
        <v>55865</v>
      </c>
      <c r="K91" s="583">
        <v>93511</v>
      </c>
      <c r="L91" s="583">
        <v>336371</v>
      </c>
      <c r="M91" s="583">
        <v>342706</v>
      </c>
      <c r="N91" s="583">
        <v>679077</v>
      </c>
      <c r="O91" s="583">
        <v>1054</v>
      </c>
      <c r="P91" s="583">
        <v>684</v>
      </c>
      <c r="Q91" s="583">
        <v>1738</v>
      </c>
      <c r="R91" s="583">
        <v>38986</v>
      </c>
      <c r="S91" s="583">
        <v>25956</v>
      </c>
      <c r="T91" s="583">
        <v>64942</v>
      </c>
      <c r="U91" s="583">
        <v>998</v>
      </c>
      <c r="V91" s="583">
        <v>533</v>
      </c>
      <c r="W91" s="583">
        <v>1531</v>
      </c>
      <c r="X91" s="583">
        <v>2729</v>
      </c>
      <c r="Y91" s="583">
        <v>1684</v>
      </c>
      <c r="Z91" s="583">
        <v>4413</v>
      </c>
      <c r="AA91" s="583">
        <v>419200</v>
      </c>
      <c r="AB91" s="583">
        <v>428373</v>
      </c>
      <c r="AC91" s="583">
        <v>847573</v>
      </c>
    </row>
    <row r="92" spans="1:29" x14ac:dyDescent="0.35">
      <c r="A92" s="655"/>
      <c r="B92" s="509" t="s">
        <v>958</v>
      </c>
      <c r="C92" s="583">
        <v>2039</v>
      </c>
      <c r="D92" s="583">
        <v>1113</v>
      </c>
      <c r="E92" s="583">
        <v>3152</v>
      </c>
      <c r="F92" s="583">
        <v>14</v>
      </c>
      <c r="G92" s="583">
        <v>66</v>
      </c>
      <c r="H92" s="583">
        <v>80</v>
      </c>
      <c r="I92" s="583">
        <v>39362</v>
      </c>
      <c r="J92" s="583">
        <v>51804</v>
      </c>
      <c r="K92" s="583">
        <v>91166</v>
      </c>
      <c r="L92" s="583">
        <v>339281</v>
      </c>
      <c r="M92" s="583">
        <v>335898</v>
      </c>
      <c r="N92" s="583">
        <v>675179</v>
      </c>
      <c r="O92" s="583">
        <v>922</v>
      </c>
      <c r="P92" s="583">
        <v>644</v>
      </c>
      <c r="Q92" s="583">
        <v>1566</v>
      </c>
      <c r="R92" s="583">
        <v>31070</v>
      </c>
      <c r="S92" s="583">
        <v>14704</v>
      </c>
      <c r="T92" s="583">
        <v>45774</v>
      </c>
      <c r="U92" s="583">
        <v>906</v>
      </c>
      <c r="V92" s="583">
        <v>440</v>
      </c>
      <c r="W92" s="583">
        <v>1346</v>
      </c>
      <c r="X92" s="583">
        <v>2248</v>
      </c>
      <c r="Y92" s="583">
        <v>1247</v>
      </c>
      <c r="Z92" s="583">
        <v>3495</v>
      </c>
      <c r="AA92" s="583">
        <v>415842</v>
      </c>
      <c r="AB92" s="583">
        <v>405916</v>
      </c>
      <c r="AC92" s="583">
        <v>821758</v>
      </c>
    </row>
    <row r="93" spans="1:29" x14ac:dyDescent="0.35">
      <c r="A93" s="655"/>
      <c r="B93" s="509" t="s">
        <v>957</v>
      </c>
      <c r="C93" s="583">
        <v>1738</v>
      </c>
      <c r="D93" s="583">
        <v>919</v>
      </c>
      <c r="E93" s="583">
        <v>2657</v>
      </c>
      <c r="F93" s="583">
        <v>18</v>
      </c>
      <c r="G93" s="583">
        <v>63</v>
      </c>
      <c r="H93" s="583">
        <v>81</v>
      </c>
      <c r="I93" s="583">
        <v>31936</v>
      </c>
      <c r="J93" s="583">
        <v>48853</v>
      </c>
      <c r="K93" s="583">
        <v>80789</v>
      </c>
      <c r="L93" s="583">
        <v>286992</v>
      </c>
      <c r="M93" s="583">
        <v>299084</v>
      </c>
      <c r="N93" s="583">
        <v>586076</v>
      </c>
      <c r="O93" s="583">
        <v>885</v>
      </c>
      <c r="P93" s="583">
        <v>519</v>
      </c>
      <c r="Q93" s="583">
        <v>1404</v>
      </c>
      <c r="R93" s="583">
        <v>27901</v>
      </c>
      <c r="S93" s="583">
        <v>14312</v>
      </c>
      <c r="T93" s="583">
        <v>42213</v>
      </c>
      <c r="U93" s="583">
        <v>1160</v>
      </c>
      <c r="V93" s="583">
        <v>800</v>
      </c>
      <c r="W93" s="583">
        <v>1960</v>
      </c>
      <c r="X93" s="583">
        <v>1815</v>
      </c>
      <c r="Y93" s="583">
        <v>1030</v>
      </c>
      <c r="Z93" s="583">
        <v>2845</v>
      </c>
      <c r="AA93" s="583">
        <v>352445</v>
      </c>
      <c r="AB93" s="583">
        <v>365580</v>
      </c>
      <c r="AC93" s="583">
        <v>718025</v>
      </c>
    </row>
    <row r="94" spans="1:29" x14ac:dyDescent="0.35">
      <c r="A94" s="655"/>
      <c r="B94" s="509" t="s">
        <v>956</v>
      </c>
      <c r="C94" s="584">
        <v>2469</v>
      </c>
      <c r="D94" s="584">
        <v>1020</v>
      </c>
      <c r="E94" s="584">
        <v>3489</v>
      </c>
      <c r="F94" s="584">
        <v>33</v>
      </c>
      <c r="G94" s="584">
        <v>74</v>
      </c>
      <c r="H94" s="584">
        <v>107</v>
      </c>
      <c r="I94" s="584">
        <v>32122</v>
      </c>
      <c r="J94" s="584">
        <v>47381</v>
      </c>
      <c r="K94" s="584">
        <v>79503</v>
      </c>
      <c r="L94" s="584">
        <v>300527</v>
      </c>
      <c r="M94" s="584">
        <v>314385</v>
      </c>
      <c r="N94" s="584">
        <v>614912</v>
      </c>
      <c r="O94" s="584">
        <v>1516</v>
      </c>
      <c r="P94" s="584">
        <v>869</v>
      </c>
      <c r="Q94" s="584">
        <v>2385</v>
      </c>
      <c r="R94" s="584">
        <v>26778</v>
      </c>
      <c r="S94" s="584">
        <v>10714</v>
      </c>
      <c r="T94" s="584">
        <v>37492</v>
      </c>
      <c r="U94" s="584">
        <v>672</v>
      </c>
      <c r="V94" s="584">
        <v>1256</v>
      </c>
      <c r="W94" s="584">
        <v>1928</v>
      </c>
      <c r="X94" s="584">
        <v>2095</v>
      </c>
      <c r="Y94" s="584">
        <v>1222</v>
      </c>
      <c r="Z94" s="584">
        <v>3317</v>
      </c>
      <c r="AA94" s="584">
        <v>366212</v>
      </c>
      <c r="AB94" s="584">
        <v>376921</v>
      </c>
      <c r="AC94" s="584">
        <v>743133</v>
      </c>
    </row>
    <row r="95" spans="1:29" ht="14.5" x14ac:dyDescent="0.35">
      <c r="A95" s="655">
        <v>15</v>
      </c>
      <c r="B95" s="943" t="s">
        <v>26</v>
      </c>
      <c r="C95" s="928"/>
      <c r="D95" s="928"/>
      <c r="E95" s="928"/>
      <c r="F95" s="928"/>
      <c r="G95" s="928"/>
      <c r="H95" s="928"/>
      <c r="I95" s="928"/>
      <c r="J95" s="928"/>
      <c r="K95" s="928"/>
      <c r="L95" s="928"/>
      <c r="M95" s="928"/>
      <c r="N95" s="928"/>
      <c r="O95" s="928"/>
      <c r="P95" s="928"/>
      <c r="Q95" s="928"/>
      <c r="R95" s="928"/>
      <c r="S95" s="928"/>
      <c r="T95" s="928"/>
      <c r="U95" s="928"/>
      <c r="V95" s="928"/>
      <c r="W95" s="928"/>
      <c r="X95" s="928"/>
      <c r="Y95" s="928"/>
      <c r="Z95" s="928"/>
      <c r="AA95" s="928"/>
      <c r="AB95" s="928"/>
      <c r="AC95" s="928"/>
    </row>
    <row r="96" spans="1:29" x14ac:dyDescent="0.35">
      <c r="A96" s="655"/>
      <c r="B96" s="508" t="s">
        <v>960</v>
      </c>
      <c r="C96" s="582">
        <v>9200</v>
      </c>
      <c r="D96" s="582">
        <v>9101</v>
      </c>
      <c r="E96" s="582">
        <v>18301</v>
      </c>
      <c r="F96" s="582">
        <v>38</v>
      </c>
      <c r="G96" s="582">
        <v>179</v>
      </c>
      <c r="H96" s="582">
        <v>217</v>
      </c>
      <c r="I96" s="582">
        <v>117506</v>
      </c>
      <c r="J96" s="582">
        <v>141485</v>
      </c>
      <c r="K96" s="582">
        <v>258991</v>
      </c>
      <c r="L96" s="582">
        <v>1020546</v>
      </c>
      <c r="M96" s="582">
        <v>1019782</v>
      </c>
      <c r="N96" s="582">
        <v>2040327</v>
      </c>
      <c r="O96" s="582">
        <v>2543</v>
      </c>
      <c r="P96" s="582">
        <v>1988</v>
      </c>
      <c r="Q96" s="582">
        <v>4531</v>
      </c>
      <c r="R96" s="582">
        <v>156400</v>
      </c>
      <c r="S96" s="582">
        <v>102235</v>
      </c>
      <c r="T96" s="582">
        <v>258635</v>
      </c>
      <c r="U96" s="582">
        <v>1267</v>
      </c>
      <c r="V96" s="582">
        <v>1039</v>
      </c>
      <c r="W96" s="582">
        <v>2306</v>
      </c>
      <c r="X96" s="582">
        <v>10212</v>
      </c>
      <c r="Y96" s="582">
        <v>9886</v>
      </c>
      <c r="Z96" s="582">
        <v>20098</v>
      </c>
      <c r="AA96" s="582">
        <v>1317711</v>
      </c>
      <c r="AB96" s="582">
        <v>1285695</v>
      </c>
      <c r="AC96" s="582">
        <v>2603406</v>
      </c>
    </row>
    <row r="97" spans="1:29" x14ac:dyDescent="0.35">
      <c r="A97" s="655"/>
      <c r="B97" s="509" t="s">
        <v>959</v>
      </c>
      <c r="C97" s="583">
        <v>5875</v>
      </c>
      <c r="D97" s="583">
        <v>5791</v>
      </c>
      <c r="E97" s="583">
        <v>11666</v>
      </c>
      <c r="F97" s="583">
        <v>53</v>
      </c>
      <c r="G97" s="583">
        <v>139</v>
      </c>
      <c r="H97" s="583">
        <v>192</v>
      </c>
      <c r="I97" s="583">
        <v>113131</v>
      </c>
      <c r="J97" s="583">
        <v>136178</v>
      </c>
      <c r="K97" s="583">
        <v>249309</v>
      </c>
      <c r="L97" s="583">
        <v>1019274</v>
      </c>
      <c r="M97" s="583">
        <v>974361</v>
      </c>
      <c r="N97" s="583">
        <v>1993636</v>
      </c>
      <c r="O97" s="583">
        <v>2205</v>
      </c>
      <c r="P97" s="583">
        <v>1980</v>
      </c>
      <c r="Q97" s="583">
        <v>4185</v>
      </c>
      <c r="R97" s="583">
        <v>149842</v>
      </c>
      <c r="S97" s="583">
        <v>102648</v>
      </c>
      <c r="T97" s="583">
        <v>252490</v>
      </c>
      <c r="U97" s="583">
        <v>1257</v>
      </c>
      <c r="V97" s="583">
        <v>843</v>
      </c>
      <c r="W97" s="583">
        <v>2100</v>
      </c>
      <c r="X97" s="583">
        <v>9178</v>
      </c>
      <c r="Y97" s="583">
        <v>9015</v>
      </c>
      <c r="Z97" s="583">
        <v>18193</v>
      </c>
      <c r="AA97" s="583">
        <v>1300815</v>
      </c>
      <c r="AB97" s="583">
        <v>1230955</v>
      </c>
      <c r="AC97" s="583">
        <v>2531771</v>
      </c>
    </row>
    <row r="98" spans="1:29" x14ac:dyDescent="0.35">
      <c r="A98" s="655"/>
      <c r="B98" s="509" t="s">
        <v>958</v>
      </c>
      <c r="C98" s="583">
        <v>6045</v>
      </c>
      <c r="D98" s="583">
        <v>5148</v>
      </c>
      <c r="E98" s="583">
        <v>11193</v>
      </c>
      <c r="F98" s="583">
        <v>44</v>
      </c>
      <c r="G98" s="583">
        <v>183</v>
      </c>
      <c r="H98" s="583">
        <v>227</v>
      </c>
      <c r="I98" s="583">
        <v>95606</v>
      </c>
      <c r="J98" s="583">
        <v>125215</v>
      </c>
      <c r="K98" s="583">
        <v>220821</v>
      </c>
      <c r="L98" s="583">
        <v>956933</v>
      </c>
      <c r="M98" s="583">
        <v>911611</v>
      </c>
      <c r="N98" s="583">
        <v>1868544</v>
      </c>
      <c r="O98" s="583">
        <v>2152</v>
      </c>
      <c r="P98" s="583">
        <v>1887</v>
      </c>
      <c r="Q98" s="583">
        <v>4039</v>
      </c>
      <c r="R98" s="583">
        <v>133878</v>
      </c>
      <c r="S98" s="583">
        <v>93733</v>
      </c>
      <c r="T98" s="583">
        <v>227611</v>
      </c>
      <c r="U98" s="583">
        <v>1525</v>
      </c>
      <c r="V98" s="583">
        <v>1053</v>
      </c>
      <c r="W98" s="583">
        <v>2578</v>
      </c>
      <c r="X98" s="583">
        <v>8761</v>
      </c>
      <c r="Y98" s="583">
        <v>7961</v>
      </c>
      <c r="Z98" s="583">
        <v>16722</v>
      </c>
      <c r="AA98" s="583">
        <v>1204944</v>
      </c>
      <c r="AB98" s="583">
        <v>1146791</v>
      </c>
      <c r="AC98" s="583">
        <v>2351735</v>
      </c>
    </row>
    <row r="99" spans="1:29" x14ac:dyDescent="0.35">
      <c r="A99" s="655"/>
      <c r="B99" s="509" t="s">
        <v>957</v>
      </c>
      <c r="C99" s="583">
        <v>5752</v>
      </c>
      <c r="D99" s="583">
        <v>5276</v>
      </c>
      <c r="E99" s="583">
        <v>11028</v>
      </c>
      <c r="F99" s="583">
        <v>60</v>
      </c>
      <c r="G99" s="583">
        <v>189</v>
      </c>
      <c r="H99" s="583">
        <v>249</v>
      </c>
      <c r="I99" s="583">
        <v>96240</v>
      </c>
      <c r="J99" s="583">
        <v>125432</v>
      </c>
      <c r="K99" s="583">
        <v>221672</v>
      </c>
      <c r="L99" s="583">
        <v>909437</v>
      </c>
      <c r="M99" s="583">
        <v>902573</v>
      </c>
      <c r="N99" s="583">
        <v>1812010</v>
      </c>
      <c r="O99" s="583">
        <v>2852</v>
      </c>
      <c r="P99" s="583">
        <v>2455</v>
      </c>
      <c r="Q99" s="583">
        <v>5307</v>
      </c>
      <c r="R99" s="583">
        <v>137320</v>
      </c>
      <c r="S99" s="583">
        <v>113894</v>
      </c>
      <c r="T99" s="583">
        <v>251214</v>
      </c>
      <c r="U99" s="583">
        <v>2362</v>
      </c>
      <c r="V99" s="583">
        <v>2132</v>
      </c>
      <c r="W99" s="583">
        <v>4494</v>
      </c>
      <c r="X99" s="583">
        <v>7274</v>
      </c>
      <c r="Y99" s="583">
        <v>6681</v>
      </c>
      <c r="Z99" s="583">
        <v>13955</v>
      </c>
      <c r="AA99" s="583">
        <v>1161297</v>
      </c>
      <c r="AB99" s="583">
        <v>1158632</v>
      </c>
      <c r="AC99" s="583">
        <v>2319929</v>
      </c>
    </row>
    <row r="100" spans="1:29" x14ac:dyDescent="0.35">
      <c r="A100" s="655"/>
      <c r="B100" s="509" t="s">
        <v>956</v>
      </c>
      <c r="C100" s="584">
        <v>8422</v>
      </c>
      <c r="D100" s="584">
        <v>6566</v>
      </c>
      <c r="E100" s="584">
        <v>14988</v>
      </c>
      <c r="F100" s="584">
        <v>160</v>
      </c>
      <c r="G100" s="584">
        <v>368</v>
      </c>
      <c r="H100" s="584">
        <v>528</v>
      </c>
      <c r="I100" s="584">
        <v>86081</v>
      </c>
      <c r="J100" s="584">
        <v>111740</v>
      </c>
      <c r="K100" s="584">
        <v>197821</v>
      </c>
      <c r="L100" s="584">
        <v>828434</v>
      </c>
      <c r="M100" s="584">
        <v>847140</v>
      </c>
      <c r="N100" s="584">
        <v>1675574</v>
      </c>
      <c r="O100" s="584">
        <v>2861</v>
      </c>
      <c r="P100" s="584">
        <v>2790</v>
      </c>
      <c r="Q100" s="584">
        <v>5651</v>
      </c>
      <c r="R100" s="584">
        <v>113133</v>
      </c>
      <c r="S100" s="584">
        <v>80208</v>
      </c>
      <c r="T100" s="584">
        <v>193341</v>
      </c>
      <c r="U100" s="584">
        <v>1148</v>
      </c>
      <c r="V100" s="584">
        <v>1495</v>
      </c>
      <c r="W100" s="584">
        <v>2643</v>
      </c>
      <c r="X100" s="584">
        <v>6382</v>
      </c>
      <c r="Y100" s="584">
        <v>5074</v>
      </c>
      <c r="Z100" s="584">
        <v>11456</v>
      </c>
      <c r="AA100" s="584">
        <v>1046621</v>
      </c>
      <c r="AB100" s="584">
        <v>1055381</v>
      </c>
      <c r="AC100" s="584">
        <v>2102002</v>
      </c>
    </row>
    <row r="101" spans="1:29" ht="14.5" x14ac:dyDescent="0.35">
      <c r="A101" s="655">
        <v>16</v>
      </c>
      <c r="B101" s="943" t="s">
        <v>27</v>
      </c>
      <c r="C101" s="928"/>
      <c r="D101" s="928"/>
      <c r="E101" s="928"/>
      <c r="F101" s="928"/>
      <c r="G101" s="928"/>
      <c r="H101" s="928"/>
      <c r="I101" s="928"/>
      <c r="J101" s="928"/>
      <c r="K101" s="928"/>
      <c r="L101" s="928"/>
      <c r="M101" s="928"/>
      <c r="N101" s="928"/>
      <c r="O101" s="928"/>
      <c r="P101" s="928"/>
      <c r="Q101" s="928"/>
      <c r="R101" s="928"/>
      <c r="S101" s="928"/>
      <c r="T101" s="928"/>
      <c r="U101" s="928"/>
      <c r="V101" s="928"/>
      <c r="W101" s="928"/>
      <c r="X101" s="928"/>
      <c r="Y101" s="928"/>
      <c r="Z101" s="928"/>
      <c r="AA101" s="928"/>
      <c r="AB101" s="928"/>
      <c r="AC101" s="928"/>
    </row>
    <row r="102" spans="1:29" x14ac:dyDescent="0.35">
      <c r="A102" s="655"/>
      <c r="B102" s="508" t="s">
        <v>960</v>
      </c>
      <c r="C102" s="582">
        <v>4252</v>
      </c>
      <c r="D102" s="582">
        <v>8354</v>
      </c>
      <c r="E102" s="582">
        <v>12606</v>
      </c>
      <c r="F102" s="582">
        <v>8</v>
      </c>
      <c r="G102" s="582">
        <v>42</v>
      </c>
      <c r="H102" s="582">
        <v>50</v>
      </c>
      <c r="I102" s="582">
        <v>28324</v>
      </c>
      <c r="J102" s="582">
        <v>78949</v>
      </c>
      <c r="K102" s="582">
        <v>107272</v>
      </c>
      <c r="L102" s="582">
        <v>337782</v>
      </c>
      <c r="M102" s="582">
        <v>448830</v>
      </c>
      <c r="N102" s="582">
        <v>786612</v>
      </c>
      <c r="O102" s="582">
        <v>576</v>
      </c>
      <c r="P102" s="582">
        <v>1260</v>
      </c>
      <c r="Q102" s="582">
        <v>1836</v>
      </c>
      <c r="R102" s="582">
        <v>55698</v>
      </c>
      <c r="S102" s="582">
        <v>39731</v>
      </c>
      <c r="T102" s="582">
        <v>95429</v>
      </c>
      <c r="U102" s="582">
        <v>1338</v>
      </c>
      <c r="V102" s="582">
        <v>1028</v>
      </c>
      <c r="W102" s="582">
        <v>2366</v>
      </c>
      <c r="X102" s="582">
        <v>6471</v>
      </c>
      <c r="Y102" s="582">
        <v>9755</v>
      </c>
      <c r="Z102" s="582">
        <v>16226</v>
      </c>
      <c r="AA102" s="582">
        <v>434448</v>
      </c>
      <c r="AB102" s="582">
        <v>587949</v>
      </c>
      <c r="AC102" s="582">
        <v>1022397</v>
      </c>
    </row>
    <row r="103" spans="1:29" x14ac:dyDescent="0.35">
      <c r="A103" s="655"/>
      <c r="B103" s="509" t="s">
        <v>959</v>
      </c>
      <c r="C103" s="583">
        <v>2884</v>
      </c>
      <c r="D103" s="583">
        <v>6080</v>
      </c>
      <c r="E103" s="583">
        <v>8964</v>
      </c>
      <c r="F103" s="583">
        <v>14</v>
      </c>
      <c r="G103" s="583">
        <v>58</v>
      </c>
      <c r="H103" s="583">
        <v>72</v>
      </c>
      <c r="I103" s="583">
        <v>27370</v>
      </c>
      <c r="J103" s="583">
        <v>81659</v>
      </c>
      <c r="K103" s="583">
        <v>109029</v>
      </c>
      <c r="L103" s="583">
        <v>333515</v>
      </c>
      <c r="M103" s="583">
        <v>452101</v>
      </c>
      <c r="N103" s="583">
        <v>785616</v>
      </c>
      <c r="O103" s="583">
        <v>520</v>
      </c>
      <c r="P103" s="583">
        <v>1045</v>
      </c>
      <c r="Q103" s="583">
        <v>1565</v>
      </c>
      <c r="R103" s="583">
        <v>54053</v>
      </c>
      <c r="S103" s="583">
        <v>39252</v>
      </c>
      <c r="T103" s="583">
        <v>93305</v>
      </c>
      <c r="U103" s="583">
        <v>1679</v>
      </c>
      <c r="V103" s="583">
        <v>846</v>
      </c>
      <c r="W103" s="583">
        <v>2525</v>
      </c>
      <c r="X103" s="583">
        <v>5701</v>
      </c>
      <c r="Y103" s="583">
        <v>9181</v>
      </c>
      <c r="Z103" s="583">
        <v>14882</v>
      </c>
      <c r="AA103" s="583">
        <v>425736</v>
      </c>
      <c r="AB103" s="583">
        <v>590223</v>
      </c>
      <c r="AC103" s="583">
        <v>1015958</v>
      </c>
    </row>
    <row r="104" spans="1:29" x14ac:dyDescent="0.35">
      <c r="A104" s="655"/>
      <c r="B104" s="509" t="s">
        <v>958</v>
      </c>
      <c r="C104" s="583">
        <v>3387</v>
      </c>
      <c r="D104" s="583">
        <v>5747</v>
      </c>
      <c r="E104" s="583">
        <v>9134</v>
      </c>
      <c r="F104" s="583">
        <v>75</v>
      </c>
      <c r="G104" s="583">
        <v>281</v>
      </c>
      <c r="H104" s="583">
        <v>356</v>
      </c>
      <c r="I104" s="583">
        <v>28742</v>
      </c>
      <c r="J104" s="583">
        <v>84826</v>
      </c>
      <c r="K104" s="583">
        <v>113568</v>
      </c>
      <c r="L104" s="583">
        <v>331883</v>
      </c>
      <c r="M104" s="583">
        <v>457455</v>
      </c>
      <c r="N104" s="583">
        <v>789338</v>
      </c>
      <c r="O104" s="583">
        <v>488</v>
      </c>
      <c r="P104" s="583">
        <v>825</v>
      </c>
      <c r="Q104" s="583">
        <v>1313</v>
      </c>
      <c r="R104" s="583">
        <v>53417</v>
      </c>
      <c r="S104" s="583">
        <v>34828</v>
      </c>
      <c r="T104" s="583">
        <v>88245</v>
      </c>
      <c r="U104" s="583">
        <v>393</v>
      </c>
      <c r="V104" s="583">
        <v>614</v>
      </c>
      <c r="W104" s="583">
        <v>1007</v>
      </c>
      <c r="X104" s="583">
        <v>5115</v>
      </c>
      <c r="Y104" s="583">
        <v>7009</v>
      </c>
      <c r="Z104" s="583">
        <v>12124</v>
      </c>
      <c r="AA104" s="583">
        <v>423500</v>
      </c>
      <c r="AB104" s="583">
        <v>591585</v>
      </c>
      <c r="AC104" s="583">
        <v>1015085</v>
      </c>
    </row>
    <row r="105" spans="1:29" x14ac:dyDescent="0.35">
      <c r="A105" s="655"/>
      <c r="B105" s="509" t="s">
        <v>957</v>
      </c>
      <c r="C105" s="583">
        <v>3184</v>
      </c>
      <c r="D105" s="583">
        <v>5554</v>
      </c>
      <c r="E105" s="583">
        <v>8738</v>
      </c>
      <c r="F105" s="583">
        <v>207</v>
      </c>
      <c r="G105" s="583">
        <v>745</v>
      </c>
      <c r="H105" s="583">
        <v>952</v>
      </c>
      <c r="I105" s="583">
        <v>25672</v>
      </c>
      <c r="J105" s="583">
        <v>80026</v>
      </c>
      <c r="K105" s="583">
        <v>105698</v>
      </c>
      <c r="L105" s="583">
        <v>328404</v>
      </c>
      <c r="M105" s="583">
        <v>464401</v>
      </c>
      <c r="N105" s="583">
        <v>792805</v>
      </c>
      <c r="O105" s="583">
        <v>571</v>
      </c>
      <c r="P105" s="583">
        <v>641</v>
      </c>
      <c r="Q105" s="583">
        <v>1212</v>
      </c>
      <c r="R105" s="583">
        <v>48832</v>
      </c>
      <c r="S105" s="583">
        <v>33114</v>
      </c>
      <c r="T105" s="583">
        <v>81946</v>
      </c>
      <c r="U105" s="583">
        <v>1226</v>
      </c>
      <c r="V105" s="583">
        <v>3429</v>
      </c>
      <c r="W105" s="583">
        <v>4655</v>
      </c>
      <c r="X105" s="583">
        <v>4226</v>
      </c>
      <c r="Y105" s="583">
        <v>5505</v>
      </c>
      <c r="Z105" s="583">
        <v>9731</v>
      </c>
      <c r="AA105" s="583">
        <v>412322</v>
      </c>
      <c r="AB105" s="583">
        <v>593415</v>
      </c>
      <c r="AC105" s="583">
        <v>1005737</v>
      </c>
    </row>
    <row r="106" spans="1:29" x14ac:dyDescent="0.35">
      <c r="A106" s="655"/>
      <c r="B106" s="509" t="s">
        <v>956</v>
      </c>
      <c r="C106" s="584">
        <v>2817</v>
      </c>
      <c r="D106" s="584">
        <v>4687</v>
      </c>
      <c r="E106" s="584">
        <v>7504</v>
      </c>
      <c r="F106" s="584">
        <v>197</v>
      </c>
      <c r="G106" s="584">
        <v>676</v>
      </c>
      <c r="H106" s="584">
        <v>873</v>
      </c>
      <c r="I106" s="584">
        <v>21928</v>
      </c>
      <c r="J106" s="584">
        <v>69228</v>
      </c>
      <c r="K106" s="584">
        <v>91156</v>
      </c>
      <c r="L106" s="584">
        <v>287531</v>
      </c>
      <c r="M106" s="584">
        <v>410502</v>
      </c>
      <c r="N106" s="584">
        <v>698033</v>
      </c>
      <c r="O106" s="584">
        <v>399</v>
      </c>
      <c r="P106" s="584">
        <v>467</v>
      </c>
      <c r="Q106" s="584">
        <v>866</v>
      </c>
      <c r="R106" s="584">
        <v>41458</v>
      </c>
      <c r="S106" s="584">
        <v>30502</v>
      </c>
      <c r="T106" s="584">
        <v>71960</v>
      </c>
      <c r="U106" s="584">
        <v>780</v>
      </c>
      <c r="V106" s="584">
        <v>2510</v>
      </c>
      <c r="W106" s="584">
        <v>3290</v>
      </c>
      <c r="X106" s="584">
        <v>3701</v>
      </c>
      <c r="Y106" s="584">
        <v>4094</v>
      </c>
      <c r="Z106" s="584">
        <v>7795</v>
      </c>
      <c r="AA106" s="584">
        <v>358811</v>
      </c>
      <c r="AB106" s="584">
        <v>522666</v>
      </c>
      <c r="AC106" s="584">
        <v>881477</v>
      </c>
    </row>
    <row r="107" spans="1:29" ht="14.5" x14ac:dyDescent="0.35">
      <c r="A107" s="655">
        <v>17</v>
      </c>
      <c r="B107" s="943" t="s">
        <v>28</v>
      </c>
      <c r="C107" s="928"/>
      <c r="D107" s="928"/>
      <c r="E107" s="928"/>
      <c r="F107" s="928"/>
      <c r="G107" s="928"/>
      <c r="H107" s="928"/>
      <c r="I107" s="928"/>
      <c r="J107" s="928"/>
      <c r="K107" s="928"/>
      <c r="L107" s="928"/>
      <c r="M107" s="928"/>
      <c r="N107" s="928"/>
      <c r="O107" s="928"/>
      <c r="P107" s="928"/>
      <c r="Q107" s="928"/>
      <c r="R107" s="928"/>
      <c r="S107" s="928"/>
      <c r="T107" s="928"/>
      <c r="U107" s="928"/>
      <c r="V107" s="928"/>
      <c r="W107" s="928"/>
      <c r="X107" s="928"/>
      <c r="Y107" s="928"/>
      <c r="Z107" s="928"/>
      <c r="AA107" s="928"/>
      <c r="AB107" s="928"/>
      <c r="AC107" s="928"/>
    </row>
    <row r="108" spans="1:29" x14ac:dyDescent="0.35">
      <c r="A108" s="655"/>
      <c r="B108" s="508" t="s">
        <v>960</v>
      </c>
      <c r="C108" s="582"/>
      <c r="D108" s="582"/>
      <c r="E108" s="582"/>
      <c r="F108" s="582"/>
      <c r="G108" s="582"/>
      <c r="H108" s="582"/>
      <c r="I108" s="582">
        <v>149</v>
      </c>
      <c r="J108" s="582">
        <v>271</v>
      </c>
      <c r="K108" s="582">
        <v>420</v>
      </c>
      <c r="L108" s="582">
        <v>1194</v>
      </c>
      <c r="M108" s="582">
        <v>2163</v>
      </c>
      <c r="N108" s="582">
        <v>3357</v>
      </c>
      <c r="O108" s="582"/>
      <c r="P108" s="582"/>
      <c r="Q108" s="582"/>
      <c r="R108" s="582">
        <v>274</v>
      </c>
      <c r="S108" s="582">
        <v>521</v>
      </c>
      <c r="T108" s="582">
        <v>795</v>
      </c>
      <c r="U108" s="582">
        <v>111</v>
      </c>
      <c r="V108" s="582">
        <v>82</v>
      </c>
      <c r="W108" s="582">
        <v>193</v>
      </c>
      <c r="X108" s="582"/>
      <c r="Y108" s="582"/>
      <c r="Z108" s="582"/>
      <c r="AA108" s="582">
        <v>1728</v>
      </c>
      <c r="AB108" s="582">
        <v>3037</v>
      </c>
      <c r="AC108" s="582">
        <v>4765</v>
      </c>
    </row>
    <row r="109" spans="1:29" x14ac:dyDescent="0.35">
      <c r="A109" s="655"/>
      <c r="B109" s="509" t="s">
        <v>959</v>
      </c>
      <c r="C109" s="583">
        <v>10</v>
      </c>
      <c r="D109" s="583">
        <v>8</v>
      </c>
      <c r="E109" s="583">
        <v>18</v>
      </c>
      <c r="F109" s="583"/>
      <c r="G109" s="583"/>
      <c r="H109" s="583"/>
      <c r="I109" s="583">
        <v>129</v>
      </c>
      <c r="J109" s="583">
        <v>284</v>
      </c>
      <c r="K109" s="583">
        <v>413</v>
      </c>
      <c r="L109" s="583">
        <v>1247</v>
      </c>
      <c r="M109" s="583">
        <v>2185</v>
      </c>
      <c r="N109" s="583">
        <v>3432</v>
      </c>
      <c r="O109" s="583"/>
      <c r="P109" s="583"/>
      <c r="Q109" s="583"/>
      <c r="R109" s="583">
        <v>247</v>
      </c>
      <c r="S109" s="583">
        <v>412</v>
      </c>
      <c r="T109" s="583">
        <v>659</v>
      </c>
      <c r="U109" s="583">
        <v>5</v>
      </c>
      <c r="V109" s="583">
        <v>1</v>
      </c>
      <c r="W109" s="583">
        <v>6</v>
      </c>
      <c r="X109" s="583"/>
      <c r="Y109" s="583"/>
      <c r="Z109" s="583"/>
      <c r="AA109" s="583">
        <v>1638</v>
      </c>
      <c r="AB109" s="583">
        <v>2890</v>
      </c>
      <c r="AC109" s="583">
        <v>4528</v>
      </c>
    </row>
    <row r="110" spans="1:29" x14ac:dyDescent="0.35">
      <c r="A110" s="655"/>
      <c r="B110" s="509" t="s">
        <v>958</v>
      </c>
      <c r="C110" s="583">
        <v>15</v>
      </c>
      <c r="D110" s="583">
        <v>3</v>
      </c>
      <c r="E110" s="583">
        <v>18</v>
      </c>
      <c r="F110" s="583"/>
      <c r="G110" s="583"/>
      <c r="H110" s="583"/>
      <c r="I110" s="583">
        <v>148</v>
      </c>
      <c r="J110" s="583">
        <v>315</v>
      </c>
      <c r="K110" s="583">
        <v>463</v>
      </c>
      <c r="L110" s="583">
        <v>1187</v>
      </c>
      <c r="M110" s="583">
        <v>2103</v>
      </c>
      <c r="N110" s="583">
        <v>3290</v>
      </c>
      <c r="O110" s="583"/>
      <c r="P110" s="583"/>
      <c r="Q110" s="583"/>
      <c r="R110" s="583">
        <v>191</v>
      </c>
      <c r="S110" s="583">
        <v>301</v>
      </c>
      <c r="T110" s="583">
        <v>492</v>
      </c>
      <c r="U110" s="583"/>
      <c r="V110" s="583"/>
      <c r="W110" s="583"/>
      <c r="X110" s="583"/>
      <c r="Y110" s="583"/>
      <c r="Z110" s="583"/>
      <c r="AA110" s="583">
        <v>1541</v>
      </c>
      <c r="AB110" s="583">
        <v>2722</v>
      </c>
      <c r="AC110" s="583">
        <v>4263</v>
      </c>
    </row>
    <row r="111" spans="1:29" x14ac:dyDescent="0.35">
      <c r="A111" s="655"/>
      <c r="B111" s="509" t="s">
        <v>957</v>
      </c>
      <c r="C111" s="583">
        <v>6</v>
      </c>
      <c r="D111" s="583">
        <v>2</v>
      </c>
      <c r="E111" s="583">
        <v>8</v>
      </c>
      <c r="F111" s="583">
        <v>0</v>
      </c>
      <c r="G111" s="583">
        <v>0</v>
      </c>
      <c r="H111" s="583">
        <v>0</v>
      </c>
      <c r="I111" s="583">
        <v>70</v>
      </c>
      <c r="J111" s="583">
        <v>23</v>
      </c>
      <c r="K111" s="583">
        <v>93</v>
      </c>
      <c r="L111" s="583">
        <v>740</v>
      </c>
      <c r="M111" s="583">
        <v>1738</v>
      </c>
      <c r="N111" s="583">
        <v>2478</v>
      </c>
      <c r="O111" s="583">
        <v>0</v>
      </c>
      <c r="P111" s="583">
        <v>0</v>
      </c>
      <c r="Q111" s="583">
        <v>0</v>
      </c>
      <c r="R111" s="583">
        <v>245</v>
      </c>
      <c r="S111" s="583">
        <v>185</v>
      </c>
      <c r="T111" s="583">
        <v>430</v>
      </c>
      <c r="U111" s="583">
        <v>0</v>
      </c>
      <c r="V111" s="583">
        <v>0</v>
      </c>
      <c r="W111" s="583">
        <v>0</v>
      </c>
      <c r="X111" s="583">
        <v>47</v>
      </c>
      <c r="Y111" s="583">
        <v>91</v>
      </c>
      <c r="Z111" s="583">
        <v>138</v>
      </c>
      <c r="AA111" s="583">
        <v>1108</v>
      </c>
      <c r="AB111" s="583">
        <v>2039</v>
      </c>
      <c r="AC111" s="583">
        <v>3147</v>
      </c>
    </row>
    <row r="112" spans="1:29" x14ac:dyDescent="0.35">
      <c r="A112" s="655"/>
      <c r="B112" s="509" t="s">
        <v>956</v>
      </c>
      <c r="C112" s="584">
        <v>6</v>
      </c>
      <c r="D112" s="584">
        <v>2</v>
      </c>
      <c r="E112" s="584">
        <v>8</v>
      </c>
      <c r="F112" s="584">
        <v>0</v>
      </c>
      <c r="G112" s="584">
        <v>0</v>
      </c>
      <c r="H112" s="584">
        <v>0</v>
      </c>
      <c r="I112" s="584">
        <v>26</v>
      </c>
      <c r="J112" s="584">
        <v>28</v>
      </c>
      <c r="K112" s="584">
        <v>54</v>
      </c>
      <c r="L112" s="584">
        <v>798</v>
      </c>
      <c r="M112" s="584">
        <v>1746</v>
      </c>
      <c r="N112" s="584">
        <v>2544</v>
      </c>
      <c r="O112" s="584">
        <v>0</v>
      </c>
      <c r="P112" s="584">
        <v>0</v>
      </c>
      <c r="Q112" s="584">
        <v>0</v>
      </c>
      <c r="R112" s="584">
        <v>112</v>
      </c>
      <c r="S112" s="584">
        <v>24</v>
      </c>
      <c r="T112" s="584">
        <v>136</v>
      </c>
      <c r="U112" s="584">
        <v>0</v>
      </c>
      <c r="V112" s="584">
        <v>0</v>
      </c>
      <c r="W112" s="584">
        <v>0</v>
      </c>
      <c r="X112" s="584">
        <v>57</v>
      </c>
      <c r="Y112" s="584">
        <v>98</v>
      </c>
      <c r="Z112" s="584">
        <v>155</v>
      </c>
      <c r="AA112" s="584">
        <v>999</v>
      </c>
      <c r="AB112" s="584">
        <v>1898</v>
      </c>
      <c r="AC112" s="584">
        <v>2897</v>
      </c>
    </row>
    <row r="113" spans="1:29" ht="14.5" x14ac:dyDescent="0.35">
      <c r="A113" s="655">
        <v>18</v>
      </c>
      <c r="B113" s="943" t="s">
        <v>82</v>
      </c>
      <c r="C113" s="928"/>
      <c r="D113" s="928"/>
      <c r="E113" s="928"/>
      <c r="F113" s="928"/>
      <c r="G113" s="928"/>
      <c r="H113" s="928"/>
      <c r="I113" s="928"/>
      <c r="J113" s="928"/>
      <c r="K113" s="928"/>
      <c r="L113" s="928"/>
      <c r="M113" s="928"/>
      <c r="N113" s="928"/>
      <c r="O113" s="928"/>
      <c r="P113" s="928"/>
      <c r="Q113" s="928"/>
      <c r="R113" s="928"/>
      <c r="S113" s="928"/>
      <c r="T113" s="928"/>
      <c r="U113" s="928"/>
      <c r="V113" s="928"/>
      <c r="W113" s="928"/>
      <c r="X113" s="928"/>
      <c r="Y113" s="928"/>
      <c r="Z113" s="928"/>
      <c r="AA113" s="928"/>
      <c r="AB113" s="928"/>
      <c r="AC113" s="928"/>
    </row>
    <row r="114" spans="1:29" x14ac:dyDescent="0.35">
      <c r="A114" s="655"/>
      <c r="B114" s="508" t="s">
        <v>960</v>
      </c>
      <c r="C114" s="582"/>
      <c r="D114" s="582"/>
      <c r="E114" s="582"/>
      <c r="F114" s="582"/>
      <c r="G114" s="582"/>
      <c r="H114" s="582"/>
      <c r="I114" s="582"/>
      <c r="J114" s="607"/>
      <c r="K114" s="582"/>
      <c r="L114" s="582">
        <v>122</v>
      </c>
      <c r="M114" s="582">
        <v>371</v>
      </c>
      <c r="N114" s="582">
        <v>493</v>
      </c>
      <c r="O114" s="582"/>
      <c r="P114" s="582"/>
      <c r="Q114" s="582"/>
      <c r="R114" s="582">
        <v>77</v>
      </c>
      <c r="S114" s="582">
        <v>22</v>
      </c>
      <c r="T114" s="582">
        <v>99</v>
      </c>
      <c r="U114" s="582"/>
      <c r="V114" s="582"/>
      <c r="W114" s="582"/>
      <c r="X114" s="582"/>
      <c r="Y114" s="582"/>
      <c r="Z114" s="582"/>
      <c r="AA114" s="582">
        <v>199</v>
      </c>
      <c r="AB114" s="582">
        <v>393</v>
      </c>
      <c r="AC114" s="582">
        <v>592</v>
      </c>
    </row>
    <row r="115" spans="1:29" x14ac:dyDescent="0.35">
      <c r="A115" s="655"/>
      <c r="B115" s="509" t="s">
        <v>959</v>
      </c>
      <c r="C115" s="583"/>
      <c r="D115" s="583"/>
      <c r="E115" s="583"/>
      <c r="F115" s="583"/>
      <c r="G115" s="583"/>
      <c r="H115" s="583"/>
      <c r="I115" s="583"/>
      <c r="J115" s="584"/>
      <c r="K115" s="583"/>
      <c r="L115" s="583">
        <v>121</v>
      </c>
      <c r="M115" s="583">
        <v>299</v>
      </c>
      <c r="N115" s="583">
        <v>420</v>
      </c>
      <c r="O115" s="583"/>
      <c r="P115" s="583"/>
      <c r="Q115" s="583"/>
      <c r="R115" s="583">
        <v>71</v>
      </c>
      <c r="S115" s="583">
        <v>22</v>
      </c>
      <c r="T115" s="583">
        <v>93</v>
      </c>
      <c r="U115" s="583"/>
      <c r="V115" s="583"/>
      <c r="W115" s="583"/>
      <c r="X115" s="583"/>
      <c r="Y115" s="583"/>
      <c r="Z115" s="583"/>
      <c r="AA115" s="583">
        <v>192</v>
      </c>
      <c r="AB115" s="583">
        <v>321</v>
      </c>
      <c r="AC115" s="583">
        <v>513</v>
      </c>
    </row>
    <row r="116" spans="1:29" x14ac:dyDescent="0.35">
      <c r="A116" s="655"/>
      <c r="B116" s="509" t="s">
        <v>958</v>
      </c>
      <c r="C116" s="583">
        <v>0</v>
      </c>
      <c r="D116" s="583"/>
      <c r="E116" s="583"/>
      <c r="F116" s="583"/>
      <c r="G116" s="583"/>
      <c r="H116" s="583"/>
      <c r="I116" s="583"/>
      <c r="J116" s="584"/>
      <c r="K116" s="583"/>
      <c r="L116" s="583">
        <v>14</v>
      </c>
      <c r="M116" s="583">
        <v>74</v>
      </c>
      <c r="N116" s="583">
        <v>88</v>
      </c>
      <c r="O116" s="583"/>
      <c r="P116" s="583"/>
      <c r="Q116" s="583"/>
      <c r="R116" s="583"/>
      <c r="S116" s="583"/>
      <c r="T116" s="583"/>
      <c r="U116" s="583"/>
      <c r="V116" s="583"/>
      <c r="W116" s="583"/>
      <c r="X116" s="583"/>
      <c r="Y116" s="583"/>
      <c r="Z116" s="583"/>
      <c r="AA116" s="583">
        <v>14</v>
      </c>
      <c r="AB116" s="583">
        <v>74</v>
      </c>
      <c r="AC116" s="583">
        <v>88</v>
      </c>
    </row>
    <row r="117" spans="1:29" x14ac:dyDescent="0.35">
      <c r="A117" s="655"/>
      <c r="B117" s="509" t="s">
        <v>957</v>
      </c>
      <c r="C117" s="583">
        <v>0</v>
      </c>
      <c r="D117" s="583">
        <v>0</v>
      </c>
      <c r="E117" s="583">
        <v>0</v>
      </c>
      <c r="F117" s="583">
        <v>0</v>
      </c>
      <c r="G117" s="583">
        <v>0</v>
      </c>
      <c r="H117" s="583">
        <v>0</v>
      </c>
      <c r="I117" s="583">
        <v>0</v>
      </c>
      <c r="J117" s="583">
        <v>26</v>
      </c>
      <c r="K117" s="583">
        <v>26</v>
      </c>
      <c r="L117" s="583">
        <v>133</v>
      </c>
      <c r="M117" s="583">
        <v>401</v>
      </c>
      <c r="N117" s="583">
        <v>534</v>
      </c>
      <c r="O117" s="583">
        <v>0</v>
      </c>
      <c r="P117" s="583">
        <v>0</v>
      </c>
      <c r="Q117" s="583">
        <v>0</v>
      </c>
      <c r="R117" s="583">
        <v>0</v>
      </c>
      <c r="S117" s="583">
        <v>0</v>
      </c>
      <c r="T117" s="583">
        <v>0</v>
      </c>
      <c r="U117" s="583">
        <v>0</v>
      </c>
      <c r="V117" s="583">
        <v>0</v>
      </c>
      <c r="W117" s="583">
        <v>0</v>
      </c>
      <c r="X117" s="583">
        <v>0</v>
      </c>
      <c r="Y117" s="583">
        <v>0</v>
      </c>
      <c r="Z117" s="583">
        <v>0</v>
      </c>
      <c r="AA117" s="583">
        <v>133</v>
      </c>
      <c r="AB117" s="583">
        <v>427</v>
      </c>
      <c r="AC117" s="583">
        <v>560</v>
      </c>
    </row>
    <row r="118" spans="1:29" x14ac:dyDescent="0.35">
      <c r="A118" s="655"/>
      <c r="B118" s="509" t="s">
        <v>956</v>
      </c>
      <c r="C118" s="584">
        <v>0</v>
      </c>
      <c r="D118" s="584">
        <v>0</v>
      </c>
      <c r="E118" s="584">
        <v>0</v>
      </c>
      <c r="F118" s="584">
        <v>0</v>
      </c>
      <c r="G118" s="584">
        <v>0</v>
      </c>
      <c r="H118" s="584">
        <v>0</v>
      </c>
      <c r="I118" s="584">
        <v>0</v>
      </c>
      <c r="J118" s="584">
        <v>26</v>
      </c>
      <c r="K118" s="584">
        <v>26</v>
      </c>
      <c r="L118" s="584">
        <v>133</v>
      </c>
      <c r="M118" s="584">
        <v>401</v>
      </c>
      <c r="N118" s="584">
        <v>534</v>
      </c>
      <c r="O118" s="584">
        <v>0</v>
      </c>
      <c r="P118" s="584">
        <v>0</v>
      </c>
      <c r="Q118" s="584">
        <v>0</v>
      </c>
      <c r="R118" s="584">
        <v>0</v>
      </c>
      <c r="S118" s="584">
        <v>0</v>
      </c>
      <c r="T118" s="584">
        <v>0</v>
      </c>
      <c r="U118" s="584">
        <v>0</v>
      </c>
      <c r="V118" s="584">
        <v>0</v>
      </c>
      <c r="W118" s="584">
        <v>0</v>
      </c>
      <c r="X118" s="584">
        <v>0</v>
      </c>
      <c r="Y118" s="584">
        <v>0</v>
      </c>
      <c r="Z118" s="584">
        <v>0</v>
      </c>
      <c r="AA118" s="584">
        <v>133</v>
      </c>
      <c r="AB118" s="584">
        <v>427</v>
      </c>
      <c r="AC118" s="584">
        <v>560</v>
      </c>
    </row>
    <row r="119" spans="1:29" ht="14.5" x14ac:dyDescent="0.35">
      <c r="A119" s="655">
        <v>19</v>
      </c>
      <c r="B119" s="943" t="s">
        <v>29</v>
      </c>
      <c r="C119" s="928"/>
      <c r="D119" s="928"/>
      <c r="E119" s="928"/>
      <c r="F119" s="928"/>
      <c r="G119" s="928"/>
      <c r="H119" s="928"/>
      <c r="I119" s="928"/>
      <c r="J119" s="928"/>
      <c r="K119" s="928"/>
      <c r="L119" s="928"/>
      <c r="M119" s="928"/>
      <c r="N119" s="928"/>
      <c r="O119" s="928"/>
      <c r="P119" s="928"/>
      <c r="Q119" s="928"/>
      <c r="R119" s="928"/>
      <c r="S119" s="928"/>
      <c r="T119" s="928"/>
      <c r="U119" s="928"/>
      <c r="V119" s="928"/>
      <c r="W119" s="928"/>
      <c r="X119" s="928"/>
      <c r="Y119" s="928"/>
      <c r="Z119" s="928"/>
      <c r="AA119" s="928"/>
      <c r="AB119" s="928"/>
      <c r="AC119" s="928"/>
    </row>
    <row r="120" spans="1:29" x14ac:dyDescent="0.35">
      <c r="A120" s="655"/>
      <c r="B120" s="508" t="s">
        <v>960</v>
      </c>
      <c r="C120" s="582">
        <v>6275</v>
      </c>
      <c r="D120" s="582">
        <v>5151</v>
      </c>
      <c r="E120" s="582">
        <v>11426</v>
      </c>
      <c r="F120" s="582">
        <v>2</v>
      </c>
      <c r="G120" s="582">
        <v>24</v>
      </c>
      <c r="H120" s="582">
        <v>26</v>
      </c>
      <c r="I120" s="582">
        <v>170879</v>
      </c>
      <c r="J120" s="582">
        <v>213860</v>
      </c>
      <c r="K120" s="582">
        <v>384739</v>
      </c>
      <c r="L120" s="582">
        <v>912736</v>
      </c>
      <c r="M120" s="582">
        <v>844037</v>
      </c>
      <c r="N120" s="582">
        <v>1756773</v>
      </c>
      <c r="O120" s="582">
        <v>19620</v>
      </c>
      <c r="P120" s="582">
        <v>21950</v>
      </c>
      <c r="Q120" s="582">
        <v>41570</v>
      </c>
      <c r="R120" s="582">
        <v>125033</v>
      </c>
      <c r="S120" s="582">
        <v>75820</v>
      </c>
      <c r="T120" s="582">
        <v>200853</v>
      </c>
      <c r="U120" s="582">
        <v>2769</v>
      </c>
      <c r="V120" s="582">
        <v>1611</v>
      </c>
      <c r="W120" s="582">
        <v>4380</v>
      </c>
      <c r="X120" s="582">
        <v>24769</v>
      </c>
      <c r="Y120" s="582">
        <v>20877</v>
      </c>
      <c r="Z120" s="582">
        <v>45646</v>
      </c>
      <c r="AA120" s="582">
        <v>1262083</v>
      </c>
      <c r="AB120" s="582">
        <v>1183329</v>
      </c>
      <c r="AC120" s="582">
        <v>2445413</v>
      </c>
    </row>
    <row r="121" spans="1:29" x14ac:dyDescent="0.35">
      <c r="A121" s="655"/>
      <c r="B121" s="509" t="s">
        <v>959</v>
      </c>
      <c r="C121" s="583">
        <v>4364</v>
      </c>
      <c r="D121" s="583">
        <v>3568</v>
      </c>
      <c r="E121" s="583">
        <v>7932</v>
      </c>
      <c r="F121" s="583">
        <v>1</v>
      </c>
      <c r="G121" s="583">
        <v>15</v>
      </c>
      <c r="H121" s="583">
        <v>16</v>
      </c>
      <c r="I121" s="583">
        <v>173630</v>
      </c>
      <c r="J121" s="583">
        <v>210082</v>
      </c>
      <c r="K121" s="583">
        <v>383712</v>
      </c>
      <c r="L121" s="583">
        <v>926735</v>
      </c>
      <c r="M121" s="583">
        <v>839611</v>
      </c>
      <c r="N121" s="583">
        <v>1766347</v>
      </c>
      <c r="O121" s="583">
        <v>24579</v>
      </c>
      <c r="P121" s="583">
        <v>25269</v>
      </c>
      <c r="Q121" s="583">
        <v>49848</v>
      </c>
      <c r="R121" s="583">
        <v>125455</v>
      </c>
      <c r="S121" s="583">
        <v>74802</v>
      </c>
      <c r="T121" s="583">
        <v>200257</v>
      </c>
      <c r="U121" s="583">
        <v>2815</v>
      </c>
      <c r="V121" s="583">
        <v>1493</v>
      </c>
      <c r="W121" s="583">
        <v>4308</v>
      </c>
      <c r="X121" s="583">
        <v>21628</v>
      </c>
      <c r="Y121" s="583">
        <v>17929</v>
      </c>
      <c r="Z121" s="583">
        <v>39557</v>
      </c>
      <c r="AA121" s="583">
        <v>1279208</v>
      </c>
      <c r="AB121" s="583">
        <v>1172769</v>
      </c>
      <c r="AC121" s="583">
        <v>2451977</v>
      </c>
    </row>
    <row r="122" spans="1:29" x14ac:dyDescent="0.35">
      <c r="A122" s="655"/>
      <c r="B122" s="509" t="s">
        <v>958</v>
      </c>
      <c r="C122" s="583">
        <v>4283</v>
      </c>
      <c r="D122" s="583">
        <v>3571</v>
      </c>
      <c r="E122" s="583">
        <v>7854</v>
      </c>
      <c r="F122" s="583"/>
      <c r="G122" s="583">
        <v>16</v>
      </c>
      <c r="H122" s="583">
        <v>16</v>
      </c>
      <c r="I122" s="583">
        <v>175029</v>
      </c>
      <c r="J122" s="583">
        <v>210899</v>
      </c>
      <c r="K122" s="583">
        <v>385928</v>
      </c>
      <c r="L122" s="583">
        <v>1024315</v>
      </c>
      <c r="M122" s="583">
        <v>878890</v>
      </c>
      <c r="N122" s="583">
        <v>1903205</v>
      </c>
      <c r="O122" s="583">
        <v>20910</v>
      </c>
      <c r="P122" s="583">
        <v>20158</v>
      </c>
      <c r="Q122" s="583">
        <v>41068</v>
      </c>
      <c r="R122" s="583">
        <v>113570</v>
      </c>
      <c r="S122" s="583">
        <v>60431</v>
      </c>
      <c r="T122" s="583">
        <v>174001</v>
      </c>
      <c r="U122" s="583">
        <v>1492</v>
      </c>
      <c r="V122" s="583">
        <v>834</v>
      </c>
      <c r="W122" s="583">
        <v>2326</v>
      </c>
      <c r="X122" s="583">
        <v>19680</v>
      </c>
      <c r="Y122" s="583">
        <v>15653</v>
      </c>
      <c r="Z122" s="583">
        <v>35333</v>
      </c>
      <c r="AA122" s="583">
        <v>1359279</v>
      </c>
      <c r="AB122" s="583">
        <v>1190452</v>
      </c>
      <c r="AC122" s="583">
        <v>2549731</v>
      </c>
    </row>
    <row r="123" spans="1:29" x14ac:dyDescent="0.35">
      <c r="A123" s="655"/>
      <c r="B123" s="509" t="s">
        <v>957</v>
      </c>
      <c r="C123" s="583">
        <v>3676</v>
      </c>
      <c r="D123" s="583">
        <v>2477</v>
      </c>
      <c r="E123" s="583">
        <v>6153</v>
      </c>
      <c r="F123" s="583">
        <v>91</v>
      </c>
      <c r="G123" s="583">
        <v>58</v>
      </c>
      <c r="H123" s="583">
        <v>149</v>
      </c>
      <c r="I123" s="583">
        <v>148845</v>
      </c>
      <c r="J123" s="583">
        <v>175910</v>
      </c>
      <c r="K123" s="583">
        <v>324755</v>
      </c>
      <c r="L123" s="583">
        <v>998782</v>
      </c>
      <c r="M123" s="583">
        <v>903915</v>
      </c>
      <c r="N123" s="583">
        <v>1902697</v>
      </c>
      <c r="O123" s="583">
        <v>20339</v>
      </c>
      <c r="P123" s="583">
        <v>19119</v>
      </c>
      <c r="Q123" s="583">
        <v>39458</v>
      </c>
      <c r="R123" s="583">
        <v>102146</v>
      </c>
      <c r="S123" s="583">
        <v>54906</v>
      </c>
      <c r="T123" s="583">
        <v>157052</v>
      </c>
      <c r="U123" s="583">
        <v>2269</v>
      </c>
      <c r="V123" s="583">
        <v>1258</v>
      </c>
      <c r="W123" s="583">
        <v>3527</v>
      </c>
      <c r="X123" s="583">
        <v>16402</v>
      </c>
      <c r="Y123" s="583">
        <v>13083</v>
      </c>
      <c r="Z123" s="583">
        <v>29485</v>
      </c>
      <c r="AA123" s="583">
        <v>1292550</v>
      </c>
      <c r="AB123" s="583">
        <v>1170726</v>
      </c>
      <c r="AC123" s="583">
        <v>2463276</v>
      </c>
    </row>
    <row r="124" spans="1:29" x14ac:dyDescent="0.35">
      <c r="A124" s="655"/>
      <c r="B124" s="509" t="s">
        <v>956</v>
      </c>
      <c r="C124" s="584">
        <v>3006</v>
      </c>
      <c r="D124" s="584">
        <v>2441</v>
      </c>
      <c r="E124" s="584">
        <v>5447</v>
      </c>
      <c r="F124" s="584">
        <v>427</v>
      </c>
      <c r="G124" s="584">
        <v>449</v>
      </c>
      <c r="H124" s="584">
        <v>876</v>
      </c>
      <c r="I124" s="584">
        <v>116350</v>
      </c>
      <c r="J124" s="584">
        <v>150926</v>
      </c>
      <c r="K124" s="584">
        <v>267276</v>
      </c>
      <c r="L124" s="584">
        <v>825452</v>
      </c>
      <c r="M124" s="584">
        <v>753608</v>
      </c>
      <c r="N124" s="584">
        <v>1579060</v>
      </c>
      <c r="O124" s="584">
        <v>16921</v>
      </c>
      <c r="P124" s="584">
        <v>19014</v>
      </c>
      <c r="Q124" s="584">
        <v>35935</v>
      </c>
      <c r="R124" s="584">
        <v>74612</v>
      </c>
      <c r="S124" s="584">
        <v>42157</v>
      </c>
      <c r="T124" s="584">
        <v>116769</v>
      </c>
      <c r="U124" s="584">
        <v>845</v>
      </c>
      <c r="V124" s="584">
        <v>837</v>
      </c>
      <c r="W124" s="584">
        <v>1682</v>
      </c>
      <c r="X124" s="584">
        <v>10498</v>
      </c>
      <c r="Y124" s="584">
        <v>8326</v>
      </c>
      <c r="Z124" s="584">
        <v>18824</v>
      </c>
      <c r="AA124" s="584">
        <v>1048111</v>
      </c>
      <c r="AB124" s="584">
        <v>977758</v>
      </c>
      <c r="AC124" s="584">
        <v>2025869</v>
      </c>
    </row>
    <row r="125" spans="1:29" ht="14.5" x14ac:dyDescent="0.35">
      <c r="A125" s="655">
        <v>20</v>
      </c>
      <c r="B125" s="943" t="s">
        <v>30</v>
      </c>
      <c r="C125" s="928"/>
      <c r="D125" s="928"/>
      <c r="E125" s="928"/>
      <c r="F125" s="928"/>
      <c r="G125" s="928"/>
      <c r="H125" s="928"/>
      <c r="I125" s="928"/>
      <c r="J125" s="928"/>
      <c r="K125" s="928"/>
      <c r="L125" s="928"/>
      <c r="M125" s="928"/>
      <c r="N125" s="928"/>
      <c r="O125" s="928"/>
      <c r="P125" s="928"/>
      <c r="Q125" s="928"/>
      <c r="R125" s="928"/>
      <c r="S125" s="928"/>
      <c r="T125" s="928"/>
      <c r="U125" s="928"/>
      <c r="V125" s="928"/>
      <c r="W125" s="928"/>
      <c r="X125" s="928"/>
      <c r="Y125" s="928"/>
      <c r="Z125" s="928"/>
      <c r="AA125" s="928"/>
      <c r="AB125" s="928"/>
      <c r="AC125" s="928"/>
    </row>
    <row r="126" spans="1:29" x14ac:dyDescent="0.35">
      <c r="A126" s="655"/>
      <c r="B126" s="508" t="s">
        <v>960</v>
      </c>
      <c r="C126" s="582">
        <v>17597</v>
      </c>
      <c r="D126" s="582">
        <v>15683</v>
      </c>
      <c r="E126" s="582">
        <v>33280</v>
      </c>
      <c r="F126" s="582">
        <v>18</v>
      </c>
      <c r="G126" s="582">
        <v>18</v>
      </c>
      <c r="H126" s="582">
        <v>36</v>
      </c>
      <c r="I126" s="582">
        <v>209970</v>
      </c>
      <c r="J126" s="582">
        <v>229886</v>
      </c>
      <c r="K126" s="582">
        <v>439856</v>
      </c>
      <c r="L126" s="582">
        <v>1626959</v>
      </c>
      <c r="M126" s="582">
        <v>1457001</v>
      </c>
      <c r="N126" s="582">
        <v>3083960</v>
      </c>
      <c r="O126" s="582">
        <v>10135</v>
      </c>
      <c r="P126" s="582">
        <v>7687</v>
      </c>
      <c r="Q126" s="582">
        <v>17822</v>
      </c>
      <c r="R126" s="582">
        <v>218771</v>
      </c>
      <c r="S126" s="582">
        <v>184552</v>
      </c>
      <c r="T126" s="582">
        <v>403323</v>
      </c>
      <c r="U126" s="582">
        <v>6190</v>
      </c>
      <c r="V126" s="582">
        <v>6748</v>
      </c>
      <c r="W126" s="582">
        <v>12938</v>
      </c>
      <c r="X126" s="582">
        <v>13005</v>
      </c>
      <c r="Y126" s="582">
        <v>12850</v>
      </c>
      <c r="Z126" s="582">
        <v>25855</v>
      </c>
      <c r="AA126" s="582">
        <v>2102646</v>
      </c>
      <c r="AB126" s="582">
        <v>1914424</v>
      </c>
      <c r="AC126" s="582">
        <v>4017070</v>
      </c>
    </row>
    <row r="127" spans="1:29" x14ac:dyDescent="0.35">
      <c r="A127" s="655"/>
      <c r="B127" s="509" t="s">
        <v>959</v>
      </c>
      <c r="C127" s="583">
        <v>13171</v>
      </c>
      <c r="D127" s="583">
        <v>11362</v>
      </c>
      <c r="E127" s="583">
        <v>24533</v>
      </c>
      <c r="F127" s="583">
        <v>33</v>
      </c>
      <c r="G127" s="583">
        <v>28</v>
      </c>
      <c r="H127" s="583">
        <v>61</v>
      </c>
      <c r="I127" s="583">
        <v>227446</v>
      </c>
      <c r="J127" s="583">
        <v>253074</v>
      </c>
      <c r="K127" s="583">
        <v>480520</v>
      </c>
      <c r="L127" s="583">
        <v>1757211</v>
      </c>
      <c r="M127" s="583">
        <v>1471626</v>
      </c>
      <c r="N127" s="583">
        <v>3228838</v>
      </c>
      <c r="O127" s="583">
        <v>10690</v>
      </c>
      <c r="P127" s="583">
        <v>7556</v>
      </c>
      <c r="Q127" s="583">
        <v>18246</v>
      </c>
      <c r="R127" s="583">
        <v>220043</v>
      </c>
      <c r="S127" s="583">
        <v>169685</v>
      </c>
      <c r="T127" s="583">
        <v>389728</v>
      </c>
      <c r="U127" s="583">
        <v>4087</v>
      </c>
      <c r="V127" s="583">
        <v>4295</v>
      </c>
      <c r="W127" s="583">
        <v>8382</v>
      </c>
      <c r="X127" s="583">
        <v>13138</v>
      </c>
      <c r="Y127" s="583">
        <v>11479</v>
      </c>
      <c r="Z127" s="583">
        <v>24617</v>
      </c>
      <c r="AA127" s="583">
        <v>2245819</v>
      </c>
      <c r="AB127" s="583">
        <v>1929105</v>
      </c>
      <c r="AC127" s="583">
        <v>4174925</v>
      </c>
    </row>
    <row r="128" spans="1:29" x14ac:dyDescent="0.35">
      <c r="A128" s="655"/>
      <c r="B128" s="509" t="s">
        <v>958</v>
      </c>
      <c r="C128" s="583">
        <v>10115</v>
      </c>
      <c r="D128" s="583">
        <v>7717</v>
      </c>
      <c r="E128" s="583">
        <v>17832</v>
      </c>
      <c r="F128" s="583">
        <v>121</v>
      </c>
      <c r="G128" s="583">
        <v>69</v>
      </c>
      <c r="H128" s="583">
        <v>190</v>
      </c>
      <c r="I128" s="583">
        <v>218375</v>
      </c>
      <c r="J128" s="583">
        <v>239841</v>
      </c>
      <c r="K128" s="583">
        <v>458216</v>
      </c>
      <c r="L128" s="583">
        <v>1644217</v>
      </c>
      <c r="M128" s="583">
        <v>1349613</v>
      </c>
      <c r="N128" s="583">
        <v>2993830</v>
      </c>
      <c r="O128" s="583">
        <v>10543</v>
      </c>
      <c r="P128" s="583">
        <v>8326</v>
      </c>
      <c r="Q128" s="583">
        <v>18869</v>
      </c>
      <c r="R128" s="583">
        <v>216851</v>
      </c>
      <c r="S128" s="583">
        <v>145671</v>
      </c>
      <c r="T128" s="583">
        <v>362522</v>
      </c>
      <c r="U128" s="583">
        <v>3135</v>
      </c>
      <c r="V128" s="583">
        <v>3013</v>
      </c>
      <c r="W128" s="583">
        <v>6148</v>
      </c>
      <c r="X128" s="583">
        <v>10636</v>
      </c>
      <c r="Y128" s="583">
        <v>9599</v>
      </c>
      <c r="Z128" s="583">
        <v>20235</v>
      </c>
      <c r="AA128" s="583">
        <v>2113993</v>
      </c>
      <c r="AB128" s="583">
        <v>1763849</v>
      </c>
      <c r="AC128" s="583">
        <v>3877842</v>
      </c>
    </row>
    <row r="129" spans="1:29" x14ac:dyDescent="0.35">
      <c r="A129" s="655"/>
      <c r="B129" s="509" t="s">
        <v>957</v>
      </c>
      <c r="C129" s="583">
        <v>9358</v>
      </c>
      <c r="D129" s="583">
        <v>6393</v>
      </c>
      <c r="E129" s="583">
        <v>15751</v>
      </c>
      <c r="F129" s="583">
        <v>385</v>
      </c>
      <c r="G129" s="583">
        <v>349</v>
      </c>
      <c r="H129" s="583">
        <v>734</v>
      </c>
      <c r="I129" s="583">
        <v>188587</v>
      </c>
      <c r="J129" s="583">
        <v>206097</v>
      </c>
      <c r="K129" s="583">
        <v>394684</v>
      </c>
      <c r="L129" s="583">
        <v>1581859</v>
      </c>
      <c r="M129" s="583">
        <v>1341819</v>
      </c>
      <c r="N129" s="583">
        <v>2923678</v>
      </c>
      <c r="O129" s="583">
        <v>8734</v>
      </c>
      <c r="P129" s="583">
        <v>6625</v>
      </c>
      <c r="Q129" s="583">
        <v>15359</v>
      </c>
      <c r="R129" s="583">
        <v>215795</v>
      </c>
      <c r="S129" s="583">
        <v>145439</v>
      </c>
      <c r="T129" s="583">
        <v>361234</v>
      </c>
      <c r="U129" s="583">
        <v>4706</v>
      </c>
      <c r="V129" s="583">
        <v>4266</v>
      </c>
      <c r="W129" s="583">
        <v>8972</v>
      </c>
      <c r="X129" s="583">
        <v>8314</v>
      </c>
      <c r="Y129" s="583">
        <v>7527</v>
      </c>
      <c r="Z129" s="583">
        <v>15841</v>
      </c>
      <c r="AA129" s="583">
        <v>2017738</v>
      </c>
      <c r="AB129" s="583">
        <v>1718515</v>
      </c>
      <c r="AC129" s="583">
        <v>3736253</v>
      </c>
    </row>
    <row r="130" spans="1:29" x14ac:dyDescent="0.35">
      <c r="A130" s="655"/>
      <c r="B130" s="509" t="s">
        <v>956</v>
      </c>
      <c r="C130" s="584">
        <v>7122</v>
      </c>
      <c r="D130" s="584">
        <v>4861</v>
      </c>
      <c r="E130" s="584">
        <v>11983</v>
      </c>
      <c r="F130" s="584">
        <v>760</v>
      </c>
      <c r="G130" s="584">
        <v>716</v>
      </c>
      <c r="H130" s="584">
        <v>1476</v>
      </c>
      <c r="I130" s="584">
        <v>184339</v>
      </c>
      <c r="J130" s="584">
        <v>215963</v>
      </c>
      <c r="K130" s="584">
        <v>400302</v>
      </c>
      <c r="L130" s="584">
        <v>1504364</v>
      </c>
      <c r="M130" s="584">
        <v>1341482</v>
      </c>
      <c r="N130" s="584">
        <v>2845846</v>
      </c>
      <c r="O130" s="584">
        <v>9129</v>
      </c>
      <c r="P130" s="584">
        <v>7369</v>
      </c>
      <c r="Q130" s="584">
        <v>16498</v>
      </c>
      <c r="R130" s="584">
        <v>165508</v>
      </c>
      <c r="S130" s="584">
        <v>129520</v>
      </c>
      <c r="T130" s="584">
        <v>295028</v>
      </c>
      <c r="U130" s="584">
        <v>6100</v>
      </c>
      <c r="V130" s="584">
        <v>6516</v>
      </c>
      <c r="W130" s="584">
        <v>12616</v>
      </c>
      <c r="X130" s="584">
        <v>8085</v>
      </c>
      <c r="Y130" s="584">
        <v>7837</v>
      </c>
      <c r="Z130" s="584">
        <v>15922</v>
      </c>
      <c r="AA130" s="584">
        <v>1885407</v>
      </c>
      <c r="AB130" s="584">
        <v>1714264</v>
      </c>
      <c r="AC130" s="584">
        <v>3599671</v>
      </c>
    </row>
    <row r="131" spans="1:29" ht="14.5" x14ac:dyDescent="0.35">
      <c r="A131" s="655">
        <v>21</v>
      </c>
      <c r="B131" s="943" t="s">
        <v>31</v>
      </c>
      <c r="C131" s="928"/>
      <c r="D131" s="928"/>
      <c r="E131" s="928"/>
      <c r="F131" s="928"/>
      <c r="G131" s="928"/>
      <c r="H131" s="928"/>
      <c r="I131" s="928"/>
      <c r="J131" s="928"/>
      <c r="K131" s="928"/>
      <c r="L131" s="928"/>
      <c r="M131" s="928"/>
      <c r="N131" s="928"/>
      <c r="O131" s="928"/>
      <c r="P131" s="928"/>
      <c r="Q131" s="928"/>
      <c r="R131" s="928"/>
      <c r="S131" s="928"/>
      <c r="T131" s="928"/>
      <c r="U131" s="928"/>
      <c r="V131" s="928"/>
      <c r="W131" s="928"/>
      <c r="X131" s="928"/>
      <c r="Y131" s="928"/>
      <c r="Z131" s="928"/>
      <c r="AA131" s="928"/>
      <c r="AB131" s="928"/>
      <c r="AC131" s="928"/>
    </row>
    <row r="132" spans="1:29" x14ac:dyDescent="0.35">
      <c r="A132" s="655"/>
      <c r="B132" s="508" t="s">
        <v>960</v>
      </c>
      <c r="C132" s="582">
        <v>1518</v>
      </c>
      <c r="D132" s="582">
        <v>1621</v>
      </c>
      <c r="E132" s="582">
        <v>3139</v>
      </c>
      <c r="F132" s="582">
        <v>4</v>
      </c>
      <c r="G132" s="582">
        <v>8</v>
      </c>
      <c r="H132" s="582">
        <v>12</v>
      </c>
      <c r="I132" s="582">
        <v>4749</v>
      </c>
      <c r="J132" s="582">
        <v>4958</v>
      </c>
      <c r="K132" s="582">
        <v>9707</v>
      </c>
      <c r="L132" s="582">
        <v>45067</v>
      </c>
      <c r="M132" s="582">
        <v>44515</v>
      </c>
      <c r="N132" s="582">
        <v>89582</v>
      </c>
      <c r="O132" s="582">
        <v>316</v>
      </c>
      <c r="P132" s="582">
        <v>270</v>
      </c>
      <c r="Q132" s="582">
        <v>586</v>
      </c>
      <c r="R132" s="582">
        <v>1499</v>
      </c>
      <c r="S132" s="582">
        <v>2722</v>
      </c>
      <c r="T132" s="582">
        <v>4221</v>
      </c>
      <c r="U132" s="582">
        <v>23</v>
      </c>
      <c r="V132" s="582">
        <v>34</v>
      </c>
      <c r="W132" s="582">
        <v>57</v>
      </c>
      <c r="X132" s="582">
        <v>264</v>
      </c>
      <c r="Y132" s="582">
        <v>154</v>
      </c>
      <c r="Z132" s="582">
        <v>418</v>
      </c>
      <c r="AA132" s="582">
        <v>53440</v>
      </c>
      <c r="AB132" s="582">
        <v>54282</v>
      </c>
      <c r="AC132" s="582">
        <v>107722</v>
      </c>
    </row>
    <row r="133" spans="1:29" x14ac:dyDescent="0.35">
      <c r="A133" s="655"/>
      <c r="B133" s="509" t="s">
        <v>959</v>
      </c>
      <c r="C133" s="583">
        <v>1139</v>
      </c>
      <c r="D133" s="583">
        <v>1211</v>
      </c>
      <c r="E133" s="583">
        <v>2350</v>
      </c>
      <c r="F133" s="583">
        <v>4</v>
      </c>
      <c r="G133" s="583">
        <v>8</v>
      </c>
      <c r="H133" s="583">
        <v>12</v>
      </c>
      <c r="I133" s="583">
        <v>4066</v>
      </c>
      <c r="J133" s="583">
        <v>4585</v>
      </c>
      <c r="K133" s="583">
        <v>8651</v>
      </c>
      <c r="L133" s="583">
        <v>51225</v>
      </c>
      <c r="M133" s="583">
        <v>49424</v>
      </c>
      <c r="N133" s="583">
        <v>100649</v>
      </c>
      <c r="O133" s="583">
        <v>468</v>
      </c>
      <c r="P133" s="583">
        <v>508</v>
      </c>
      <c r="Q133" s="583">
        <v>976</v>
      </c>
      <c r="R133" s="583">
        <v>1423</v>
      </c>
      <c r="S133" s="583">
        <v>2531</v>
      </c>
      <c r="T133" s="583">
        <v>3954</v>
      </c>
      <c r="U133" s="583">
        <v>144</v>
      </c>
      <c r="V133" s="583">
        <v>74</v>
      </c>
      <c r="W133" s="583">
        <v>218</v>
      </c>
      <c r="X133" s="583"/>
      <c r="Y133" s="583"/>
      <c r="Z133" s="583"/>
      <c r="AA133" s="583">
        <v>58470</v>
      </c>
      <c r="AB133" s="583">
        <v>58340</v>
      </c>
      <c r="AC133" s="583">
        <v>116810</v>
      </c>
    </row>
    <row r="134" spans="1:29" x14ac:dyDescent="0.35">
      <c r="A134" s="655"/>
      <c r="B134" s="509" t="s">
        <v>958</v>
      </c>
      <c r="C134" s="583">
        <v>725</v>
      </c>
      <c r="D134" s="583">
        <v>723</v>
      </c>
      <c r="E134" s="583">
        <v>1448</v>
      </c>
      <c r="F134" s="583"/>
      <c r="G134" s="583">
        <v>6</v>
      </c>
      <c r="H134" s="583">
        <v>6</v>
      </c>
      <c r="I134" s="583">
        <v>3211</v>
      </c>
      <c r="J134" s="583">
        <v>3989</v>
      </c>
      <c r="K134" s="583">
        <v>7200</v>
      </c>
      <c r="L134" s="583">
        <v>57000</v>
      </c>
      <c r="M134" s="583">
        <v>53650</v>
      </c>
      <c r="N134" s="583">
        <v>110650</v>
      </c>
      <c r="O134" s="583">
        <v>526</v>
      </c>
      <c r="P134" s="583">
        <v>394</v>
      </c>
      <c r="Q134" s="583">
        <v>920</v>
      </c>
      <c r="R134" s="583">
        <v>1635</v>
      </c>
      <c r="S134" s="583">
        <v>2902</v>
      </c>
      <c r="T134" s="583">
        <v>4537</v>
      </c>
      <c r="U134" s="583">
        <v>161</v>
      </c>
      <c r="V134" s="583">
        <v>125</v>
      </c>
      <c r="W134" s="583">
        <v>286</v>
      </c>
      <c r="X134" s="583"/>
      <c r="Y134" s="583"/>
      <c r="Z134" s="583"/>
      <c r="AA134" s="583">
        <v>63258</v>
      </c>
      <c r="AB134" s="583">
        <v>61789</v>
      </c>
      <c r="AC134" s="583">
        <v>125047</v>
      </c>
    </row>
    <row r="135" spans="1:29" x14ac:dyDescent="0.35">
      <c r="A135" s="655"/>
      <c r="B135" s="509" t="s">
        <v>957</v>
      </c>
      <c r="C135" s="583">
        <v>624</v>
      </c>
      <c r="D135" s="583">
        <v>569</v>
      </c>
      <c r="E135" s="583">
        <v>1193</v>
      </c>
      <c r="F135" s="583">
        <v>0</v>
      </c>
      <c r="G135" s="583">
        <v>12</v>
      </c>
      <c r="H135" s="583">
        <v>12</v>
      </c>
      <c r="I135" s="583">
        <v>3099</v>
      </c>
      <c r="J135" s="583">
        <v>4070</v>
      </c>
      <c r="K135" s="583">
        <v>7169</v>
      </c>
      <c r="L135" s="583">
        <v>60239</v>
      </c>
      <c r="M135" s="583">
        <v>59595</v>
      </c>
      <c r="N135" s="583">
        <v>119834</v>
      </c>
      <c r="O135" s="583">
        <v>345</v>
      </c>
      <c r="P135" s="583">
        <v>222</v>
      </c>
      <c r="Q135" s="583">
        <v>567</v>
      </c>
      <c r="R135" s="583">
        <v>1615</v>
      </c>
      <c r="S135" s="583">
        <v>2575</v>
      </c>
      <c r="T135" s="583">
        <v>4190</v>
      </c>
      <c r="U135" s="583">
        <v>160</v>
      </c>
      <c r="V135" s="583">
        <v>186</v>
      </c>
      <c r="W135" s="583">
        <v>346</v>
      </c>
      <c r="X135" s="583">
        <v>0</v>
      </c>
      <c r="Y135" s="583">
        <v>0</v>
      </c>
      <c r="Z135" s="583">
        <v>0</v>
      </c>
      <c r="AA135" s="583">
        <v>66082</v>
      </c>
      <c r="AB135" s="583">
        <v>67229</v>
      </c>
      <c r="AC135" s="583">
        <v>133311</v>
      </c>
    </row>
    <row r="136" spans="1:29" x14ac:dyDescent="0.35">
      <c r="A136" s="655"/>
      <c r="B136" s="509" t="s">
        <v>956</v>
      </c>
      <c r="C136" s="584">
        <v>538</v>
      </c>
      <c r="D136" s="584">
        <v>507</v>
      </c>
      <c r="E136" s="584">
        <v>1045</v>
      </c>
      <c r="F136" s="584">
        <v>2</v>
      </c>
      <c r="G136" s="584">
        <v>10</v>
      </c>
      <c r="H136" s="584">
        <v>12</v>
      </c>
      <c r="I136" s="584">
        <v>2744</v>
      </c>
      <c r="J136" s="584">
        <v>3274</v>
      </c>
      <c r="K136" s="584">
        <v>6018</v>
      </c>
      <c r="L136" s="584">
        <v>52759</v>
      </c>
      <c r="M136" s="584">
        <v>54453</v>
      </c>
      <c r="N136" s="584">
        <v>107212</v>
      </c>
      <c r="O136" s="584">
        <v>144</v>
      </c>
      <c r="P136" s="584">
        <v>79</v>
      </c>
      <c r="Q136" s="584">
        <v>223</v>
      </c>
      <c r="R136" s="584">
        <v>1376</v>
      </c>
      <c r="S136" s="584">
        <v>2561</v>
      </c>
      <c r="T136" s="584">
        <v>3937</v>
      </c>
      <c r="U136" s="584">
        <v>55</v>
      </c>
      <c r="V136" s="584">
        <v>90</v>
      </c>
      <c r="W136" s="584">
        <v>145</v>
      </c>
      <c r="X136" s="584">
        <v>0</v>
      </c>
      <c r="Y136" s="584">
        <v>0</v>
      </c>
      <c r="Z136" s="584">
        <v>0</v>
      </c>
      <c r="AA136" s="584">
        <v>57618</v>
      </c>
      <c r="AB136" s="584">
        <v>60974</v>
      </c>
      <c r="AC136" s="584">
        <v>118592</v>
      </c>
    </row>
    <row r="137" spans="1:29" ht="14.5" x14ac:dyDescent="0.35">
      <c r="A137" s="655">
        <v>22</v>
      </c>
      <c r="B137" s="943" t="s">
        <v>32</v>
      </c>
      <c r="C137" s="928"/>
      <c r="D137" s="928"/>
      <c r="E137" s="928"/>
      <c r="F137" s="928"/>
      <c r="G137" s="928"/>
      <c r="H137" s="928"/>
      <c r="I137" s="928"/>
      <c r="J137" s="928"/>
      <c r="K137" s="928"/>
      <c r="L137" s="928"/>
      <c r="M137" s="928"/>
      <c r="N137" s="928"/>
      <c r="O137" s="928"/>
      <c r="P137" s="928"/>
      <c r="Q137" s="928"/>
      <c r="R137" s="928"/>
      <c r="S137" s="928"/>
      <c r="T137" s="928"/>
      <c r="U137" s="928"/>
      <c r="V137" s="928"/>
      <c r="W137" s="928"/>
      <c r="X137" s="928"/>
      <c r="Y137" s="928"/>
      <c r="Z137" s="928"/>
      <c r="AA137" s="928"/>
      <c r="AB137" s="928"/>
      <c r="AC137" s="928"/>
    </row>
    <row r="138" spans="1:29" x14ac:dyDescent="0.35">
      <c r="A138" s="655"/>
      <c r="B138" s="508" t="s">
        <v>960</v>
      </c>
      <c r="C138" s="582">
        <v>1112</v>
      </c>
      <c r="D138" s="582">
        <v>1213</v>
      </c>
      <c r="E138" s="582">
        <v>2325</v>
      </c>
      <c r="F138" s="582">
        <v>1</v>
      </c>
      <c r="G138" s="582"/>
      <c r="H138" s="582">
        <v>1</v>
      </c>
      <c r="I138" s="582">
        <v>4104</v>
      </c>
      <c r="J138" s="582">
        <v>6376</v>
      </c>
      <c r="K138" s="582">
        <v>10480</v>
      </c>
      <c r="L138" s="582">
        <v>38163</v>
      </c>
      <c r="M138" s="582">
        <v>46464</v>
      </c>
      <c r="N138" s="582">
        <v>84627</v>
      </c>
      <c r="O138" s="582">
        <v>59</v>
      </c>
      <c r="P138" s="582">
        <v>61</v>
      </c>
      <c r="Q138" s="582">
        <v>120</v>
      </c>
      <c r="R138" s="582">
        <v>1265</v>
      </c>
      <c r="S138" s="582">
        <v>2133</v>
      </c>
      <c r="T138" s="582">
        <v>3398</v>
      </c>
      <c r="U138" s="582">
        <v>330</v>
      </c>
      <c r="V138" s="582">
        <v>338</v>
      </c>
      <c r="W138" s="582">
        <v>668</v>
      </c>
      <c r="X138" s="582">
        <v>284</v>
      </c>
      <c r="Y138" s="582">
        <v>361</v>
      </c>
      <c r="Z138" s="582">
        <v>645</v>
      </c>
      <c r="AA138" s="582">
        <v>45317</v>
      </c>
      <c r="AB138" s="582">
        <v>56946</v>
      </c>
      <c r="AC138" s="582">
        <v>102264</v>
      </c>
    </row>
    <row r="139" spans="1:29" x14ac:dyDescent="0.35">
      <c r="A139" s="655"/>
      <c r="B139" s="509" t="s">
        <v>959</v>
      </c>
      <c r="C139" s="583">
        <v>525</v>
      </c>
      <c r="D139" s="583">
        <v>534</v>
      </c>
      <c r="E139" s="583">
        <v>1059</v>
      </c>
      <c r="F139" s="583">
        <v>0</v>
      </c>
      <c r="G139" s="583">
        <v>0</v>
      </c>
      <c r="H139" s="583">
        <v>0</v>
      </c>
      <c r="I139" s="583">
        <v>4308</v>
      </c>
      <c r="J139" s="583">
        <v>6639</v>
      </c>
      <c r="K139" s="583">
        <v>10946</v>
      </c>
      <c r="L139" s="583">
        <v>34838</v>
      </c>
      <c r="M139" s="583">
        <v>42105</v>
      </c>
      <c r="N139" s="583">
        <v>76943</v>
      </c>
      <c r="O139" s="583">
        <v>60</v>
      </c>
      <c r="P139" s="583">
        <v>74</v>
      </c>
      <c r="Q139" s="583">
        <v>134</v>
      </c>
      <c r="R139" s="583">
        <v>1244</v>
      </c>
      <c r="S139" s="583">
        <v>2175</v>
      </c>
      <c r="T139" s="583">
        <v>3419</v>
      </c>
      <c r="U139" s="583">
        <v>458</v>
      </c>
      <c r="V139" s="583">
        <v>454</v>
      </c>
      <c r="W139" s="583">
        <v>912</v>
      </c>
      <c r="X139" s="583">
        <v>234</v>
      </c>
      <c r="Y139" s="583">
        <v>251</v>
      </c>
      <c r="Z139" s="583">
        <v>485</v>
      </c>
      <c r="AA139" s="583">
        <v>41666</v>
      </c>
      <c r="AB139" s="583">
        <v>52232</v>
      </c>
      <c r="AC139" s="583">
        <v>93898</v>
      </c>
    </row>
    <row r="140" spans="1:29" x14ac:dyDescent="0.35">
      <c r="A140" s="655"/>
      <c r="B140" s="509" t="s">
        <v>958</v>
      </c>
      <c r="C140" s="583">
        <v>458</v>
      </c>
      <c r="D140" s="583">
        <v>331</v>
      </c>
      <c r="E140" s="583">
        <v>789</v>
      </c>
      <c r="F140" s="583">
        <v>1</v>
      </c>
      <c r="G140" s="583">
        <v>2</v>
      </c>
      <c r="H140" s="583">
        <v>3</v>
      </c>
      <c r="I140" s="583">
        <v>4340</v>
      </c>
      <c r="J140" s="583">
        <v>6303</v>
      </c>
      <c r="K140" s="583">
        <v>10643</v>
      </c>
      <c r="L140" s="583">
        <v>34345</v>
      </c>
      <c r="M140" s="583">
        <v>39778</v>
      </c>
      <c r="N140" s="583">
        <v>74123</v>
      </c>
      <c r="O140" s="583">
        <v>184</v>
      </c>
      <c r="P140" s="583">
        <v>284</v>
      </c>
      <c r="Q140" s="583">
        <v>468</v>
      </c>
      <c r="R140" s="583">
        <v>981</v>
      </c>
      <c r="S140" s="583">
        <v>1980</v>
      </c>
      <c r="T140" s="583">
        <v>2961</v>
      </c>
      <c r="U140" s="583">
        <v>31</v>
      </c>
      <c r="V140" s="583">
        <v>55</v>
      </c>
      <c r="W140" s="583">
        <v>86</v>
      </c>
      <c r="X140" s="583">
        <v>203</v>
      </c>
      <c r="Y140" s="583">
        <v>180</v>
      </c>
      <c r="Z140" s="583">
        <v>383</v>
      </c>
      <c r="AA140" s="583">
        <v>40543</v>
      </c>
      <c r="AB140" s="583">
        <v>48913</v>
      </c>
      <c r="AC140" s="583">
        <v>89456</v>
      </c>
    </row>
    <row r="141" spans="1:29" x14ac:dyDescent="0.35">
      <c r="A141" s="655"/>
      <c r="B141" s="509" t="s">
        <v>957</v>
      </c>
      <c r="C141" s="583">
        <v>469</v>
      </c>
      <c r="D141" s="583">
        <v>364</v>
      </c>
      <c r="E141" s="583">
        <v>833</v>
      </c>
      <c r="F141" s="583">
        <v>0</v>
      </c>
      <c r="G141" s="583">
        <v>0</v>
      </c>
      <c r="H141" s="583">
        <v>0</v>
      </c>
      <c r="I141" s="583">
        <v>3125</v>
      </c>
      <c r="J141" s="583">
        <v>4882</v>
      </c>
      <c r="K141" s="583">
        <v>8007</v>
      </c>
      <c r="L141" s="583">
        <v>35316</v>
      </c>
      <c r="M141" s="583">
        <v>43731</v>
      </c>
      <c r="N141" s="583">
        <v>79047</v>
      </c>
      <c r="O141" s="583">
        <v>42</v>
      </c>
      <c r="P141" s="583">
        <v>37</v>
      </c>
      <c r="Q141" s="583">
        <v>79</v>
      </c>
      <c r="R141" s="583">
        <v>1300</v>
      </c>
      <c r="S141" s="583">
        <v>2194</v>
      </c>
      <c r="T141" s="583">
        <v>3494</v>
      </c>
      <c r="U141" s="583">
        <v>172</v>
      </c>
      <c r="V141" s="583">
        <v>214</v>
      </c>
      <c r="W141" s="583">
        <v>386</v>
      </c>
      <c r="X141" s="583">
        <v>73</v>
      </c>
      <c r="Y141" s="583">
        <v>54</v>
      </c>
      <c r="Z141" s="583">
        <v>127</v>
      </c>
      <c r="AA141" s="583">
        <v>40497</v>
      </c>
      <c r="AB141" s="583">
        <v>51476</v>
      </c>
      <c r="AC141" s="583">
        <v>91973</v>
      </c>
    </row>
    <row r="142" spans="1:29" x14ac:dyDescent="0.35">
      <c r="A142" s="655"/>
      <c r="B142" s="509" t="s">
        <v>956</v>
      </c>
      <c r="C142" s="584">
        <v>492</v>
      </c>
      <c r="D142" s="584">
        <v>378</v>
      </c>
      <c r="E142" s="584">
        <v>870</v>
      </c>
      <c r="F142" s="584">
        <v>10</v>
      </c>
      <c r="G142" s="584">
        <v>23</v>
      </c>
      <c r="H142" s="584">
        <v>33</v>
      </c>
      <c r="I142" s="584">
        <v>2979</v>
      </c>
      <c r="J142" s="584">
        <v>4304</v>
      </c>
      <c r="K142" s="584">
        <v>7283</v>
      </c>
      <c r="L142" s="584">
        <v>32135</v>
      </c>
      <c r="M142" s="584">
        <v>37234</v>
      </c>
      <c r="N142" s="584">
        <v>69369</v>
      </c>
      <c r="O142" s="584">
        <v>32</v>
      </c>
      <c r="P142" s="584">
        <v>37</v>
      </c>
      <c r="Q142" s="584">
        <v>69</v>
      </c>
      <c r="R142" s="584">
        <v>1076</v>
      </c>
      <c r="S142" s="584">
        <v>1637</v>
      </c>
      <c r="T142" s="584">
        <v>2713</v>
      </c>
      <c r="U142" s="584">
        <v>47</v>
      </c>
      <c r="V142" s="584">
        <v>47</v>
      </c>
      <c r="W142" s="584">
        <v>94</v>
      </c>
      <c r="X142" s="584">
        <v>70</v>
      </c>
      <c r="Y142" s="584">
        <v>52</v>
      </c>
      <c r="Z142" s="584">
        <v>122</v>
      </c>
      <c r="AA142" s="584">
        <v>36841</v>
      </c>
      <c r="AB142" s="584">
        <v>43712</v>
      </c>
      <c r="AC142" s="584">
        <v>80553</v>
      </c>
    </row>
    <row r="143" spans="1:29" ht="14.5" x14ac:dyDescent="0.35">
      <c r="A143" s="655">
        <v>23</v>
      </c>
      <c r="B143" s="943" t="s">
        <v>33</v>
      </c>
      <c r="C143" s="928"/>
      <c r="D143" s="928"/>
      <c r="E143" s="928"/>
      <c r="F143" s="928"/>
      <c r="G143" s="928"/>
      <c r="H143" s="928"/>
      <c r="I143" s="928"/>
      <c r="J143" s="928"/>
      <c r="K143" s="928"/>
      <c r="L143" s="928"/>
      <c r="M143" s="928"/>
      <c r="N143" s="928"/>
      <c r="O143" s="928"/>
      <c r="P143" s="928"/>
      <c r="Q143" s="928"/>
      <c r="R143" s="928"/>
      <c r="S143" s="928"/>
      <c r="T143" s="928"/>
      <c r="U143" s="928"/>
      <c r="V143" s="928"/>
      <c r="W143" s="928"/>
      <c r="X143" s="928"/>
      <c r="Y143" s="928"/>
      <c r="Z143" s="928"/>
      <c r="AA143" s="928"/>
      <c r="AB143" s="928"/>
      <c r="AC143" s="928"/>
    </row>
    <row r="144" spans="1:29" x14ac:dyDescent="0.35">
      <c r="A144" s="655"/>
      <c r="B144" s="508" t="s">
        <v>960</v>
      </c>
      <c r="C144" s="582">
        <v>760</v>
      </c>
      <c r="D144" s="582">
        <v>708</v>
      </c>
      <c r="E144" s="582">
        <v>1468</v>
      </c>
      <c r="F144" s="582"/>
      <c r="G144" s="582"/>
      <c r="H144" s="582"/>
      <c r="I144" s="582">
        <v>1300</v>
      </c>
      <c r="J144" s="582">
        <v>1523</v>
      </c>
      <c r="K144" s="582">
        <v>2823</v>
      </c>
      <c r="L144" s="582">
        <v>13144</v>
      </c>
      <c r="M144" s="582">
        <v>11627</v>
      </c>
      <c r="N144" s="582">
        <v>24771</v>
      </c>
      <c r="O144" s="582">
        <v>25</v>
      </c>
      <c r="P144" s="582"/>
      <c r="Q144" s="582">
        <v>25</v>
      </c>
      <c r="R144" s="582">
        <v>4203</v>
      </c>
      <c r="S144" s="582">
        <v>5216</v>
      </c>
      <c r="T144" s="582">
        <v>9419</v>
      </c>
      <c r="U144" s="582">
        <v>120</v>
      </c>
      <c r="V144" s="582">
        <v>100</v>
      </c>
      <c r="W144" s="582">
        <v>220</v>
      </c>
      <c r="X144" s="582"/>
      <c r="Y144" s="582"/>
      <c r="Z144" s="582"/>
      <c r="AA144" s="582">
        <v>19552</v>
      </c>
      <c r="AB144" s="582">
        <v>19174</v>
      </c>
      <c r="AC144" s="582">
        <v>38726</v>
      </c>
    </row>
    <row r="145" spans="1:29" x14ac:dyDescent="0.35">
      <c r="A145" s="655"/>
      <c r="B145" s="509" t="s">
        <v>959</v>
      </c>
      <c r="C145" s="583">
        <v>667</v>
      </c>
      <c r="D145" s="583">
        <v>579</v>
      </c>
      <c r="E145" s="583">
        <v>1246</v>
      </c>
      <c r="F145" s="583"/>
      <c r="G145" s="583"/>
      <c r="H145" s="583"/>
      <c r="I145" s="583">
        <v>1386</v>
      </c>
      <c r="J145" s="583">
        <v>1610</v>
      </c>
      <c r="K145" s="583">
        <v>2996</v>
      </c>
      <c r="L145" s="583">
        <v>14301</v>
      </c>
      <c r="M145" s="583">
        <v>12748</v>
      </c>
      <c r="N145" s="583">
        <v>27049</v>
      </c>
      <c r="O145" s="583">
        <v>2</v>
      </c>
      <c r="P145" s="583">
        <v>1</v>
      </c>
      <c r="Q145" s="583">
        <v>3</v>
      </c>
      <c r="R145" s="583">
        <v>4478</v>
      </c>
      <c r="S145" s="583">
        <v>5617</v>
      </c>
      <c r="T145" s="583">
        <v>10095</v>
      </c>
      <c r="U145" s="583">
        <v>3</v>
      </c>
      <c r="V145" s="583">
        <v>3</v>
      </c>
      <c r="W145" s="583">
        <v>6</v>
      </c>
      <c r="X145" s="583">
        <v>5</v>
      </c>
      <c r="Y145" s="583">
        <v>2</v>
      </c>
      <c r="Z145" s="583">
        <v>7</v>
      </c>
      <c r="AA145" s="583">
        <v>20842</v>
      </c>
      <c r="AB145" s="583">
        <v>20560</v>
      </c>
      <c r="AC145" s="583">
        <v>41402</v>
      </c>
    </row>
    <row r="146" spans="1:29" x14ac:dyDescent="0.35">
      <c r="A146" s="655"/>
      <c r="B146" s="509" t="s">
        <v>958</v>
      </c>
      <c r="C146" s="583">
        <v>634</v>
      </c>
      <c r="D146" s="583">
        <v>565</v>
      </c>
      <c r="E146" s="583">
        <v>1199</v>
      </c>
      <c r="F146" s="583"/>
      <c r="G146" s="583"/>
      <c r="H146" s="583"/>
      <c r="I146" s="583">
        <v>1266</v>
      </c>
      <c r="J146" s="583">
        <v>1572</v>
      </c>
      <c r="K146" s="583">
        <v>2838</v>
      </c>
      <c r="L146" s="583">
        <v>14289</v>
      </c>
      <c r="M146" s="583">
        <v>13432</v>
      </c>
      <c r="N146" s="583">
        <v>27721</v>
      </c>
      <c r="O146" s="583"/>
      <c r="P146" s="583"/>
      <c r="Q146" s="583"/>
      <c r="R146" s="583">
        <v>3179</v>
      </c>
      <c r="S146" s="583">
        <v>3516</v>
      </c>
      <c r="T146" s="583">
        <v>6695</v>
      </c>
      <c r="U146" s="583"/>
      <c r="V146" s="583"/>
      <c r="W146" s="583"/>
      <c r="X146" s="583">
        <v>15</v>
      </c>
      <c r="Y146" s="583">
        <v>10</v>
      </c>
      <c r="Z146" s="583">
        <v>25</v>
      </c>
      <c r="AA146" s="583">
        <v>19383</v>
      </c>
      <c r="AB146" s="583">
        <v>19095</v>
      </c>
      <c r="AC146" s="583">
        <v>38478</v>
      </c>
    </row>
    <row r="147" spans="1:29" x14ac:dyDescent="0.35">
      <c r="A147" s="655"/>
      <c r="B147" s="509" t="s">
        <v>957</v>
      </c>
      <c r="C147" s="583">
        <v>551</v>
      </c>
      <c r="D147" s="583">
        <v>436</v>
      </c>
      <c r="E147" s="583">
        <v>987</v>
      </c>
      <c r="F147" s="583">
        <v>56</v>
      </c>
      <c r="G147" s="583">
        <v>59</v>
      </c>
      <c r="H147" s="583">
        <v>115</v>
      </c>
      <c r="I147" s="583">
        <v>1127</v>
      </c>
      <c r="J147" s="583">
        <v>1313</v>
      </c>
      <c r="K147" s="583">
        <v>2440</v>
      </c>
      <c r="L147" s="583">
        <v>13723</v>
      </c>
      <c r="M147" s="583">
        <v>12815</v>
      </c>
      <c r="N147" s="583">
        <v>26538</v>
      </c>
      <c r="O147" s="583">
        <v>0</v>
      </c>
      <c r="P147" s="583">
        <v>0</v>
      </c>
      <c r="Q147" s="583">
        <v>0</v>
      </c>
      <c r="R147" s="583">
        <v>698</v>
      </c>
      <c r="S147" s="583">
        <v>1435</v>
      </c>
      <c r="T147" s="583">
        <v>2133</v>
      </c>
      <c r="U147" s="583">
        <v>0</v>
      </c>
      <c r="V147" s="583">
        <v>20</v>
      </c>
      <c r="W147" s="583">
        <v>20</v>
      </c>
      <c r="X147" s="583">
        <v>29</v>
      </c>
      <c r="Y147" s="583">
        <v>23</v>
      </c>
      <c r="Z147" s="583">
        <v>52</v>
      </c>
      <c r="AA147" s="583">
        <v>16184</v>
      </c>
      <c r="AB147" s="583">
        <v>16101</v>
      </c>
      <c r="AC147" s="583">
        <v>32285</v>
      </c>
    </row>
    <row r="148" spans="1:29" x14ac:dyDescent="0.35">
      <c r="A148" s="655"/>
      <c r="B148" s="509" t="s">
        <v>956</v>
      </c>
      <c r="C148" s="584">
        <v>479</v>
      </c>
      <c r="D148" s="584">
        <v>388</v>
      </c>
      <c r="E148" s="584">
        <v>867</v>
      </c>
      <c r="F148" s="584">
        <v>75</v>
      </c>
      <c r="G148" s="584">
        <v>77</v>
      </c>
      <c r="H148" s="584">
        <v>152</v>
      </c>
      <c r="I148" s="584">
        <v>1143</v>
      </c>
      <c r="J148" s="584">
        <v>1173</v>
      </c>
      <c r="K148" s="584">
        <v>2316</v>
      </c>
      <c r="L148" s="584">
        <v>10938</v>
      </c>
      <c r="M148" s="584">
        <v>9351</v>
      </c>
      <c r="N148" s="584">
        <v>20289</v>
      </c>
      <c r="O148" s="584">
        <v>0</v>
      </c>
      <c r="P148" s="584">
        <v>0</v>
      </c>
      <c r="Q148" s="584">
        <v>0</v>
      </c>
      <c r="R148" s="584">
        <v>649</v>
      </c>
      <c r="S148" s="584">
        <v>1213</v>
      </c>
      <c r="T148" s="584">
        <v>1862</v>
      </c>
      <c r="U148" s="584">
        <v>304</v>
      </c>
      <c r="V148" s="584">
        <v>159</v>
      </c>
      <c r="W148" s="584">
        <v>463</v>
      </c>
      <c r="X148" s="584">
        <v>47</v>
      </c>
      <c r="Y148" s="584">
        <v>26</v>
      </c>
      <c r="Z148" s="584">
        <v>73</v>
      </c>
      <c r="AA148" s="584">
        <v>13635</v>
      </c>
      <c r="AB148" s="584">
        <v>12387</v>
      </c>
      <c r="AC148" s="584">
        <v>26022</v>
      </c>
    </row>
    <row r="149" spans="1:29" ht="14.5" x14ac:dyDescent="0.35">
      <c r="A149" s="655">
        <v>24</v>
      </c>
      <c r="B149" s="943" t="s">
        <v>34</v>
      </c>
      <c r="C149" s="928"/>
      <c r="D149" s="928"/>
      <c r="E149" s="928"/>
      <c r="F149" s="928"/>
      <c r="G149" s="928"/>
      <c r="H149" s="928"/>
      <c r="I149" s="928"/>
      <c r="J149" s="928"/>
      <c r="K149" s="928"/>
      <c r="L149" s="928"/>
      <c r="M149" s="928"/>
      <c r="N149" s="928"/>
      <c r="O149" s="928"/>
      <c r="P149" s="928"/>
      <c r="Q149" s="928"/>
      <c r="R149" s="928"/>
      <c r="S149" s="928"/>
      <c r="T149" s="928"/>
      <c r="U149" s="928"/>
      <c r="V149" s="928"/>
      <c r="W149" s="928"/>
      <c r="X149" s="928"/>
      <c r="Y149" s="928"/>
      <c r="Z149" s="928"/>
      <c r="AA149" s="928"/>
      <c r="AB149" s="928"/>
      <c r="AC149" s="928"/>
    </row>
    <row r="150" spans="1:29" x14ac:dyDescent="0.35">
      <c r="A150" s="655"/>
      <c r="B150" s="508" t="s">
        <v>960</v>
      </c>
      <c r="C150" s="582">
        <v>405</v>
      </c>
      <c r="D150" s="582">
        <v>467</v>
      </c>
      <c r="E150" s="582">
        <v>872</v>
      </c>
      <c r="F150" s="582"/>
      <c r="G150" s="582"/>
      <c r="H150" s="582"/>
      <c r="I150" s="582">
        <v>1692</v>
      </c>
      <c r="J150" s="582">
        <v>2499</v>
      </c>
      <c r="K150" s="582">
        <v>4191</v>
      </c>
      <c r="L150" s="582">
        <v>17435</v>
      </c>
      <c r="M150" s="582">
        <v>19839</v>
      </c>
      <c r="N150" s="582">
        <v>37274</v>
      </c>
      <c r="O150" s="582"/>
      <c r="P150" s="582">
        <v>8</v>
      </c>
      <c r="Q150" s="582">
        <v>8</v>
      </c>
      <c r="R150" s="582">
        <v>747</v>
      </c>
      <c r="S150" s="582">
        <v>1374</v>
      </c>
      <c r="T150" s="582">
        <v>2121</v>
      </c>
      <c r="U150" s="582">
        <v>352</v>
      </c>
      <c r="V150" s="582">
        <v>395</v>
      </c>
      <c r="W150" s="582">
        <v>747</v>
      </c>
      <c r="X150" s="582"/>
      <c r="Y150" s="582"/>
      <c r="Z150" s="582"/>
      <c r="AA150" s="582">
        <v>20631</v>
      </c>
      <c r="AB150" s="582">
        <v>24582</v>
      </c>
      <c r="AC150" s="582">
        <v>45213</v>
      </c>
    </row>
    <row r="151" spans="1:29" x14ac:dyDescent="0.35">
      <c r="A151" s="655"/>
      <c r="B151" s="509" t="s">
        <v>959</v>
      </c>
      <c r="C151" s="583">
        <v>343</v>
      </c>
      <c r="D151" s="583">
        <v>357</v>
      </c>
      <c r="E151" s="583">
        <v>700</v>
      </c>
      <c r="F151" s="583"/>
      <c r="G151" s="583"/>
      <c r="H151" s="583"/>
      <c r="I151" s="583">
        <v>1859</v>
      </c>
      <c r="J151" s="583">
        <v>2906</v>
      </c>
      <c r="K151" s="583">
        <v>4765</v>
      </c>
      <c r="L151" s="583">
        <v>17343</v>
      </c>
      <c r="M151" s="583">
        <v>20024</v>
      </c>
      <c r="N151" s="583">
        <v>37367</v>
      </c>
      <c r="O151" s="583">
        <v>0</v>
      </c>
      <c r="P151" s="583">
        <v>13</v>
      </c>
      <c r="Q151" s="583">
        <v>13</v>
      </c>
      <c r="R151" s="583">
        <v>826</v>
      </c>
      <c r="S151" s="583">
        <v>1504</v>
      </c>
      <c r="T151" s="583">
        <v>2330</v>
      </c>
      <c r="U151" s="583">
        <v>844</v>
      </c>
      <c r="V151" s="583">
        <v>819</v>
      </c>
      <c r="W151" s="583">
        <v>1663</v>
      </c>
      <c r="X151" s="583"/>
      <c r="Y151" s="583"/>
      <c r="Z151" s="583"/>
      <c r="AA151" s="583">
        <v>21215</v>
      </c>
      <c r="AB151" s="583">
        <v>25623</v>
      </c>
      <c r="AC151" s="583">
        <v>46838</v>
      </c>
    </row>
    <row r="152" spans="1:29" x14ac:dyDescent="0.35">
      <c r="A152" s="655"/>
      <c r="B152" s="509" t="s">
        <v>958</v>
      </c>
      <c r="C152" s="583">
        <v>290</v>
      </c>
      <c r="D152" s="583">
        <v>330</v>
      </c>
      <c r="E152" s="583">
        <v>620</v>
      </c>
      <c r="F152" s="583">
        <v>12</v>
      </c>
      <c r="G152" s="583">
        <v>6</v>
      </c>
      <c r="H152" s="583">
        <v>18</v>
      </c>
      <c r="I152" s="583">
        <v>2181</v>
      </c>
      <c r="J152" s="583">
        <v>3138</v>
      </c>
      <c r="K152" s="583">
        <v>5319</v>
      </c>
      <c r="L152" s="583">
        <v>18191</v>
      </c>
      <c r="M152" s="583">
        <v>19839</v>
      </c>
      <c r="N152" s="583">
        <v>38030</v>
      </c>
      <c r="O152" s="583">
        <v>2</v>
      </c>
      <c r="P152" s="583">
        <v>7</v>
      </c>
      <c r="Q152" s="583">
        <v>9</v>
      </c>
      <c r="R152" s="583">
        <v>851</v>
      </c>
      <c r="S152" s="583">
        <v>1309</v>
      </c>
      <c r="T152" s="583">
        <v>2160</v>
      </c>
      <c r="U152" s="583">
        <v>310</v>
      </c>
      <c r="V152" s="583">
        <v>276</v>
      </c>
      <c r="W152" s="583">
        <v>586</v>
      </c>
      <c r="X152" s="583"/>
      <c r="Y152" s="583"/>
      <c r="Z152" s="583"/>
      <c r="AA152" s="583">
        <v>21837</v>
      </c>
      <c r="AB152" s="583">
        <v>24905</v>
      </c>
      <c r="AC152" s="583">
        <v>46742</v>
      </c>
    </row>
    <row r="153" spans="1:29" x14ac:dyDescent="0.35">
      <c r="A153" s="655"/>
      <c r="B153" s="509" t="s">
        <v>957</v>
      </c>
      <c r="C153" s="583">
        <v>279</v>
      </c>
      <c r="D153" s="583">
        <v>314</v>
      </c>
      <c r="E153" s="583">
        <v>593</v>
      </c>
      <c r="F153" s="583">
        <v>23</v>
      </c>
      <c r="G153" s="583">
        <v>30</v>
      </c>
      <c r="H153" s="583">
        <v>53</v>
      </c>
      <c r="I153" s="583">
        <v>2077</v>
      </c>
      <c r="J153" s="583">
        <v>2865</v>
      </c>
      <c r="K153" s="583">
        <v>4942</v>
      </c>
      <c r="L153" s="583">
        <v>17094</v>
      </c>
      <c r="M153" s="583">
        <v>18734</v>
      </c>
      <c r="N153" s="583">
        <v>35828</v>
      </c>
      <c r="O153" s="583">
        <v>0</v>
      </c>
      <c r="P153" s="583">
        <v>19</v>
      </c>
      <c r="Q153" s="583">
        <v>19</v>
      </c>
      <c r="R153" s="583">
        <v>841</v>
      </c>
      <c r="S153" s="583">
        <v>1172</v>
      </c>
      <c r="T153" s="583">
        <v>2013</v>
      </c>
      <c r="U153" s="583">
        <v>98</v>
      </c>
      <c r="V153" s="583">
        <v>99</v>
      </c>
      <c r="W153" s="583">
        <v>197</v>
      </c>
      <c r="X153" s="583">
        <v>6</v>
      </c>
      <c r="Y153" s="583">
        <v>0</v>
      </c>
      <c r="Z153" s="583">
        <v>6</v>
      </c>
      <c r="AA153" s="583">
        <v>20418</v>
      </c>
      <c r="AB153" s="583">
        <v>23233</v>
      </c>
      <c r="AC153" s="583">
        <v>43651</v>
      </c>
    </row>
    <row r="154" spans="1:29" x14ac:dyDescent="0.35">
      <c r="A154" s="655"/>
      <c r="B154" s="509" t="s">
        <v>956</v>
      </c>
      <c r="C154" s="584">
        <v>270</v>
      </c>
      <c r="D154" s="584">
        <v>307</v>
      </c>
      <c r="E154" s="584">
        <v>577</v>
      </c>
      <c r="F154" s="584">
        <v>10</v>
      </c>
      <c r="G154" s="584">
        <v>28</v>
      </c>
      <c r="H154" s="584">
        <v>38</v>
      </c>
      <c r="I154" s="584">
        <v>1346</v>
      </c>
      <c r="J154" s="584">
        <v>2205</v>
      </c>
      <c r="K154" s="584">
        <v>3551</v>
      </c>
      <c r="L154" s="584">
        <v>16442</v>
      </c>
      <c r="M154" s="584">
        <v>18743</v>
      </c>
      <c r="N154" s="584">
        <v>35185</v>
      </c>
      <c r="O154" s="584">
        <v>23</v>
      </c>
      <c r="P154" s="584">
        <v>95</v>
      </c>
      <c r="Q154" s="584">
        <v>118</v>
      </c>
      <c r="R154" s="584">
        <v>827</v>
      </c>
      <c r="S154" s="584">
        <v>963</v>
      </c>
      <c r="T154" s="584">
        <v>1790</v>
      </c>
      <c r="U154" s="584">
        <v>17</v>
      </c>
      <c r="V154" s="584">
        <v>21</v>
      </c>
      <c r="W154" s="584">
        <v>38</v>
      </c>
      <c r="X154" s="584">
        <v>6</v>
      </c>
      <c r="Y154" s="584">
        <v>0</v>
      </c>
      <c r="Z154" s="584">
        <v>6</v>
      </c>
      <c r="AA154" s="584">
        <v>18941</v>
      </c>
      <c r="AB154" s="584">
        <v>22362</v>
      </c>
      <c r="AC154" s="584">
        <v>41303</v>
      </c>
    </row>
    <row r="155" spans="1:29" ht="14.5" x14ac:dyDescent="0.35">
      <c r="A155" s="655">
        <v>25</v>
      </c>
      <c r="B155" s="943" t="s">
        <v>35</v>
      </c>
      <c r="C155" s="928"/>
      <c r="D155" s="928"/>
      <c r="E155" s="928"/>
      <c r="F155" s="928"/>
      <c r="G155" s="928"/>
      <c r="H155" s="928"/>
      <c r="I155" s="928"/>
      <c r="J155" s="928"/>
      <c r="K155" s="928"/>
      <c r="L155" s="928"/>
      <c r="M155" s="928"/>
      <c r="N155" s="928"/>
      <c r="O155" s="928"/>
      <c r="P155" s="928"/>
      <c r="Q155" s="928"/>
      <c r="R155" s="928"/>
      <c r="S155" s="928"/>
      <c r="T155" s="928"/>
      <c r="U155" s="928"/>
      <c r="V155" s="928"/>
      <c r="W155" s="928"/>
      <c r="X155" s="928"/>
      <c r="Y155" s="928"/>
      <c r="Z155" s="928"/>
      <c r="AA155" s="928"/>
      <c r="AB155" s="928"/>
      <c r="AC155" s="928"/>
    </row>
    <row r="156" spans="1:29" x14ac:dyDescent="0.35">
      <c r="A156" s="655"/>
      <c r="B156" s="508" t="s">
        <v>960</v>
      </c>
      <c r="C156" s="582">
        <v>4569</v>
      </c>
      <c r="D156" s="582">
        <v>3621</v>
      </c>
      <c r="E156" s="582">
        <v>8190</v>
      </c>
      <c r="F156" s="582">
        <v>17</v>
      </c>
      <c r="G156" s="582">
        <v>21</v>
      </c>
      <c r="H156" s="582">
        <v>38</v>
      </c>
      <c r="I156" s="582">
        <v>46971</v>
      </c>
      <c r="J156" s="582">
        <v>49187</v>
      </c>
      <c r="K156" s="582">
        <v>96158</v>
      </c>
      <c r="L156" s="582">
        <v>404917</v>
      </c>
      <c r="M156" s="582">
        <v>419357</v>
      </c>
      <c r="N156" s="582">
        <v>824274</v>
      </c>
      <c r="O156" s="582">
        <v>1408</v>
      </c>
      <c r="P156" s="582">
        <v>1011</v>
      </c>
      <c r="Q156" s="582">
        <v>2419</v>
      </c>
      <c r="R156" s="582">
        <v>120772</v>
      </c>
      <c r="S156" s="582">
        <v>54858</v>
      </c>
      <c r="T156" s="582">
        <v>175630</v>
      </c>
      <c r="U156" s="582">
        <v>886</v>
      </c>
      <c r="V156" s="582">
        <v>1402</v>
      </c>
      <c r="W156" s="582">
        <v>2288</v>
      </c>
      <c r="X156" s="582">
        <v>7024</v>
      </c>
      <c r="Y156" s="582">
        <v>6964</v>
      </c>
      <c r="Z156" s="582">
        <v>13988</v>
      </c>
      <c r="AA156" s="582">
        <v>586564</v>
      </c>
      <c r="AB156" s="582">
        <v>536421</v>
      </c>
      <c r="AC156" s="582">
        <v>1122985</v>
      </c>
    </row>
    <row r="157" spans="1:29" x14ac:dyDescent="0.35">
      <c r="A157" s="655"/>
      <c r="B157" s="509" t="s">
        <v>959</v>
      </c>
      <c r="C157" s="583">
        <v>2450</v>
      </c>
      <c r="D157" s="583">
        <v>1640</v>
      </c>
      <c r="E157" s="583">
        <v>4090</v>
      </c>
      <c r="F157" s="583"/>
      <c r="G157" s="583"/>
      <c r="H157" s="583"/>
      <c r="I157" s="583">
        <v>45682</v>
      </c>
      <c r="J157" s="583">
        <v>43810</v>
      </c>
      <c r="K157" s="583">
        <v>89492</v>
      </c>
      <c r="L157" s="583">
        <v>390123</v>
      </c>
      <c r="M157" s="583">
        <v>389229</v>
      </c>
      <c r="N157" s="583">
        <v>779352</v>
      </c>
      <c r="O157" s="583">
        <v>1749</v>
      </c>
      <c r="P157" s="583">
        <v>1075</v>
      </c>
      <c r="Q157" s="583">
        <v>2824</v>
      </c>
      <c r="R157" s="583">
        <v>111243</v>
      </c>
      <c r="S157" s="583">
        <v>47870</v>
      </c>
      <c r="T157" s="583">
        <v>159113</v>
      </c>
      <c r="U157" s="583">
        <v>603</v>
      </c>
      <c r="V157" s="583">
        <v>960</v>
      </c>
      <c r="W157" s="583">
        <v>1563</v>
      </c>
      <c r="X157" s="583">
        <v>6667</v>
      </c>
      <c r="Y157" s="583">
        <v>6636</v>
      </c>
      <c r="Z157" s="583">
        <v>13303</v>
      </c>
      <c r="AA157" s="583">
        <v>558517</v>
      </c>
      <c r="AB157" s="583">
        <v>491220</v>
      </c>
      <c r="AC157" s="583">
        <v>1049737</v>
      </c>
    </row>
    <row r="158" spans="1:29" x14ac:dyDescent="0.35">
      <c r="A158" s="655"/>
      <c r="B158" s="509" t="s">
        <v>958</v>
      </c>
      <c r="C158" s="583">
        <v>2668</v>
      </c>
      <c r="D158" s="583">
        <v>1550</v>
      </c>
      <c r="E158" s="583">
        <v>4218</v>
      </c>
      <c r="F158" s="583">
        <v>269</v>
      </c>
      <c r="G158" s="583">
        <v>303</v>
      </c>
      <c r="H158" s="583">
        <v>572</v>
      </c>
      <c r="I158" s="583">
        <v>42106</v>
      </c>
      <c r="J158" s="583">
        <v>38558</v>
      </c>
      <c r="K158" s="583">
        <v>80664</v>
      </c>
      <c r="L158" s="583">
        <v>385015</v>
      </c>
      <c r="M158" s="583">
        <v>367241</v>
      </c>
      <c r="N158" s="583">
        <v>752256</v>
      </c>
      <c r="O158" s="583">
        <v>1571</v>
      </c>
      <c r="P158" s="583">
        <v>951</v>
      </c>
      <c r="Q158" s="583">
        <v>2522</v>
      </c>
      <c r="R158" s="583">
        <v>103357</v>
      </c>
      <c r="S158" s="583">
        <v>44714</v>
      </c>
      <c r="T158" s="583">
        <v>148071</v>
      </c>
      <c r="U158" s="583">
        <v>651</v>
      </c>
      <c r="V158" s="583">
        <v>899</v>
      </c>
      <c r="W158" s="583">
        <v>1550</v>
      </c>
      <c r="X158" s="583">
        <v>5769</v>
      </c>
      <c r="Y158" s="583">
        <v>5898</v>
      </c>
      <c r="Z158" s="583">
        <v>11667</v>
      </c>
      <c r="AA158" s="583">
        <v>541406</v>
      </c>
      <c r="AB158" s="583">
        <v>460114</v>
      </c>
      <c r="AC158" s="583">
        <v>1001520</v>
      </c>
    </row>
    <row r="159" spans="1:29" x14ac:dyDescent="0.35">
      <c r="A159" s="655"/>
      <c r="B159" s="509" t="s">
        <v>957</v>
      </c>
      <c r="C159" s="583">
        <v>1947</v>
      </c>
      <c r="D159" s="583">
        <v>1324</v>
      </c>
      <c r="E159" s="583">
        <v>3271</v>
      </c>
      <c r="F159" s="583">
        <v>352</v>
      </c>
      <c r="G159" s="583">
        <v>378</v>
      </c>
      <c r="H159" s="583">
        <v>730</v>
      </c>
      <c r="I159" s="583">
        <v>38709</v>
      </c>
      <c r="J159" s="583">
        <v>36806</v>
      </c>
      <c r="K159" s="583">
        <v>75515</v>
      </c>
      <c r="L159" s="583">
        <v>353485</v>
      </c>
      <c r="M159" s="583">
        <v>354989</v>
      </c>
      <c r="N159" s="583">
        <v>708474</v>
      </c>
      <c r="O159" s="583">
        <v>1480</v>
      </c>
      <c r="P159" s="583">
        <v>866</v>
      </c>
      <c r="Q159" s="583">
        <v>2346</v>
      </c>
      <c r="R159" s="583">
        <v>92556</v>
      </c>
      <c r="S159" s="583">
        <v>40654</v>
      </c>
      <c r="T159" s="583">
        <v>133210</v>
      </c>
      <c r="U159" s="583">
        <v>1321</v>
      </c>
      <c r="V159" s="583">
        <v>2268</v>
      </c>
      <c r="W159" s="583">
        <v>3589</v>
      </c>
      <c r="X159" s="583">
        <v>5929</v>
      </c>
      <c r="Y159" s="583">
        <v>6369</v>
      </c>
      <c r="Z159" s="583">
        <v>12298</v>
      </c>
      <c r="AA159" s="583">
        <v>495779</v>
      </c>
      <c r="AB159" s="583">
        <v>443654</v>
      </c>
      <c r="AC159" s="583">
        <v>939433</v>
      </c>
    </row>
    <row r="160" spans="1:29" x14ac:dyDescent="0.35">
      <c r="A160" s="655"/>
      <c r="B160" s="509" t="s">
        <v>956</v>
      </c>
      <c r="C160" s="584">
        <v>1923</v>
      </c>
      <c r="D160" s="584">
        <v>1423</v>
      </c>
      <c r="E160" s="584">
        <v>3346</v>
      </c>
      <c r="F160" s="584">
        <v>419</v>
      </c>
      <c r="G160" s="584">
        <v>584</v>
      </c>
      <c r="H160" s="584">
        <v>1003</v>
      </c>
      <c r="I160" s="584">
        <v>35798</v>
      </c>
      <c r="J160" s="584">
        <v>34649</v>
      </c>
      <c r="K160" s="584">
        <v>70447</v>
      </c>
      <c r="L160" s="584">
        <v>363971</v>
      </c>
      <c r="M160" s="584">
        <v>353662</v>
      </c>
      <c r="N160" s="584">
        <v>717633</v>
      </c>
      <c r="O160" s="584">
        <v>649</v>
      </c>
      <c r="P160" s="584">
        <v>435</v>
      </c>
      <c r="Q160" s="584">
        <v>1084</v>
      </c>
      <c r="R160" s="584">
        <v>88758</v>
      </c>
      <c r="S160" s="584">
        <v>34198</v>
      </c>
      <c r="T160" s="584">
        <v>122956</v>
      </c>
      <c r="U160" s="584">
        <v>3383</v>
      </c>
      <c r="V160" s="584">
        <v>5735</v>
      </c>
      <c r="W160" s="584">
        <v>9118</v>
      </c>
      <c r="X160" s="584">
        <v>4452</v>
      </c>
      <c r="Y160" s="584">
        <v>4458</v>
      </c>
      <c r="Z160" s="584">
        <v>8910</v>
      </c>
      <c r="AA160" s="584">
        <v>499353</v>
      </c>
      <c r="AB160" s="584">
        <v>435144</v>
      </c>
      <c r="AC160" s="584">
        <v>934497</v>
      </c>
    </row>
    <row r="161" spans="1:29" ht="14.5" x14ac:dyDescent="0.35">
      <c r="A161" s="655">
        <v>26</v>
      </c>
      <c r="B161" s="943" t="s">
        <v>36</v>
      </c>
      <c r="C161" s="928"/>
      <c r="D161" s="928"/>
      <c r="E161" s="928"/>
      <c r="F161" s="928"/>
      <c r="G161" s="928"/>
      <c r="H161" s="928"/>
      <c r="I161" s="928"/>
      <c r="J161" s="928"/>
      <c r="K161" s="928"/>
      <c r="L161" s="928"/>
      <c r="M161" s="928"/>
      <c r="N161" s="928"/>
      <c r="O161" s="928"/>
      <c r="P161" s="928"/>
      <c r="Q161" s="928"/>
      <c r="R161" s="928"/>
      <c r="S161" s="928"/>
      <c r="T161" s="928"/>
      <c r="U161" s="928"/>
      <c r="V161" s="928"/>
      <c r="W161" s="928"/>
      <c r="X161" s="928"/>
      <c r="Y161" s="928"/>
      <c r="Z161" s="928"/>
      <c r="AA161" s="928"/>
      <c r="AB161" s="928"/>
      <c r="AC161" s="928"/>
    </row>
    <row r="162" spans="1:29" x14ac:dyDescent="0.35">
      <c r="A162" s="655"/>
      <c r="B162" s="508" t="s">
        <v>960</v>
      </c>
      <c r="C162" s="582">
        <v>1132</v>
      </c>
      <c r="D162" s="582">
        <v>1055</v>
      </c>
      <c r="E162" s="582">
        <v>2187</v>
      </c>
      <c r="F162" s="582">
        <v>1</v>
      </c>
      <c r="G162" s="582">
        <v>7</v>
      </c>
      <c r="H162" s="582">
        <v>8</v>
      </c>
      <c r="I162" s="582">
        <v>6563</v>
      </c>
      <c r="J162" s="582">
        <v>8007</v>
      </c>
      <c r="K162" s="582">
        <v>14570</v>
      </c>
      <c r="L162" s="582">
        <v>31172</v>
      </c>
      <c r="M162" s="582">
        <v>36587</v>
      </c>
      <c r="N162" s="582">
        <v>67759</v>
      </c>
      <c r="O162" s="582">
        <v>37</v>
      </c>
      <c r="P162" s="582">
        <v>21</v>
      </c>
      <c r="Q162" s="582">
        <v>58</v>
      </c>
      <c r="R162" s="582">
        <v>2405</v>
      </c>
      <c r="S162" s="582">
        <v>1166</v>
      </c>
      <c r="T162" s="582">
        <v>3571</v>
      </c>
      <c r="U162" s="582"/>
      <c r="V162" s="582"/>
      <c r="W162" s="582"/>
      <c r="X162" s="582">
        <v>548</v>
      </c>
      <c r="Y162" s="582">
        <v>949</v>
      </c>
      <c r="Z162" s="582">
        <v>1497</v>
      </c>
      <c r="AA162" s="582">
        <v>41858</v>
      </c>
      <c r="AB162" s="582">
        <v>47792</v>
      </c>
      <c r="AC162" s="582">
        <v>89650</v>
      </c>
    </row>
    <row r="163" spans="1:29" x14ac:dyDescent="0.35">
      <c r="A163" s="655"/>
      <c r="B163" s="509" t="s">
        <v>959</v>
      </c>
      <c r="C163" s="583">
        <v>375</v>
      </c>
      <c r="D163" s="583">
        <v>325</v>
      </c>
      <c r="E163" s="583">
        <v>700</v>
      </c>
      <c r="F163" s="583"/>
      <c r="G163" s="583"/>
      <c r="H163" s="583"/>
      <c r="I163" s="583">
        <v>6422</v>
      </c>
      <c r="J163" s="583">
        <v>7880</v>
      </c>
      <c r="K163" s="583">
        <v>14302</v>
      </c>
      <c r="L163" s="583">
        <v>29128</v>
      </c>
      <c r="M163" s="583">
        <v>34375</v>
      </c>
      <c r="N163" s="583">
        <v>63504</v>
      </c>
      <c r="O163" s="583">
        <v>38</v>
      </c>
      <c r="P163" s="583">
        <v>25</v>
      </c>
      <c r="Q163" s="583">
        <v>63</v>
      </c>
      <c r="R163" s="583">
        <v>2556</v>
      </c>
      <c r="S163" s="583">
        <v>1036</v>
      </c>
      <c r="T163" s="583">
        <v>3592</v>
      </c>
      <c r="U163" s="583">
        <v>16</v>
      </c>
      <c r="V163" s="583">
        <v>4</v>
      </c>
      <c r="W163" s="583">
        <v>20</v>
      </c>
      <c r="X163" s="583">
        <v>566</v>
      </c>
      <c r="Y163" s="583">
        <v>942</v>
      </c>
      <c r="Z163" s="583">
        <v>1508</v>
      </c>
      <c r="AA163" s="583">
        <v>39102</v>
      </c>
      <c r="AB163" s="583">
        <v>44587</v>
      </c>
      <c r="AC163" s="583">
        <v>83689</v>
      </c>
    </row>
    <row r="164" spans="1:29" x14ac:dyDescent="0.35">
      <c r="A164" s="655"/>
      <c r="B164" s="509" t="s">
        <v>958</v>
      </c>
      <c r="C164" s="583">
        <v>325</v>
      </c>
      <c r="D164" s="583">
        <v>278</v>
      </c>
      <c r="E164" s="583">
        <v>603</v>
      </c>
      <c r="F164" s="583"/>
      <c r="G164" s="583"/>
      <c r="H164" s="583"/>
      <c r="I164" s="583">
        <v>5816</v>
      </c>
      <c r="J164" s="583">
        <v>7279</v>
      </c>
      <c r="K164" s="583">
        <v>13095</v>
      </c>
      <c r="L164" s="583">
        <v>27912</v>
      </c>
      <c r="M164" s="583">
        <v>33533</v>
      </c>
      <c r="N164" s="583">
        <v>61445</v>
      </c>
      <c r="O164" s="583">
        <v>29</v>
      </c>
      <c r="P164" s="583">
        <v>25</v>
      </c>
      <c r="Q164" s="583">
        <v>54</v>
      </c>
      <c r="R164" s="583">
        <v>2438</v>
      </c>
      <c r="S164" s="583">
        <v>1357</v>
      </c>
      <c r="T164" s="583">
        <v>3795</v>
      </c>
      <c r="U164" s="583">
        <v>11</v>
      </c>
      <c r="V164" s="583">
        <v>8</v>
      </c>
      <c r="W164" s="583">
        <v>19</v>
      </c>
      <c r="X164" s="583">
        <v>556</v>
      </c>
      <c r="Y164" s="583">
        <v>943</v>
      </c>
      <c r="Z164" s="583">
        <v>1499</v>
      </c>
      <c r="AA164" s="583">
        <v>37087</v>
      </c>
      <c r="AB164" s="583">
        <v>43423</v>
      </c>
      <c r="AC164" s="583">
        <v>80510</v>
      </c>
    </row>
    <row r="165" spans="1:29" x14ac:dyDescent="0.35">
      <c r="A165" s="655"/>
      <c r="B165" s="509" t="s">
        <v>957</v>
      </c>
      <c r="C165" s="583">
        <v>271</v>
      </c>
      <c r="D165" s="583">
        <v>325</v>
      </c>
      <c r="E165" s="583">
        <v>596</v>
      </c>
      <c r="F165" s="583">
        <v>0</v>
      </c>
      <c r="G165" s="583">
        <v>2</v>
      </c>
      <c r="H165" s="583">
        <v>2</v>
      </c>
      <c r="I165" s="583">
        <v>5386</v>
      </c>
      <c r="J165" s="583">
        <v>7009</v>
      </c>
      <c r="K165" s="583">
        <v>12395</v>
      </c>
      <c r="L165" s="583">
        <v>26497</v>
      </c>
      <c r="M165" s="583">
        <v>32765</v>
      </c>
      <c r="N165" s="583">
        <v>59262</v>
      </c>
      <c r="O165" s="583">
        <v>15</v>
      </c>
      <c r="P165" s="583">
        <v>16</v>
      </c>
      <c r="Q165" s="583">
        <v>31</v>
      </c>
      <c r="R165" s="583">
        <v>2806</v>
      </c>
      <c r="S165" s="583">
        <v>1056</v>
      </c>
      <c r="T165" s="583">
        <v>3862</v>
      </c>
      <c r="U165" s="583">
        <v>1</v>
      </c>
      <c r="V165" s="583">
        <v>6</v>
      </c>
      <c r="W165" s="583">
        <v>7</v>
      </c>
      <c r="X165" s="583">
        <v>354</v>
      </c>
      <c r="Y165" s="583">
        <v>381</v>
      </c>
      <c r="Z165" s="583">
        <v>735</v>
      </c>
      <c r="AA165" s="583">
        <v>35330</v>
      </c>
      <c r="AB165" s="583">
        <v>41560</v>
      </c>
      <c r="AC165" s="583">
        <v>76890</v>
      </c>
    </row>
    <row r="166" spans="1:29" x14ac:dyDescent="0.35">
      <c r="A166" s="655"/>
      <c r="B166" s="509" t="s">
        <v>956</v>
      </c>
      <c r="C166" s="584">
        <v>291</v>
      </c>
      <c r="D166" s="584">
        <v>217</v>
      </c>
      <c r="E166" s="584">
        <v>508</v>
      </c>
      <c r="F166" s="584">
        <v>21</v>
      </c>
      <c r="G166" s="584">
        <v>46</v>
      </c>
      <c r="H166" s="584">
        <v>67</v>
      </c>
      <c r="I166" s="584">
        <v>4134</v>
      </c>
      <c r="J166" s="584">
        <v>5473</v>
      </c>
      <c r="K166" s="584">
        <v>9607</v>
      </c>
      <c r="L166" s="584">
        <v>22863</v>
      </c>
      <c r="M166" s="584">
        <v>28309</v>
      </c>
      <c r="N166" s="584">
        <v>51172</v>
      </c>
      <c r="O166" s="584">
        <v>52</v>
      </c>
      <c r="P166" s="584">
        <v>54</v>
      </c>
      <c r="Q166" s="584">
        <v>106</v>
      </c>
      <c r="R166" s="584">
        <v>2866</v>
      </c>
      <c r="S166" s="584">
        <v>1122</v>
      </c>
      <c r="T166" s="584">
        <v>3988</v>
      </c>
      <c r="U166" s="584">
        <v>0</v>
      </c>
      <c r="V166" s="584">
        <v>0</v>
      </c>
      <c r="W166" s="584">
        <v>0</v>
      </c>
      <c r="X166" s="584">
        <v>532</v>
      </c>
      <c r="Y166" s="584">
        <v>492</v>
      </c>
      <c r="Z166" s="584">
        <v>1024</v>
      </c>
      <c r="AA166" s="584">
        <v>30759</v>
      </c>
      <c r="AB166" s="584">
        <v>35713</v>
      </c>
      <c r="AC166" s="584">
        <v>66472</v>
      </c>
    </row>
    <row r="167" spans="1:29" ht="14.5" x14ac:dyDescent="0.35">
      <c r="A167" s="655">
        <v>27</v>
      </c>
      <c r="B167" s="943" t="s">
        <v>37</v>
      </c>
      <c r="C167" s="928"/>
      <c r="D167" s="928"/>
      <c r="E167" s="928"/>
      <c r="F167" s="928"/>
      <c r="G167" s="928"/>
      <c r="H167" s="928"/>
      <c r="I167" s="928"/>
      <c r="J167" s="928"/>
      <c r="K167" s="928"/>
      <c r="L167" s="928"/>
      <c r="M167" s="928"/>
      <c r="N167" s="928"/>
      <c r="O167" s="928"/>
      <c r="P167" s="928"/>
      <c r="Q167" s="928"/>
      <c r="R167" s="928"/>
      <c r="S167" s="928"/>
      <c r="T167" s="928"/>
      <c r="U167" s="928"/>
      <c r="V167" s="928"/>
      <c r="W167" s="928"/>
      <c r="X167" s="928"/>
      <c r="Y167" s="928"/>
      <c r="Z167" s="928"/>
      <c r="AA167" s="928"/>
      <c r="AB167" s="928"/>
      <c r="AC167" s="928"/>
    </row>
    <row r="168" spans="1:29" x14ac:dyDescent="0.35">
      <c r="A168" s="655"/>
      <c r="B168" s="508" t="s">
        <v>960</v>
      </c>
      <c r="C168" s="582">
        <v>5444</v>
      </c>
      <c r="D168" s="582">
        <v>7246</v>
      </c>
      <c r="E168" s="582">
        <v>12690</v>
      </c>
      <c r="F168" s="582"/>
      <c r="G168" s="582">
        <v>18</v>
      </c>
      <c r="H168" s="582">
        <v>18</v>
      </c>
      <c r="I168" s="582">
        <v>31610</v>
      </c>
      <c r="J168" s="582">
        <v>44577</v>
      </c>
      <c r="K168" s="582">
        <v>76187</v>
      </c>
      <c r="L168" s="582">
        <v>312291</v>
      </c>
      <c r="M168" s="582">
        <v>296609</v>
      </c>
      <c r="N168" s="582">
        <v>608900</v>
      </c>
      <c r="O168" s="582">
        <v>2560</v>
      </c>
      <c r="P168" s="582">
        <v>2903</v>
      </c>
      <c r="Q168" s="582">
        <v>5463</v>
      </c>
      <c r="R168" s="582">
        <v>40125</v>
      </c>
      <c r="S168" s="582">
        <v>46923</v>
      </c>
      <c r="T168" s="582">
        <v>87048</v>
      </c>
      <c r="U168" s="582">
        <v>953</v>
      </c>
      <c r="V168" s="582">
        <v>1266</v>
      </c>
      <c r="W168" s="582">
        <v>2219</v>
      </c>
      <c r="X168" s="582">
        <v>11761</v>
      </c>
      <c r="Y168" s="582">
        <v>16128</v>
      </c>
      <c r="Z168" s="582">
        <v>27889</v>
      </c>
      <c r="AA168" s="582">
        <v>404744</v>
      </c>
      <c r="AB168" s="582">
        <v>415670</v>
      </c>
      <c r="AC168" s="582">
        <v>820414</v>
      </c>
    </row>
    <row r="169" spans="1:29" x14ac:dyDescent="0.35">
      <c r="A169" s="655"/>
      <c r="B169" s="509" t="s">
        <v>959</v>
      </c>
      <c r="C169" s="583">
        <v>3790</v>
      </c>
      <c r="D169" s="583">
        <v>4882</v>
      </c>
      <c r="E169" s="583">
        <v>8672</v>
      </c>
      <c r="F169" s="583">
        <v>3</v>
      </c>
      <c r="G169" s="583">
        <v>14</v>
      </c>
      <c r="H169" s="583">
        <v>17</v>
      </c>
      <c r="I169" s="583">
        <v>31928</v>
      </c>
      <c r="J169" s="583">
        <v>46109</v>
      </c>
      <c r="K169" s="583">
        <v>78037</v>
      </c>
      <c r="L169" s="583">
        <v>307920</v>
      </c>
      <c r="M169" s="583">
        <v>281180</v>
      </c>
      <c r="N169" s="583">
        <v>589100</v>
      </c>
      <c r="O169" s="583">
        <v>3126</v>
      </c>
      <c r="P169" s="583">
        <v>3463</v>
      </c>
      <c r="Q169" s="583">
        <v>6589</v>
      </c>
      <c r="R169" s="583">
        <v>50253</v>
      </c>
      <c r="S169" s="583">
        <v>46515</v>
      </c>
      <c r="T169" s="583">
        <v>96768</v>
      </c>
      <c r="U169" s="583">
        <v>808</v>
      </c>
      <c r="V169" s="583">
        <v>884</v>
      </c>
      <c r="W169" s="583">
        <v>1692</v>
      </c>
      <c r="X169" s="583">
        <v>10132</v>
      </c>
      <c r="Y169" s="583">
        <v>13232</v>
      </c>
      <c r="Z169" s="583">
        <v>23364</v>
      </c>
      <c r="AA169" s="583">
        <v>407960</v>
      </c>
      <c r="AB169" s="583">
        <v>396279</v>
      </c>
      <c r="AC169" s="583">
        <v>804239</v>
      </c>
    </row>
    <row r="170" spans="1:29" x14ac:dyDescent="0.35">
      <c r="A170" s="655"/>
      <c r="B170" s="509" t="s">
        <v>958</v>
      </c>
      <c r="C170" s="583">
        <v>4946</v>
      </c>
      <c r="D170" s="583">
        <v>5379</v>
      </c>
      <c r="E170" s="583">
        <v>10325</v>
      </c>
      <c r="F170" s="583">
        <v>28</v>
      </c>
      <c r="G170" s="583">
        <v>41</v>
      </c>
      <c r="H170" s="583">
        <v>69</v>
      </c>
      <c r="I170" s="583">
        <v>30259</v>
      </c>
      <c r="J170" s="583">
        <v>47297</v>
      </c>
      <c r="K170" s="583">
        <v>77556</v>
      </c>
      <c r="L170" s="583">
        <v>294665</v>
      </c>
      <c r="M170" s="583">
        <v>273859</v>
      </c>
      <c r="N170" s="583">
        <v>568524</v>
      </c>
      <c r="O170" s="583">
        <v>2393</v>
      </c>
      <c r="P170" s="583">
        <v>3043</v>
      </c>
      <c r="Q170" s="583">
        <v>5436</v>
      </c>
      <c r="R170" s="583">
        <v>46133</v>
      </c>
      <c r="S170" s="583">
        <v>38572</v>
      </c>
      <c r="T170" s="583">
        <v>84705</v>
      </c>
      <c r="U170" s="583">
        <v>743</v>
      </c>
      <c r="V170" s="583">
        <v>946</v>
      </c>
      <c r="W170" s="583">
        <v>1689</v>
      </c>
      <c r="X170" s="583">
        <v>9479</v>
      </c>
      <c r="Y170" s="583">
        <v>11546</v>
      </c>
      <c r="Z170" s="583">
        <v>21025</v>
      </c>
      <c r="AA170" s="583">
        <v>388646</v>
      </c>
      <c r="AB170" s="583">
        <v>380683</v>
      </c>
      <c r="AC170" s="583">
        <v>769329</v>
      </c>
    </row>
    <row r="171" spans="1:29" x14ac:dyDescent="0.35">
      <c r="A171" s="655"/>
      <c r="B171" s="509" t="s">
        <v>957</v>
      </c>
      <c r="C171" s="583">
        <v>4628</v>
      </c>
      <c r="D171" s="583">
        <v>4938</v>
      </c>
      <c r="E171" s="583">
        <v>9566</v>
      </c>
      <c r="F171" s="583">
        <v>142</v>
      </c>
      <c r="G171" s="583">
        <v>169</v>
      </c>
      <c r="H171" s="583">
        <v>311</v>
      </c>
      <c r="I171" s="583">
        <v>30225</v>
      </c>
      <c r="J171" s="583">
        <v>48376</v>
      </c>
      <c r="K171" s="583">
        <v>78601</v>
      </c>
      <c r="L171" s="583">
        <v>279028</v>
      </c>
      <c r="M171" s="583">
        <v>272962</v>
      </c>
      <c r="N171" s="583">
        <v>551990</v>
      </c>
      <c r="O171" s="583">
        <v>1514</v>
      </c>
      <c r="P171" s="583">
        <v>2207</v>
      </c>
      <c r="Q171" s="583">
        <v>3721</v>
      </c>
      <c r="R171" s="583">
        <v>48748</v>
      </c>
      <c r="S171" s="583">
        <v>37553</v>
      </c>
      <c r="T171" s="583">
        <v>86301</v>
      </c>
      <c r="U171" s="583">
        <v>603</v>
      </c>
      <c r="V171" s="583">
        <v>691</v>
      </c>
      <c r="W171" s="583">
        <v>1294</v>
      </c>
      <c r="X171" s="583">
        <v>8499</v>
      </c>
      <c r="Y171" s="583">
        <v>9348</v>
      </c>
      <c r="Z171" s="583">
        <v>17847</v>
      </c>
      <c r="AA171" s="583">
        <v>373387</v>
      </c>
      <c r="AB171" s="583">
        <v>376244</v>
      </c>
      <c r="AC171" s="583">
        <v>749631</v>
      </c>
    </row>
    <row r="172" spans="1:29" x14ac:dyDescent="0.35">
      <c r="A172" s="655"/>
      <c r="B172" s="509" t="s">
        <v>956</v>
      </c>
      <c r="C172" s="584">
        <v>4111</v>
      </c>
      <c r="D172" s="584">
        <v>4888</v>
      </c>
      <c r="E172" s="584">
        <v>8999</v>
      </c>
      <c r="F172" s="584">
        <v>307</v>
      </c>
      <c r="G172" s="584">
        <v>315</v>
      </c>
      <c r="H172" s="584">
        <v>622</v>
      </c>
      <c r="I172" s="584">
        <v>30990</v>
      </c>
      <c r="J172" s="584">
        <v>57741</v>
      </c>
      <c r="K172" s="584">
        <v>88731</v>
      </c>
      <c r="L172" s="584">
        <v>289293</v>
      </c>
      <c r="M172" s="584">
        <v>302541</v>
      </c>
      <c r="N172" s="584">
        <v>591834</v>
      </c>
      <c r="O172" s="584">
        <v>2144</v>
      </c>
      <c r="P172" s="584">
        <v>3195</v>
      </c>
      <c r="Q172" s="584">
        <v>5339</v>
      </c>
      <c r="R172" s="584">
        <v>59507</v>
      </c>
      <c r="S172" s="584">
        <v>35448</v>
      </c>
      <c r="T172" s="584">
        <v>94955</v>
      </c>
      <c r="U172" s="584">
        <v>571</v>
      </c>
      <c r="V172" s="584">
        <v>897</v>
      </c>
      <c r="W172" s="584">
        <v>1468</v>
      </c>
      <c r="X172" s="584">
        <v>6459</v>
      </c>
      <c r="Y172" s="584">
        <v>7025</v>
      </c>
      <c r="Z172" s="584">
        <v>13484</v>
      </c>
      <c r="AA172" s="584">
        <v>393382</v>
      </c>
      <c r="AB172" s="584">
        <v>412050</v>
      </c>
      <c r="AC172" s="584">
        <v>805432</v>
      </c>
    </row>
    <row r="173" spans="1:29" ht="14.5" x14ac:dyDescent="0.35">
      <c r="A173" s="655">
        <v>28</v>
      </c>
      <c r="B173" s="943" t="s">
        <v>38</v>
      </c>
      <c r="C173" s="928"/>
      <c r="D173" s="928"/>
      <c r="E173" s="928"/>
      <c r="F173" s="928"/>
      <c r="G173" s="928"/>
      <c r="H173" s="928"/>
      <c r="I173" s="928"/>
      <c r="J173" s="928"/>
      <c r="K173" s="928"/>
      <c r="L173" s="928"/>
      <c r="M173" s="928"/>
      <c r="N173" s="928"/>
      <c r="O173" s="928"/>
      <c r="P173" s="928"/>
      <c r="Q173" s="928"/>
      <c r="R173" s="928"/>
      <c r="S173" s="928"/>
      <c r="T173" s="928"/>
      <c r="U173" s="928"/>
      <c r="V173" s="928"/>
      <c r="W173" s="928"/>
      <c r="X173" s="928"/>
      <c r="Y173" s="928"/>
      <c r="Z173" s="928"/>
      <c r="AA173" s="928"/>
      <c r="AB173" s="928"/>
      <c r="AC173" s="928"/>
    </row>
    <row r="174" spans="1:29" x14ac:dyDescent="0.35">
      <c r="A174" s="655"/>
      <c r="B174" s="508" t="s">
        <v>960</v>
      </c>
      <c r="C174" s="582">
        <v>8882</v>
      </c>
      <c r="D174" s="582">
        <v>10256</v>
      </c>
      <c r="E174" s="582">
        <v>19138</v>
      </c>
      <c r="F174" s="582">
        <v>29</v>
      </c>
      <c r="G174" s="582">
        <v>84</v>
      </c>
      <c r="H174" s="582">
        <v>113</v>
      </c>
      <c r="I174" s="582">
        <v>87241</v>
      </c>
      <c r="J174" s="582">
        <v>128370</v>
      </c>
      <c r="K174" s="582">
        <v>215610</v>
      </c>
      <c r="L174" s="582">
        <v>898325</v>
      </c>
      <c r="M174" s="582">
        <v>912920</v>
      </c>
      <c r="N174" s="582">
        <v>1811245</v>
      </c>
      <c r="O174" s="582">
        <v>6968</v>
      </c>
      <c r="P174" s="582">
        <v>4591</v>
      </c>
      <c r="Q174" s="582">
        <v>11559</v>
      </c>
      <c r="R174" s="582">
        <v>99419</v>
      </c>
      <c r="S174" s="582">
        <v>46383</v>
      </c>
      <c r="T174" s="582">
        <v>145802</v>
      </c>
      <c r="U174" s="582">
        <v>1679</v>
      </c>
      <c r="V174" s="582">
        <v>1982</v>
      </c>
      <c r="W174" s="582">
        <v>3661</v>
      </c>
      <c r="X174" s="582">
        <v>70199</v>
      </c>
      <c r="Y174" s="582">
        <v>75584</v>
      </c>
      <c r="Z174" s="582">
        <v>145783</v>
      </c>
      <c r="AA174" s="582">
        <v>1172742</v>
      </c>
      <c r="AB174" s="582">
        <v>1180170</v>
      </c>
      <c r="AC174" s="582">
        <v>2352911</v>
      </c>
    </row>
    <row r="175" spans="1:29" x14ac:dyDescent="0.35">
      <c r="A175" s="655"/>
      <c r="B175" s="509" t="s">
        <v>959</v>
      </c>
      <c r="C175" s="583">
        <v>5564</v>
      </c>
      <c r="D175" s="583">
        <v>6523</v>
      </c>
      <c r="E175" s="583">
        <v>12087</v>
      </c>
      <c r="F175" s="583">
        <v>14</v>
      </c>
      <c r="G175" s="583">
        <v>48</v>
      </c>
      <c r="H175" s="583">
        <v>62</v>
      </c>
      <c r="I175" s="583">
        <v>82114</v>
      </c>
      <c r="J175" s="583">
        <v>121235</v>
      </c>
      <c r="K175" s="583">
        <v>203349</v>
      </c>
      <c r="L175" s="583">
        <v>895059</v>
      </c>
      <c r="M175" s="583">
        <v>868541</v>
      </c>
      <c r="N175" s="583">
        <v>1763599</v>
      </c>
      <c r="O175" s="583">
        <v>6390</v>
      </c>
      <c r="P175" s="583">
        <v>3821</v>
      </c>
      <c r="Q175" s="583">
        <v>10211</v>
      </c>
      <c r="R175" s="583">
        <v>86564</v>
      </c>
      <c r="S175" s="583">
        <v>39707</v>
      </c>
      <c r="T175" s="583">
        <v>126271</v>
      </c>
      <c r="U175" s="583">
        <v>1298</v>
      </c>
      <c r="V175" s="583">
        <v>1643</v>
      </c>
      <c r="W175" s="583">
        <v>2941</v>
      </c>
      <c r="X175" s="583">
        <v>74005</v>
      </c>
      <c r="Y175" s="583">
        <v>73875</v>
      </c>
      <c r="Z175" s="583">
        <v>147880</v>
      </c>
      <c r="AA175" s="583">
        <v>1151008</v>
      </c>
      <c r="AB175" s="583">
        <v>1115392</v>
      </c>
      <c r="AC175" s="583">
        <v>2266400</v>
      </c>
    </row>
    <row r="176" spans="1:29" x14ac:dyDescent="0.35">
      <c r="A176" s="655"/>
      <c r="B176" s="509" t="s">
        <v>958</v>
      </c>
      <c r="C176" s="583">
        <v>6913</v>
      </c>
      <c r="D176" s="583">
        <v>6915</v>
      </c>
      <c r="E176" s="583">
        <v>13828</v>
      </c>
      <c r="F176" s="583">
        <v>145</v>
      </c>
      <c r="G176" s="583">
        <v>161</v>
      </c>
      <c r="H176" s="583">
        <v>306</v>
      </c>
      <c r="I176" s="583">
        <v>78165</v>
      </c>
      <c r="J176" s="583">
        <v>118470</v>
      </c>
      <c r="K176" s="583">
        <v>196635</v>
      </c>
      <c r="L176" s="583">
        <v>962373</v>
      </c>
      <c r="M176" s="583">
        <v>887207</v>
      </c>
      <c r="N176" s="583">
        <v>1849580</v>
      </c>
      <c r="O176" s="583">
        <v>4565</v>
      </c>
      <c r="P176" s="583">
        <v>2972</v>
      </c>
      <c r="Q176" s="583">
        <v>7537</v>
      </c>
      <c r="R176" s="583">
        <v>79581</v>
      </c>
      <c r="S176" s="583">
        <v>31614</v>
      </c>
      <c r="T176" s="583">
        <v>111195</v>
      </c>
      <c r="U176" s="583">
        <v>1869</v>
      </c>
      <c r="V176" s="583">
        <v>1824</v>
      </c>
      <c r="W176" s="583">
        <v>3693</v>
      </c>
      <c r="X176" s="583">
        <v>64924</v>
      </c>
      <c r="Y176" s="583">
        <v>61038</v>
      </c>
      <c r="Z176" s="583">
        <v>125962</v>
      </c>
      <c r="AA176" s="583">
        <v>1198535</v>
      </c>
      <c r="AB176" s="583">
        <v>1110201</v>
      </c>
      <c r="AC176" s="583">
        <v>2308736</v>
      </c>
    </row>
    <row r="177" spans="1:29" x14ac:dyDescent="0.35">
      <c r="A177" s="655"/>
      <c r="B177" s="509" t="s">
        <v>957</v>
      </c>
      <c r="C177" s="583">
        <v>6588</v>
      </c>
      <c r="D177" s="583">
        <v>6379</v>
      </c>
      <c r="E177" s="583">
        <v>12967</v>
      </c>
      <c r="F177" s="583">
        <v>166</v>
      </c>
      <c r="G177" s="583">
        <v>104</v>
      </c>
      <c r="H177" s="583">
        <v>270</v>
      </c>
      <c r="I177" s="583">
        <v>66114</v>
      </c>
      <c r="J177" s="583">
        <v>105900</v>
      </c>
      <c r="K177" s="583">
        <v>172014</v>
      </c>
      <c r="L177" s="583">
        <v>922456</v>
      </c>
      <c r="M177" s="583">
        <v>877498</v>
      </c>
      <c r="N177" s="583">
        <v>1799954</v>
      </c>
      <c r="O177" s="583">
        <v>4150</v>
      </c>
      <c r="P177" s="583">
        <v>3099</v>
      </c>
      <c r="Q177" s="583">
        <v>7249</v>
      </c>
      <c r="R177" s="583">
        <v>76632</v>
      </c>
      <c r="S177" s="583">
        <v>31699</v>
      </c>
      <c r="T177" s="583">
        <v>108331</v>
      </c>
      <c r="U177" s="583">
        <v>3930</v>
      </c>
      <c r="V177" s="583">
        <v>3916</v>
      </c>
      <c r="W177" s="583">
        <v>7846</v>
      </c>
      <c r="X177" s="583">
        <v>49141</v>
      </c>
      <c r="Y177" s="583">
        <v>43916</v>
      </c>
      <c r="Z177" s="583">
        <v>93057</v>
      </c>
      <c r="AA177" s="583">
        <v>1129177</v>
      </c>
      <c r="AB177" s="583">
        <v>1072511</v>
      </c>
      <c r="AC177" s="583">
        <v>2201688</v>
      </c>
    </row>
    <row r="178" spans="1:29" x14ac:dyDescent="0.35">
      <c r="A178" s="655"/>
      <c r="B178" s="509" t="s">
        <v>956</v>
      </c>
      <c r="C178" s="584">
        <v>5478</v>
      </c>
      <c r="D178" s="584">
        <v>5372</v>
      </c>
      <c r="E178" s="584">
        <v>10850</v>
      </c>
      <c r="F178" s="584">
        <v>261</v>
      </c>
      <c r="G178" s="584">
        <v>203</v>
      </c>
      <c r="H178" s="584">
        <v>464</v>
      </c>
      <c r="I178" s="584">
        <v>79931</v>
      </c>
      <c r="J178" s="584">
        <v>107686</v>
      </c>
      <c r="K178" s="584">
        <v>187617</v>
      </c>
      <c r="L178" s="584">
        <v>837759</v>
      </c>
      <c r="M178" s="584">
        <v>823253</v>
      </c>
      <c r="N178" s="584">
        <v>1661012</v>
      </c>
      <c r="O178" s="584">
        <v>3012</v>
      </c>
      <c r="P178" s="584">
        <v>2578</v>
      </c>
      <c r="Q178" s="584">
        <v>5590</v>
      </c>
      <c r="R178" s="584">
        <v>73593</v>
      </c>
      <c r="S178" s="584">
        <v>26205</v>
      </c>
      <c r="T178" s="584">
        <v>99798</v>
      </c>
      <c r="U178" s="584">
        <v>4678</v>
      </c>
      <c r="V178" s="584">
        <v>5390</v>
      </c>
      <c r="W178" s="584">
        <v>10068</v>
      </c>
      <c r="X178" s="584">
        <v>29964</v>
      </c>
      <c r="Y178" s="584">
        <v>24607</v>
      </c>
      <c r="Z178" s="584">
        <v>54571</v>
      </c>
      <c r="AA178" s="584">
        <v>1034676</v>
      </c>
      <c r="AB178" s="584">
        <v>995294</v>
      </c>
      <c r="AC178" s="584">
        <v>2029970</v>
      </c>
    </row>
    <row r="179" spans="1:29" ht="14.5" x14ac:dyDescent="0.35">
      <c r="A179" s="655">
        <v>29</v>
      </c>
      <c r="B179" s="943" t="s">
        <v>39</v>
      </c>
      <c r="C179" s="928"/>
      <c r="D179" s="928"/>
      <c r="E179" s="928"/>
      <c r="F179" s="928"/>
      <c r="G179" s="928"/>
      <c r="H179" s="928"/>
      <c r="I179" s="928"/>
      <c r="J179" s="928"/>
      <c r="K179" s="928"/>
      <c r="L179" s="928"/>
      <c r="M179" s="928"/>
      <c r="N179" s="928"/>
      <c r="O179" s="928"/>
      <c r="P179" s="928"/>
      <c r="Q179" s="928"/>
      <c r="R179" s="928"/>
      <c r="S179" s="928"/>
      <c r="T179" s="928"/>
      <c r="U179" s="928"/>
      <c r="V179" s="928"/>
      <c r="W179" s="928"/>
      <c r="X179" s="928"/>
      <c r="Y179" s="928"/>
      <c r="Z179" s="928"/>
      <c r="AA179" s="928"/>
      <c r="AB179" s="928"/>
      <c r="AC179" s="928"/>
    </row>
    <row r="180" spans="1:29" x14ac:dyDescent="0.35">
      <c r="A180" s="655"/>
      <c r="B180" s="508" t="s">
        <v>960</v>
      </c>
      <c r="C180" s="582">
        <v>226</v>
      </c>
      <c r="D180" s="582">
        <v>173</v>
      </c>
      <c r="E180" s="582">
        <v>399</v>
      </c>
      <c r="F180" s="582"/>
      <c r="G180" s="582"/>
      <c r="H180" s="582"/>
      <c r="I180" s="582">
        <v>1613</v>
      </c>
      <c r="J180" s="582">
        <v>2089</v>
      </c>
      <c r="K180" s="582">
        <v>3702</v>
      </c>
      <c r="L180" s="582">
        <v>10694</v>
      </c>
      <c r="M180" s="582">
        <v>10363</v>
      </c>
      <c r="N180" s="582">
        <v>21057</v>
      </c>
      <c r="O180" s="582">
        <v>11</v>
      </c>
      <c r="P180" s="582">
        <v>4</v>
      </c>
      <c r="Q180" s="582">
        <v>15</v>
      </c>
      <c r="R180" s="582">
        <v>1744</v>
      </c>
      <c r="S180" s="582">
        <v>1259</v>
      </c>
      <c r="T180" s="582">
        <v>3003</v>
      </c>
      <c r="U180" s="582">
        <v>4</v>
      </c>
      <c r="V180" s="582">
        <v>4</v>
      </c>
      <c r="W180" s="582">
        <v>8</v>
      </c>
      <c r="X180" s="582">
        <v>188</v>
      </c>
      <c r="Y180" s="582">
        <v>292</v>
      </c>
      <c r="Z180" s="582">
        <v>480</v>
      </c>
      <c r="AA180" s="582">
        <v>14480</v>
      </c>
      <c r="AB180" s="582">
        <v>14184</v>
      </c>
      <c r="AC180" s="582">
        <v>28664</v>
      </c>
    </row>
    <row r="181" spans="1:29" x14ac:dyDescent="0.35">
      <c r="A181" s="655"/>
      <c r="B181" s="509" t="s">
        <v>959</v>
      </c>
      <c r="C181" s="583">
        <v>385</v>
      </c>
      <c r="D181" s="583">
        <v>332</v>
      </c>
      <c r="E181" s="583">
        <v>717</v>
      </c>
      <c r="F181" s="583">
        <v>18</v>
      </c>
      <c r="G181" s="583">
        <v>25</v>
      </c>
      <c r="H181" s="583">
        <v>43</v>
      </c>
      <c r="I181" s="583">
        <v>1472</v>
      </c>
      <c r="J181" s="583">
        <v>2032</v>
      </c>
      <c r="K181" s="583">
        <v>3504</v>
      </c>
      <c r="L181" s="583">
        <v>10757</v>
      </c>
      <c r="M181" s="583">
        <v>10621</v>
      </c>
      <c r="N181" s="583">
        <v>21378</v>
      </c>
      <c r="O181" s="583"/>
      <c r="P181" s="583"/>
      <c r="Q181" s="583"/>
      <c r="R181" s="583">
        <v>1059</v>
      </c>
      <c r="S181" s="583">
        <v>873</v>
      </c>
      <c r="T181" s="583">
        <v>1932</v>
      </c>
      <c r="U181" s="583">
        <v>40</v>
      </c>
      <c r="V181" s="583">
        <v>6</v>
      </c>
      <c r="W181" s="583">
        <v>46</v>
      </c>
      <c r="X181" s="583">
        <v>167</v>
      </c>
      <c r="Y181" s="583">
        <v>271</v>
      </c>
      <c r="Z181" s="583">
        <v>438</v>
      </c>
      <c r="AA181" s="583">
        <v>13898</v>
      </c>
      <c r="AB181" s="583">
        <v>14160</v>
      </c>
      <c r="AC181" s="583">
        <v>28057</v>
      </c>
    </row>
    <row r="182" spans="1:29" x14ac:dyDescent="0.35">
      <c r="A182" s="655"/>
      <c r="B182" s="509" t="s">
        <v>958</v>
      </c>
      <c r="C182" s="583">
        <v>337</v>
      </c>
      <c r="D182" s="583">
        <v>315</v>
      </c>
      <c r="E182" s="583">
        <v>652</v>
      </c>
      <c r="F182" s="583">
        <v>18</v>
      </c>
      <c r="G182" s="583">
        <v>25</v>
      </c>
      <c r="H182" s="583">
        <v>43</v>
      </c>
      <c r="I182" s="583">
        <v>1419</v>
      </c>
      <c r="J182" s="583">
        <v>1834</v>
      </c>
      <c r="K182" s="583">
        <v>3253</v>
      </c>
      <c r="L182" s="583">
        <v>10510</v>
      </c>
      <c r="M182" s="583">
        <v>10268</v>
      </c>
      <c r="N182" s="583">
        <v>20778</v>
      </c>
      <c r="O182" s="583"/>
      <c r="P182" s="583"/>
      <c r="Q182" s="583"/>
      <c r="R182" s="583">
        <v>985</v>
      </c>
      <c r="S182" s="583">
        <v>704</v>
      </c>
      <c r="T182" s="583">
        <v>1689</v>
      </c>
      <c r="U182" s="583">
        <v>50</v>
      </c>
      <c r="V182" s="583">
        <v>5</v>
      </c>
      <c r="W182" s="583">
        <v>55</v>
      </c>
      <c r="X182" s="583">
        <v>168</v>
      </c>
      <c r="Y182" s="583">
        <v>251</v>
      </c>
      <c r="Z182" s="583">
        <v>419</v>
      </c>
      <c r="AA182" s="583">
        <v>13487</v>
      </c>
      <c r="AB182" s="583">
        <v>13402</v>
      </c>
      <c r="AC182" s="583">
        <v>26889</v>
      </c>
    </row>
    <row r="183" spans="1:29" x14ac:dyDescent="0.35">
      <c r="A183" s="655"/>
      <c r="B183" s="509" t="s">
        <v>957</v>
      </c>
      <c r="C183" s="583">
        <v>115</v>
      </c>
      <c r="D183" s="583">
        <v>80</v>
      </c>
      <c r="E183" s="583">
        <v>195</v>
      </c>
      <c r="F183" s="583">
        <v>34</v>
      </c>
      <c r="G183" s="583">
        <v>30</v>
      </c>
      <c r="H183" s="583">
        <v>64</v>
      </c>
      <c r="I183" s="583">
        <v>1633</v>
      </c>
      <c r="J183" s="583">
        <v>2312</v>
      </c>
      <c r="K183" s="583">
        <v>3945</v>
      </c>
      <c r="L183" s="583">
        <v>10347</v>
      </c>
      <c r="M183" s="583">
        <v>10389</v>
      </c>
      <c r="N183" s="583">
        <v>20736</v>
      </c>
      <c r="O183" s="583">
        <v>0</v>
      </c>
      <c r="P183" s="583">
        <v>0</v>
      </c>
      <c r="Q183" s="583">
        <v>0</v>
      </c>
      <c r="R183" s="583">
        <v>1072</v>
      </c>
      <c r="S183" s="583">
        <v>1141</v>
      </c>
      <c r="T183" s="583">
        <v>2213</v>
      </c>
      <c r="U183" s="583">
        <v>61</v>
      </c>
      <c r="V183" s="583">
        <v>11</v>
      </c>
      <c r="W183" s="583">
        <v>72</v>
      </c>
      <c r="X183" s="583">
        <v>153</v>
      </c>
      <c r="Y183" s="583">
        <v>222</v>
      </c>
      <c r="Z183" s="583">
        <v>375</v>
      </c>
      <c r="AA183" s="583">
        <v>13415</v>
      </c>
      <c r="AB183" s="583">
        <v>14185</v>
      </c>
      <c r="AC183" s="583">
        <v>27600</v>
      </c>
    </row>
    <row r="184" spans="1:29" x14ac:dyDescent="0.35">
      <c r="A184" s="655"/>
      <c r="B184" s="509" t="s">
        <v>956</v>
      </c>
      <c r="C184" s="584">
        <v>215</v>
      </c>
      <c r="D184" s="584">
        <v>195</v>
      </c>
      <c r="E184" s="584">
        <v>410</v>
      </c>
      <c r="F184" s="584">
        <v>43</v>
      </c>
      <c r="G184" s="584">
        <v>44</v>
      </c>
      <c r="H184" s="584">
        <v>87</v>
      </c>
      <c r="I184" s="584">
        <v>1190</v>
      </c>
      <c r="J184" s="584">
        <v>1540</v>
      </c>
      <c r="K184" s="584">
        <v>2730</v>
      </c>
      <c r="L184" s="584">
        <v>8412</v>
      </c>
      <c r="M184" s="584">
        <v>9660</v>
      </c>
      <c r="N184" s="584">
        <v>18072</v>
      </c>
      <c r="O184" s="584">
        <v>0</v>
      </c>
      <c r="P184" s="584">
        <v>0</v>
      </c>
      <c r="Q184" s="584">
        <v>0</v>
      </c>
      <c r="R184" s="584">
        <v>1015</v>
      </c>
      <c r="S184" s="584">
        <v>1053</v>
      </c>
      <c r="T184" s="584">
        <v>2068</v>
      </c>
      <c r="U184" s="584">
        <v>34</v>
      </c>
      <c r="V184" s="584">
        <v>6</v>
      </c>
      <c r="W184" s="584">
        <v>40</v>
      </c>
      <c r="X184" s="584">
        <v>120</v>
      </c>
      <c r="Y184" s="584">
        <v>198</v>
      </c>
      <c r="Z184" s="584">
        <v>318</v>
      </c>
      <c r="AA184" s="584">
        <v>11029</v>
      </c>
      <c r="AB184" s="584">
        <v>12696</v>
      </c>
      <c r="AC184" s="584">
        <v>23725</v>
      </c>
    </row>
    <row r="185" spans="1:29" ht="14.5" x14ac:dyDescent="0.35">
      <c r="A185" s="655">
        <v>30</v>
      </c>
      <c r="B185" s="943" t="s">
        <v>40</v>
      </c>
      <c r="C185" s="928"/>
      <c r="D185" s="928"/>
      <c r="E185" s="928"/>
      <c r="F185" s="928"/>
      <c r="G185" s="928"/>
      <c r="H185" s="928"/>
      <c r="I185" s="928"/>
      <c r="J185" s="928"/>
      <c r="K185" s="928"/>
      <c r="L185" s="928"/>
      <c r="M185" s="928"/>
      <c r="N185" s="928"/>
      <c r="O185" s="928"/>
      <c r="P185" s="928"/>
      <c r="Q185" s="928"/>
      <c r="R185" s="928"/>
      <c r="S185" s="928"/>
      <c r="T185" s="928"/>
      <c r="U185" s="928"/>
      <c r="V185" s="928"/>
      <c r="W185" s="928"/>
      <c r="X185" s="928"/>
      <c r="Y185" s="928"/>
      <c r="Z185" s="928"/>
      <c r="AA185" s="928"/>
      <c r="AB185" s="928"/>
      <c r="AC185" s="928"/>
    </row>
    <row r="186" spans="1:29" x14ac:dyDescent="0.35">
      <c r="A186" s="655"/>
      <c r="B186" s="508" t="s">
        <v>960</v>
      </c>
      <c r="C186" s="582">
        <v>21211</v>
      </c>
      <c r="D186" s="582">
        <v>27274</v>
      </c>
      <c r="E186" s="582">
        <v>48485</v>
      </c>
      <c r="F186" s="582">
        <v>336</v>
      </c>
      <c r="G186" s="582">
        <v>557</v>
      </c>
      <c r="H186" s="582">
        <v>893</v>
      </c>
      <c r="I186" s="582">
        <v>136524</v>
      </c>
      <c r="J186" s="582">
        <v>198933</v>
      </c>
      <c r="K186" s="582">
        <v>335457</v>
      </c>
      <c r="L186" s="582">
        <v>1274972</v>
      </c>
      <c r="M186" s="582">
        <v>1266236</v>
      </c>
      <c r="N186" s="582">
        <v>2541208</v>
      </c>
      <c r="O186" s="582">
        <v>2090</v>
      </c>
      <c r="P186" s="582">
        <v>1880</v>
      </c>
      <c r="Q186" s="582">
        <v>3970</v>
      </c>
      <c r="R186" s="582">
        <v>180186</v>
      </c>
      <c r="S186" s="582">
        <v>46622</v>
      </c>
      <c r="T186" s="582">
        <v>226808</v>
      </c>
      <c r="U186" s="582">
        <v>1105</v>
      </c>
      <c r="V186" s="582">
        <v>5091</v>
      </c>
      <c r="W186" s="582">
        <v>6196</v>
      </c>
      <c r="X186" s="582">
        <v>14933</v>
      </c>
      <c r="Y186" s="582">
        <v>15881</v>
      </c>
      <c r="Z186" s="582">
        <v>30814</v>
      </c>
      <c r="AA186" s="582">
        <v>1631357</v>
      </c>
      <c r="AB186" s="582">
        <v>1562474</v>
      </c>
      <c r="AC186" s="582">
        <v>3193831</v>
      </c>
    </row>
    <row r="187" spans="1:29" x14ac:dyDescent="0.35">
      <c r="A187" s="655"/>
      <c r="B187" s="509" t="s">
        <v>959</v>
      </c>
      <c r="C187" s="583">
        <v>11248</v>
      </c>
      <c r="D187" s="583">
        <v>15362</v>
      </c>
      <c r="E187" s="583">
        <v>26610</v>
      </c>
      <c r="F187" s="583">
        <v>391</v>
      </c>
      <c r="G187" s="583">
        <v>787</v>
      </c>
      <c r="H187" s="583">
        <v>1178</v>
      </c>
      <c r="I187" s="583">
        <v>139074</v>
      </c>
      <c r="J187" s="583">
        <v>198362</v>
      </c>
      <c r="K187" s="583">
        <v>337436</v>
      </c>
      <c r="L187" s="583">
        <v>1215105</v>
      </c>
      <c r="M187" s="583">
        <v>1216289</v>
      </c>
      <c r="N187" s="583">
        <v>2431394</v>
      </c>
      <c r="O187" s="583">
        <v>2079</v>
      </c>
      <c r="P187" s="583">
        <v>2137</v>
      </c>
      <c r="Q187" s="583">
        <v>4216</v>
      </c>
      <c r="R187" s="583">
        <v>193000</v>
      </c>
      <c r="S187" s="583">
        <v>46770</v>
      </c>
      <c r="T187" s="583">
        <v>239770</v>
      </c>
      <c r="U187" s="583">
        <v>1912</v>
      </c>
      <c r="V187" s="583">
        <v>6037</v>
      </c>
      <c r="W187" s="583">
        <v>7949</v>
      </c>
      <c r="X187" s="583">
        <v>13205</v>
      </c>
      <c r="Y187" s="583">
        <v>14633</v>
      </c>
      <c r="Z187" s="583">
        <v>27838</v>
      </c>
      <c r="AA187" s="583">
        <v>1576014</v>
      </c>
      <c r="AB187" s="583">
        <v>1500377</v>
      </c>
      <c r="AC187" s="583">
        <v>3076391</v>
      </c>
    </row>
    <row r="188" spans="1:29" x14ac:dyDescent="0.35">
      <c r="A188" s="655"/>
      <c r="B188" s="509" t="s">
        <v>958</v>
      </c>
      <c r="C188" s="583">
        <v>13457</v>
      </c>
      <c r="D188" s="583">
        <v>15410</v>
      </c>
      <c r="E188" s="583">
        <v>28867</v>
      </c>
      <c r="F188" s="583">
        <v>925</v>
      </c>
      <c r="G188" s="583">
        <v>3116</v>
      </c>
      <c r="H188" s="583">
        <v>4041</v>
      </c>
      <c r="I188" s="583">
        <v>128774</v>
      </c>
      <c r="J188" s="583">
        <v>187831</v>
      </c>
      <c r="K188" s="583">
        <v>316605</v>
      </c>
      <c r="L188" s="583">
        <v>1154063</v>
      </c>
      <c r="M188" s="583">
        <v>1164935</v>
      </c>
      <c r="N188" s="583">
        <v>2318998</v>
      </c>
      <c r="O188" s="583">
        <v>1619</v>
      </c>
      <c r="P188" s="583">
        <v>1571</v>
      </c>
      <c r="Q188" s="583">
        <v>3190</v>
      </c>
      <c r="R188" s="583">
        <v>209584</v>
      </c>
      <c r="S188" s="583">
        <v>45232</v>
      </c>
      <c r="T188" s="583">
        <v>254816</v>
      </c>
      <c r="U188" s="583">
        <v>1563</v>
      </c>
      <c r="V188" s="583">
        <v>3377</v>
      </c>
      <c r="W188" s="583">
        <v>4940</v>
      </c>
      <c r="X188" s="583">
        <v>12906</v>
      </c>
      <c r="Y188" s="583">
        <v>13317</v>
      </c>
      <c r="Z188" s="583">
        <v>26223</v>
      </c>
      <c r="AA188" s="583">
        <v>1522891</v>
      </c>
      <c r="AB188" s="583">
        <v>1434789</v>
      </c>
      <c r="AC188" s="583">
        <v>2957680</v>
      </c>
    </row>
    <row r="189" spans="1:29" x14ac:dyDescent="0.35">
      <c r="A189" s="655"/>
      <c r="B189" s="509" t="s">
        <v>957</v>
      </c>
      <c r="C189" s="583">
        <v>17443</v>
      </c>
      <c r="D189" s="583">
        <v>16968</v>
      </c>
      <c r="E189" s="583">
        <v>34411</v>
      </c>
      <c r="F189" s="583">
        <v>1696</v>
      </c>
      <c r="G189" s="583">
        <v>5007</v>
      </c>
      <c r="H189" s="583">
        <v>6703</v>
      </c>
      <c r="I189" s="583">
        <v>106868</v>
      </c>
      <c r="J189" s="583">
        <v>175312</v>
      </c>
      <c r="K189" s="583">
        <v>282180</v>
      </c>
      <c r="L189" s="583">
        <v>1091024</v>
      </c>
      <c r="M189" s="583">
        <v>1186072</v>
      </c>
      <c r="N189" s="583">
        <v>2277096</v>
      </c>
      <c r="O189" s="583">
        <v>1232</v>
      </c>
      <c r="P189" s="583">
        <v>1292</v>
      </c>
      <c r="Q189" s="583">
        <v>2524</v>
      </c>
      <c r="R189" s="583">
        <v>238219</v>
      </c>
      <c r="S189" s="583">
        <v>50394</v>
      </c>
      <c r="T189" s="583">
        <v>288613</v>
      </c>
      <c r="U189" s="583">
        <v>2574</v>
      </c>
      <c r="V189" s="583">
        <v>4848</v>
      </c>
      <c r="W189" s="583">
        <v>7422</v>
      </c>
      <c r="X189" s="583">
        <v>11859</v>
      </c>
      <c r="Y189" s="583">
        <v>11193</v>
      </c>
      <c r="Z189" s="583">
        <v>23052</v>
      </c>
      <c r="AA189" s="583">
        <v>1470915</v>
      </c>
      <c r="AB189" s="583">
        <v>1451086</v>
      </c>
      <c r="AC189" s="583">
        <v>2922001</v>
      </c>
    </row>
    <row r="190" spans="1:29" x14ac:dyDescent="0.35">
      <c r="A190" s="655"/>
      <c r="B190" s="509" t="s">
        <v>956</v>
      </c>
      <c r="C190" s="584">
        <v>15816</v>
      </c>
      <c r="D190" s="584">
        <v>14823</v>
      </c>
      <c r="E190" s="584">
        <v>30639</v>
      </c>
      <c r="F190" s="584">
        <v>2457</v>
      </c>
      <c r="G190" s="584">
        <v>7298</v>
      </c>
      <c r="H190" s="584">
        <v>9755</v>
      </c>
      <c r="I190" s="584">
        <v>101932</v>
      </c>
      <c r="J190" s="584">
        <v>180859</v>
      </c>
      <c r="K190" s="584">
        <v>282791</v>
      </c>
      <c r="L190" s="584">
        <v>1094717</v>
      </c>
      <c r="M190" s="584">
        <v>1194788</v>
      </c>
      <c r="N190" s="584">
        <v>2289505</v>
      </c>
      <c r="O190" s="584">
        <v>1365</v>
      </c>
      <c r="P190" s="584">
        <v>1751</v>
      </c>
      <c r="Q190" s="584">
        <v>3116</v>
      </c>
      <c r="R190" s="584">
        <v>279043</v>
      </c>
      <c r="S190" s="584">
        <v>55406</v>
      </c>
      <c r="T190" s="584">
        <v>334449</v>
      </c>
      <c r="U190" s="584">
        <v>3921</v>
      </c>
      <c r="V190" s="584">
        <v>6572</v>
      </c>
      <c r="W190" s="584">
        <v>10493</v>
      </c>
      <c r="X190" s="584">
        <v>11312</v>
      </c>
      <c r="Y190" s="584">
        <v>10429</v>
      </c>
      <c r="Z190" s="584">
        <v>21741</v>
      </c>
      <c r="AA190" s="584">
        <v>1510563</v>
      </c>
      <c r="AB190" s="584">
        <v>1471926</v>
      </c>
      <c r="AC190" s="584">
        <v>2982489</v>
      </c>
    </row>
    <row r="191" spans="1:29" ht="14.5" x14ac:dyDescent="0.35">
      <c r="A191" s="655">
        <v>31</v>
      </c>
      <c r="B191" s="943" t="s">
        <v>41</v>
      </c>
      <c r="C191" s="928"/>
      <c r="D191" s="928"/>
      <c r="E191" s="928"/>
      <c r="F191" s="928"/>
      <c r="G191" s="928"/>
      <c r="H191" s="928"/>
      <c r="I191" s="928"/>
      <c r="J191" s="928"/>
      <c r="K191" s="928"/>
      <c r="L191" s="928"/>
      <c r="M191" s="928"/>
      <c r="N191" s="928"/>
      <c r="O191" s="928"/>
      <c r="P191" s="928"/>
      <c r="Q191" s="928"/>
      <c r="R191" s="928"/>
      <c r="S191" s="928"/>
      <c r="T191" s="928"/>
      <c r="U191" s="928"/>
      <c r="V191" s="928"/>
      <c r="W191" s="928"/>
      <c r="X191" s="928"/>
      <c r="Y191" s="928"/>
      <c r="Z191" s="928"/>
      <c r="AA191" s="928"/>
      <c r="AB191" s="928"/>
      <c r="AC191" s="928"/>
    </row>
    <row r="192" spans="1:29" x14ac:dyDescent="0.35">
      <c r="A192" s="655"/>
      <c r="B192" s="508" t="s">
        <v>960</v>
      </c>
      <c r="C192" s="582">
        <v>5528</v>
      </c>
      <c r="D192" s="582">
        <v>3819</v>
      </c>
      <c r="E192" s="582">
        <v>9347</v>
      </c>
      <c r="F192" s="582">
        <v>13</v>
      </c>
      <c r="G192" s="582">
        <v>43</v>
      </c>
      <c r="H192" s="582">
        <v>56</v>
      </c>
      <c r="I192" s="582">
        <v>77703</v>
      </c>
      <c r="J192" s="582">
        <v>107287</v>
      </c>
      <c r="K192" s="582">
        <v>184990</v>
      </c>
      <c r="L192" s="582">
        <v>647754</v>
      </c>
      <c r="M192" s="582">
        <v>676272</v>
      </c>
      <c r="N192" s="582">
        <v>1324026</v>
      </c>
      <c r="O192" s="582">
        <v>2215</v>
      </c>
      <c r="P192" s="582">
        <v>1935</v>
      </c>
      <c r="Q192" s="582">
        <v>4150</v>
      </c>
      <c r="R192" s="582">
        <v>41009</v>
      </c>
      <c r="S192" s="582">
        <v>33847</v>
      </c>
      <c r="T192" s="582">
        <v>74856</v>
      </c>
      <c r="U192" s="582">
        <v>1817</v>
      </c>
      <c r="V192" s="582">
        <v>1121</v>
      </c>
      <c r="W192" s="582">
        <v>2938</v>
      </c>
      <c r="X192" s="582">
        <v>6377</v>
      </c>
      <c r="Y192" s="582">
        <v>4451</v>
      </c>
      <c r="Z192" s="582">
        <v>10828</v>
      </c>
      <c r="AA192" s="582">
        <v>782416</v>
      </c>
      <c r="AB192" s="582">
        <v>828775</v>
      </c>
      <c r="AC192" s="582">
        <v>1611191</v>
      </c>
    </row>
    <row r="193" spans="1:29" x14ac:dyDescent="0.35">
      <c r="A193" s="655"/>
      <c r="B193" s="509" t="s">
        <v>959</v>
      </c>
      <c r="C193" s="583">
        <v>4624</v>
      </c>
      <c r="D193" s="583">
        <v>2606</v>
      </c>
      <c r="E193" s="583">
        <v>7230</v>
      </c>
      <c r="F193" s="583">
        <v>34</v>
      </c>
      <c r="G193" s="583">
        <v>38</v>
      </c>
      <c r="H193" s="583">
        <v>72</v>
      </c>
      <c r="I193" s="583">
        <v>71559</v>
      </c>
      <c r="J193" s="583">
        <v>99337</v>
      </c>
      <c r="K193" s="583">
        <v>170897</v>
      </c>
      <c r="L193" s="583">
        <v>614671</v>
      </c>
      <c r="M193" s="583">
        <v>640630</v>
      </c>
      <c r="N193" s="583">
        <v>1255302</v>
      </c>
      <c r="O193" s="583">
        <v>2018</v>
      </c>
      <c r="P193" s="583">
        <v>1917</v>
      </c>
      <c r="Q193" s="583">
        <v>3935</v>
      </c>
      <c r="R193" s="583">
        <v>42228</v>
      </c>
      <c r="S193" s="583">
        <v>36353</v>
      </c>
      <c r="T193" s="583">
        <v>78581</v>
      </c>
      <c r="U193" s="583">
        <v>1530</v>
      </c>
      <c r="V193" s="583">
        <v>564</v>
      </c>
      <c r="W193" s="583">
        <v>2094</v>
      </c>
      <c r="X193" s="583">
        <v>5111</v>
      </c>
      <c r="Y193" s="583">
        <v>4318</v>
      </c>
      <c r="Z193" s="583">
        <v>9429</v>
      </c>
      <c r="AA193" s="583">
        <v>741775</v>
      </c>
      <c r="AB193" s="583">
        <v>785764</v>
      </c>
      <c r="AC193" s="583">
        <v>1527539</v>
      </c>
    </row>
    <row r="194" spans="1:29" x14ac:dyDescent="0.35">
      <c r="A194" s="655"/>
      <c r="B194" s="509" t="s">
        <v>958</v>
      </c>
      <c r="C194" s="583">
        <v>4412</v>
      </c>
      <c r="D194" s="583">
        <v>2509</v>
      </c>
      <c r="E194" s="583">
        <v>6921</v>
      </c>
      <c r="F194" s="583">
        <v>37</v>
      </c>
      <c r="G194" s="583">
        <v>34</v>
      </c>
      <c r="H194" s="583">
        <v>71</v>
      </c>
      <c r="I194" s="583">
        <v>70558</v>
      </c>
      <c r="J194" s="583">
        <v>92350</v>
      </c>
      <c r="K194" s="583">
        <v>162908</v>
      </c>
      <c r="L194" s="583">
        <v>586900</v>
      </c>
      <c r="M194" s="583">
        <v>599875</v>
      </c>
      <c r="N194" s="583">
        <v>1186775</v>
      </c>
      <c r="O194" s="583">
        <v>2166</v>
      </c>
      <c r="P194" s="583">
        <v>1885</v>
      </c>
      <c r="Q194" s="583">
        <v>4051</v>
      </c>
      <c r="R194" s="583">
        <v>48977</v>
      </c>
      <c r="S194" s="583">
        <v>40528</v>
      </c>
      <c r="T194" s="583">
        <v>89505</v>
      </c>
      <c r="U194" s="583">
        <v>1054</v>
      </c>
      <c r="V194" s="583">
        <v>277</v>
      </c>
      <c r="W194" s="583">
        <v>1331</v>
      </c>
      <c r="X194" s="583">
        <v>4538</v>
      </c>
      <c r="Y194" s="583">
        <v>3081</v>
      </c>
      <c r="Z194" s="583">
        <v>7619</v>
      </c>
      <c r="AA194" s="583">
        <v>718642</v>
      </c>
      <c r="AB194" s="583">
        <v>740539</v>
      </c>
      <c r="AC194" s="583">
        <v>1459181</v>
      </c>
    </row>
    <row r="195" spans="1:29" x14ac:dyDescent="0.35">
      <c r="A195" s="655"/>
      <c r="B195" s="509" t="s">
        <v>957</v>
      </c>
      <c r="C195" s="583">
        <v>4228</v>
      </c>
      <c r="D195" s="583">
        <v>2487</v>
      </c>
      <c r="E195" s="583">
        <v>6715</v>
      </c>
      <c r="F195" s="583">
        <v>106</v>
      </c>
      <c r="G195" s="583">
        <v>74</v>
      </c>
      <c r="H195" s="583">
        <v>180</v>
      </c>
      <c r="I195" s="583">
        <v>68545</v>
      </c>
      <c r="J195" s="583">
        <v>87864</v>
      </c>
      <c r="K195" s="583">
        <v>156409</v>
      </c>
      <c r="L195" s="583">
        <v>561388</v>
      </c>
      <c r="M195" s="583">
        <v>593419</v>
      </c>
      <c r="N195" s="583">
        <v>1154807</v>
      </c>
      <c r="O195" s="583">
        <v>2111</v>
      </c>
      <c r="P195" s="583">
        <v>1740</v>
      </c>
      <c r="Q195" s="583">
        <v>3851</v>
      </c>
      <c r="R195" s="583">
        <v>55384</v>
      </c>
      <c r="S195" s="583">
        <v>42988</v>
      </c>
      <c r="T195" s="583">
        <v>98372</v>
      </c>
      <c r="U195" s="583">
        <v>858</v>
      </c>
      <c r="V195" s="583">
        <v>1017</v>
      </c>
      <c r="W195" s="583">
        <v>1875</v>
      </c>
      <c r="X195" s="583">
        <v>3866</v>
      </c>
      <c r="Y195" s="583">
        <v>2792</v>
      </c>
      <c r="Z195" s="583">
        <v>6658</v>
      </c>
      <c r="AA195" s="583">
        <v>696486</v>
      </c>
      <c r="AB195" s="583">
        <v>732381</v>
      </c>
      <c r="AC195" s="583">
        <v>1428867</v>
      </c>
    </row>
    <row r="196" spans="1:29" x14ac:dyDescent="0.35">
      <c r="A196" s="655"/>
      <c r="B196" s="509" t="s">
        <v>956</v>
      </c>
      <c r="C196" s="584">
        <v>3507</v>
      </c>
      <c r="D196" s="584">
        <v>2001</v>
      </c>
      <c r="E196" s="584">
        <v>5508</v>
      </c>
      <c r="F196" s="584">
        <v>203</v>
      </c>
      <c r="G196" s="584">
        <v>170</v>
      </c>
      <c r="H196" s="584">
        <v>373</v>
      </c>
      <c r="I196" s="584">
        <v>65433</v>
      </c>
      <c r="J196" s="584">
        <v>82606</v>
      </c>
      <c r="K196" s="584">
        <v>148039</v>
      </c>
      <c r="L196" s="584">
        <v>511433</v>
      </c>
      <c r="M196" s="584">
        <v>552425</v>
      </c>
      <c r="N196" s="584">
        <v>1063858</v>
      </c>
      <c r="O196" s="584">
        <v>1628</v>
      </c>
      <c r="P196" s="584">
        <v>1270</v>
      </c>
      <c r="Q196" s="584">
        <v>2898</v>
      </c>
      <c r="R196" s="584">
        <v>60259</v>
      </c>
      <c r="S196" s="584">
        <v>45165</v>
      </c>
      <c r="T196" s="584">
        <v>105424</v>
      </c>
      <c r="U196" s="584">
        <v>686</v>
      </c>
      <c r="V196" s="584">
        <v>825</v>
      </c>
      <c r="W196" s="584">
        <v>1511</v>
      </c>
      <c r="X196" s="584">
        <v>3629</v>
      </c>
      <c r="Y196" s="584">
        <v>2601</v>
      </c>
      <c r="Z196" s="584">
        <v>6230</v>
      </c>
      <c r="AA196" s="584">
        <v>646778</v>
      </c>
      <c r="AB196" s="584">
        <v>687063</v>
      </c>
      <c r="AC196" s="584">
        <v>1333841</v>
      </c>
    </row>
    <row r="197" spans="1:29" ht="14.5" x14ac:dyDescent="0.35">
      <c r="A197" s="655">
        <v>32</v>
      </c>
      <c r="B197" s="944" t="s">
        <v>58</v>
      </c>
      <c r="C197" s="928"/>
      <c r="D197" s="928"/>
      <c r="E197" s="928"/>
      <c r="F197" s="928"/>
      <c r="G197" s="928"/>
      <c r="H197" s="928"/>
      <c r="I197" s="928"/>
      <c r="J197" s="928"/>
      <c r="K197" s="928"/>
      <c r="L197" s="928"/>
      <c r="M197" s="928"/>
      <c r="N197" s="928"/>
      <c r="O197" s="928"/>
      <c r="P197" s="928"/>
      <c r="Q197" s="928"/>
      <c r="R197" s="928"/>
      <c r="S197" s="928"/>
      <c r="T197" s="928"/>
      <c r="U197" s="928"/>
      <c r="V197" s="928"/>
      <c r="W197" s="928"/>
      <c r="X197" s="928"/>
      <c r="Y197" s="928"/>
      <c r="Z197" s="928"/>
      <c r="AA197" s="928"/>
      <c r="AB197" s="928"/>
      <c r="AC197" s="928"/>
    </row>
    <row r="198" spans="1:29" x14ac:dyDescent="0.35">
      <c r="A198" s="655"/>
      <c r="B198" s="508" t="s">
        <v>960</v>
      </c>
      <c r="C198" s="608"/>
      <c r="D198" s="608">
        <v>2</v>
      </c>
      <c r="E198" s="609">
        <v>2</v>
      </c>
      <c r="F198" s="608"/>
      <c r="G198" s="608"/>
      <c r="H198" s="609"/>
      <c r="I198" s="608">
        <v>231</v>
      </c>
      <c r="J198" s="608">
        <v>535</v>
      </c>
      <c r="K198" s="609">
        <v>766</v>
      </c>
      <c r="L198" s="608">
        <v>4596</v>
      </c>
      <c r="M198" s="608">
        <v>5108</v>
      </c>
      <c r="N198" s="609">
        <v>9704</v>
      </c>
      <c r="O198" s="608">
        <v>33</v>
      </c>
      <c r="P198" s="608">
        <v>13</v>
      </c>
      <c r="Q198" s="609">
        <v>46</v>
      </c>
      <c r="R198" s="608">
        <v>1469</v>
      </c>
      <c r="S198" s="608">
        <v>468</v>
      </c>
      <c r="T198" s="609">
        <v>1937</v>
      </c>
      <c r="U198" s="608"/>
      <c r="V198" s="608"/>
      <c r="W198" s="609"/>
      <c r="X198" s="608">
        <v>54</v>
      </c>
      <c r="Y198" s="608">
        <v>76</v>
      </c>
      <c r="Z198" s="609">
        <v>130</v>
      </c>
      <c r="AA198" s="608">
        <v>6383</v>
      </c>
      <c r="AB198" s="608">
        <v>6202</v>
      </c>
      <c r="AC198" s="609">
        <v>12585</v>
      </c>
    </row>
    <row r="199" spans="1:29" x14ac:dyDescent="0.35">
      <c r="A199" s="655"/>
      <c r="B199" s="509" t="s">
        <v>959</v>
      </c>
      <c r="C199" s="585">
        <v>0</v>
      </c>
      <c r="D199" s="585">
        <v>2</v>
      </c>
      <c r="E199" s="586">
        <v>2</v>
      </c>
      <c r="F199" s="585"/>
      <c r="G199" s="585"/>
      <c r="H199" s="586"/>
      <c r="I199" s="585">
        <v>268</v>
      </c>
      <c r="J199" s="585">
        <v>641</v>
      </c>
      <c r="K199" s="586">
        <v>909</v>
      </c>
      <c r="L199" s="585">
        <v>4742</v>
      </c>
      <c r="M199" s="585">
        <v>5273</v>
      </c>
      <c r="N199" s="586">
        <v>10015</v>
      </c>
      <c r="O199" s="585">
        <v>41</v>
      </c>
      <c r="P199" s="585">
        <v>16</v>
      </c>
      <c r="Q199" s="586">
        <v>57</v>
      </c>
      <c r="R199" s="585">
        <v>1500</v>
      </c>
      <c r="S199" s="585">
        <v>395</v>
      </c>
      <c r="T199" s="586">
        <v>1895</v>
      </c>
      <c r="U199" s="585"/>
      <c r="V199" s="585"/>
      <c r="W199" s="586"/>
      <c r="X199" s="585">
        <v>51</v>
      </c>
      <c r="Y199" s="585">
        <v>71</v>
      </c>
      <c r="Z199" s="586">
        <v>122</v>
      </c>
      <c r="AA199" s="585">
        <v>6602</v>
      </c>
      <c r="AB199" s="585">
        <v>6398</v>
      </c>
      <c r="AC199" s="586">
        <v>13000</v>
      </c>
    </row>
    <row r="200" spans="1:29" x14ac:dyDescent="0.35">
      <c r="A200" s="655"/>
      <c r="B200" s="509" t="s">
        <v>958</v>
      </c>
      <c r="C200" s="585">
        <v>0</v>
      </c>
      <c r="D200" s="585"/>
      <c r="E200" s="586">
        <v>0</v>
      </c>
      <c r="F200" s="585"/>
      <c r="G200" s="585"/>
      <c r="H200" s="586"/>
      <c r="I200" s="585">
        <v>305</v>
      </c>
      <c r="J200" s="585">
        <v>543</v>
      </c>
      <c r="K200" s="586">
        <v>848</v>
      </c>
      <c r="L200" s="585">
        <v>4656</v>
      </c>
      <c r="M200" s="585">
        <v>5103</v>
      </c>
      <c r="N200" s="586">
        <v>9759</v>
      </c>
      <c r="O200" s="585"/>
      <c r="P200" s="585"/>
      <c r="Q200" s="586"/>
      <c r="R200" s="585">
        <v>1686</v>
      </c>
      <c r="S200" s="585">
        <v>422</v>
      </c>
      <c r="T200" s="586">
        <v>2108</v>
      </c>
      <c r="U200" s="585"/>
      <c r="V200" s="585"/>
      <c r="W200" s="586"/>
      <c r="X200" s="585">
        <v>36</v>
      </c>
      <c r="Y200" s="585">
        <v>54</v>
      </c>
      <c r="Z200" s="586">
        <v>90</v>
      </c>
      <c r="AA200" s="585">
        <v>6683</v>
      </c>
      <c r="AB200" s="585">
        <v>6122</v>
      </c>
      <c r="AC200" s="586">
        <v>12805</v>
      </c>
    </row>
    <row r="201" spans="1:29" x14ac:dyDescent="0.35">
      <c r="A201" s="655"/>
      <c r="B201" s="509" t="s">
        <v>957</v>
      </c>
      <c r="C201" s="585">
        <v>0</v>
      </c>
      <c r="D201" s="585">
        <v>0</v>
      </c>
      <c r="E201" s="586">
        <v>0</v>
      </c>
      <c r="F201" s="585">
        <v>0</v>
      </c>
      <c r="G201" s="585">
        <v>0</v>
      </c>
      <c r="H201" s="586">
        <v>0</v>
      </c>
      <c r="I201" s="585">
        <v>259</v>
      </c>
      <c r="J201" s="585">
        <v>508</v>
      </c>
      <c r="K201" s="586">
        <v>767</v>
      </c>
      <c r="L201" s="585">
        <v>4020</v>
      </c>
      <c r="M201" s="585">
        <v>4681</v>
      </c>
      <c r="N201" s="586">
        <v>8701</v>
      </c>
      <c r="O201" s="585">
        <v>0</v>
      </c>
      <c r="P201" s="585">
        <v>0</v>
      </c>
      <c r="Q201" s="586">
        <v>0</v>
      </c>
      <c r="R201" s="585">
        <v>1647</v>
      </c>
      <c r="S201" s="585">
        <v>397</v>
      </c>
      <c r="T201" s="586">
        <v>2044</v>
      </c>
      <c r="U201" s="585">
        <v>0</v>
      </c>
      <c r="V201" s="585">
        <v>0</v>
      </c>
      <c r="W201" s="586">
        <v>0</v>
      </c>
      <c r="X201" s="585">
        <v>22</v>
      </c>
      <c r="Y201" s="585">
        <v>36</v>
      </c>
      <c r="Z201" s="586">
        <v>58</v>
      </c>
      <c r="AA201" s="585">
        <v>5948</v>
      </c>
      <c r="AB201" s="585">
        <v>5622</v>
      </c>
      <c r="AC201" s="586">
        <v>11570</v>
      </c>
    </row>
    <row r="202" spans="1:29" x14ac:dyDescent="0.35">
      <c r="A202" s="655"/>
      <c r="B202" s="509" t="s">
        <v>956</v>
      </c>
      <c r="C202" s="585">
        <v>0</v>
      </c>
      <c r="D202" s="585">
        <v>0</v>
      </c>
      <c r="E202" s="586">
        <v>0</v>
      </c>
      <c r="F202" s="585">
        <v>0</v>
      </c>
      <c r="G202" s="585">
        <v>0</v>
      </c>
      <c r="H202" s="586">
        <v>0</v>
      </c>
      <c r="I202" s="585">
        <v>188</v>
      </c>
      <c r="J202" s="585">
        <v>433</v>
      </c>
      <c r="K202" s="586">
        <v>621</v>
      </c>
      <c r="L202" s="585">
        <v>3436</v>
      </c>
      <c r="M202" s="585">
        <v>4165</v>
      </c>
      <c r="N202" s="586">
        <v>7601</v>
      </c>
      <c r="O202" s="585">
        <v>0</v>
      </c>
      <c r="P202" s="585">
        <v>0</v>
      </c>
      <c r="Q202" s="586">
        <v>0</v>
      </c>
      <c r="R202" s="585">
        <v>1685</v>
      </c>
      <c r="S202" s="585">
        <v>381</v>
      </c>
      <c r="T202" s="586">
        <v>2066</v>
      </c>
      <c r="U202" s="585">
        <v>0</v>
      </c>
      <c r="V202" s="585">
        <v>0</v>
      </c>
      <c r="W202" s="586">
        <v>0</v>
      </c>
      <c r="X202" s="585">
        <v>11</v>
      </c>
      <c r="Y202" s="585">
        <v>26</v>
      </c>
      <c r="Z202" s="586">
        <v>37</v>
      </c>
      <c r="AA202" s="585">
        <v>5320</v>
      </c>
      <c r="AB202" s="585">
        <v>5005</v>
      </c>
      <c r="AC202" s="586">
        <v>10325</v>
      </c>
    </row>
    <row r="203" spans="1:29" ht="14.5" x14ac:dyDescent="0.35">
      <c r="A203" s="655">
        <v>33</v>
      </c>
      <c r="B203" s="943" t="s">
        <v>42</v>
      </c>
      <c r="C203" s="928"/>
      <c r="D203" s="928"/>
      <c r="E203" s="928"/>
      <c r="F203" s="928"/>
      <c r="G203" s="928"/>
      <c r="H203" s="928"/>
      <c r="I203" s="928"/>
      <c r="J203" s="928"/>
      <c r="K203" s="928"/>
      <c r="L203" s="928"/>
      <c r="M203" s="928"/>
      <c r="N203" s="928"/>
      <c r="O203" s="928"/>
      <c r="P203" s="928"/>
      <c r="Q203" s="928"/>
      <c r="R203" s="928"/>
      <c r="S203" s="928"/>
      <c r="T203" s="928"/>
      <c r="U203" s="928"/>
      <c r="V203" s="928"/>
      <c r="W203" s="928"/>
      <c r="X203" s="928"/>
      <c r="Y203" s="928"/>
      <c r="Z203" s="928"/>
      <c r="AA203" s="928"/>
      <c r="AB203" s="928"/>
      <c r="AC203" s="928"/>
    </row>
    <row r="204" spans="1:29" x14ac:dyDescent="0.35">
      <c r="A204" s="655"/>
      <c r="B204" s="508" t="s">
        <v>960</v>
      </c>
      <c r="C204" s="582">
        <v>372</v>
      </c>
      <c r="D204" s="582">
        <v>232</v>
      </c>
      <c r="E204" s="582">
        <v>604</v>
      </c>
      <c r="F204" s="582"/>
      <c r="G204" s="582"/>
      <c r="H204" s="582"/>
      <c r="I204" s="582">
        <v>2730</v>
      </c>
      <c r="J204" s="582">
        <v>3031</v>
      </c>
      <c r="K204" s="582">
        <v>5761</v>
      </c>
      <c r="L204" s="582">
        <v>44497</v>
      </c>
      <c r="M204" s="582">
        <v>44981</v>
      </c>
      <c r="N204" s="582">
        <v>89478</v>
      </c>
      <c r="O204" s="582">
        <v>29</v>
      </c>
      <c r="P204" s="582">
        <v>23</v>
      </c>
      <c r="Q204" s="582">
        <v>52</v>
      </c>
      <c r="R204" s="582">
        <v>2612</v>
      </c>
      <c r="S204" s="582">
        <v>2523</v>
      </c>
      <c r="T204" s="582">
        <v>5135</v>
      </c>
      <c r="U204" s="582">
        <v>22</v>
      </c>
      <c r="V204" s="582">
        <v>51</v>
      </c>
      <c r="W204" s="582">
        <v>73</v>
      </c>
      <c r="X204" s="582">
        <v>1391</v>
      </c>
      <c r="Y204" s="582">
        <v>1186</v>
      </c>
      <c r="Z204" s="582">
        <v>2577</v>
      </c>
      <c r="AA204" s="582">
        <v>51653</v>
      </c>
      <c r="AB204" s="582">
        <v>52027</v>
      </c>
      <c r="AC204" s="582">
        <v>103680</v>
      </c>
    </row>
    <row r="205" spans="1:29" x14ac:dyDescent="0.35">
      <c r="A205" s="655"/>
      <c r="B205" s="509" t="s">
        <v>959</v>
      </c>
      <c r="C205" s="583">
        <v>127</v>
      </c>
      <c r="D205" s="583">
        <v>77</v>
      </c>
      <c r="E205" s="583">
        <v>204</v>
      </c>
      <c r="F205" s="583">
        <v>1</v>
      </c>
      <c r="G205" s="583">
        <v>4</v>
      </c>
      <c r="H205" s="583">
        <v>5</v>
      </c>
      <c r="I205" s="583">
        <v>2257</v>
      </c>
      <c r="J205" s="583">
        <v>2773</v>
      </c>
      <c r="K205" s="583">
        <v>5030</v>
      </c>
      <c r="L205" s="583">
        <v>42852</v>
      </c>
      <c r="M205" s="583">
        <v>40559</v>
      </c>
      <c r="N205" s="583">
        <v>83411</v>
      </c>
      <c r="O205" s="583">
        <v>6</v>
      </c>
      <c r="P205" s="583">
        <v>19</v>
      </c>
      <c r="Q205" s="583">
        <v>25</v>
      </c>
      <c r="R205" s="583">
        <v>2395</v>
      </c>
      <c r="S205" s="583">
        <v>2544</v>
      </c>
      <c r="T205" s="583">
        <v>4939</v>
      </c>
      <c r="U205" s="583">
        <v>19</v>
      </c>
      <c r="V205" s="583">
        <v>9</v>
      </c>
      <c r="W205" s="583">
        <v>28</v>
      </c>
      <c r="X205" s="583">
        <v>1146</v>
      </c>
      <c r="Y205" s="583">
        <v>958</v>
      </c>
      <c r="Z205" s="583">
        <v>2104</v>
      </c>
      <c r="AA205" s="583">
        <v>48803</v>
      </c>
      <c r="AB205" s="583">
        <v>46943</v>
      </c>
      <c r="AC205" s="583">
        <v>95746</v>
      </c>
    </row>
    <row r="206" spans="1:29" x14ac:dyDescent="0.35">
      <c r="A206" s="655"/>
      <c r="B206" s="509" t="s">
        <v>958</v>
      </c>
      <c r="C206" s="583">
        <v>286</v>
      </c>
      <c r="D206" s="583">
        <v>173</v>
      </c>
      <c r="E206" s="583">
        <v>459</v>
      </c>
      <c r="F206" s="583">
        <v>2</v>
      </c>
      <c r="G206" s="583">
        <v>10</v>
      </c>
      <c r="H206" s="583">
        <v>12</v>
      </c>
      <c r="I206" s="583">
        <v>2429</v>
      </c>
      <c r="J206" s="583">
        <v>2468</v>
      </c>
      <c r="K206" s="583">
        <v>4897</v>
      </c>
      <c r="L206" s="583">
        <v>42285</v>
      </c>
      <c r="M206" s="583">
        <v>36473</v>
      </c>
      <c r="N206" s="583">
        <v>78758</v>
      </c>
      <c r="O206" s="583">
        <v>31</v>
      </c>
      <c r="P206" s="583">
        <v>41</v>
      </c>
      <c r="Q206" s="583">
        <v>72</v>
      </c>
      <c r="R206" s="583">
        <v>2394</v>
      </c>
      <c r="S206" s="583">
        <v>2282</v>
      </c>
      <c r="T206" s="583">
        <v>4676</v>
      </c>
      <c r="U206" s="583">
        <v>18</v>
      </c>
      <c r="V206" s="583">
        <v>18</v>
      </c>
      <c r="W206" s="583">
        <v>36</v>
      </c>
      <c r="X206" s="583">
        <v>1106</v>
      </c>
      <c r="Y206" s="583">
        <v>885</v>
      </c>
      <c r="Z206" s="583">
        <v>1991</v>
      </c>
      <c r="AA206" s="583">
        <v>48551</v>
      </c>
      <c r="AB206" s="583">
        <v>42350</v>
      </c>
      <c r="AC206" s="583">
        <v>90901</v>
      </c>
    </row>
    <row r="207" spans="1:29" x14ac:dyDescent="0.35">
      <c r="A207" s="655"/>
      <c r="B207" s="509" t="s">
        <v>957</v>
      </c>
      <c r="C207" s="583">
        <v>452</v>
      </c>
      <c r="D207" s="583">
        <v>220</v>
      </c>
      <c r="E207" s="583">
        <v>672</v>
      </c>
      <c r="F207" s="583">
        <v>2</v>
      </c>
      <c r="G207" s="583">
        <v>10</v>
      </c>
      <c r="H207" s="583">
        <v>12</v>
      </c>
      <c r="I207" s="583">
        <v>2536</v>
      </c>
      <c r="J207" s="583">
        <v>2425</v>
      </c>
      <c r="K207" s="583">
        <v>4961</v>
      </c>
      <c r="L207" s="583">
        <v>35886</v>
      </c>
      <c r="M207" s="583">
        <v>32179</v>
      </c>
      <c r="N207" s="583">
        <v>68065</v>
      </c>
      <c r="O207" s="583">
        <v>47</v>
      </c>
      <c r="P207" s="583">
        <v>107</v>
      </c>
      <c r="Q207" s="583">
        <v>154</v>
      </c>
      <c r="R207" s="583">
        <v>2225</v>
      </c>
      <c r="S207" s="583">
        <v>2603</v>
      </c>
      <c r="T207" s="583">
        <v>4828</v>
      </c>
      <c r="U207" s="583">
        <v>15</v>
      </c>
      <c r="V207" s="583">
        <v>13</v>
      </c>
      <c r="W207" s="583">
        <v>28</v>
      </c>
      <c r="X207" s="583">
        <v>871</v>
      </c>
      <c r="Y207" s="583">
        <v>723</v>
      </c>
      <c r="Z207" s="583">
        <v>1594</v>
      </c>
      <c r="AA207" s="583">
        <v>42034</v>
      </c>
      <c r="AB207" s="583">
        <v>38280</v>
      </c>
      <c r="AC207" s="583">
        <v>80314</v>
      </c>
    </row>
    <row r="208" spans="1:29" x14ac:dyDescent="0.35">
      <c r="A208" s="655"/>
      <c r="B208" s="509" t="s">
        <v>956</v>
      </c>
      <c r="C208" s="584">
        <v>388</v>
      </c>
      <c r="D208" s="584">
        <v>227</v>
      </c>
      <c r="E208" s="584">
        <v>615</v>
      </c>
      <c r="F208" s="584">
        <v>0</v>
      </c>
      <c r="G208" s="584">
        <v>0</v>
      </c>
      <c r="H208" s="584">
        <v>0</v>
      </c>
      <c r="I208" s="584">
        <v>2136</v>
      </c>
      <c r="J208" s="584">
        <v>1932</v>
      </c>
      <c r="K208" s="584">
        <v>4068</v>
      </c>
      <c r="L208" s="584">
        <v>34858</v>
      </c>
      <c r="M208" s="584">
        <v>28462</v>
      </c>
      <c r="N208" s="584">
        <v>63320</v>
      </c>
      <c r="O208" s="584">
        <v>17</v>
      </c>
      <c r="P208" s="584">
        <v>46</v>
      </c>
      <c r="Q208" s="584">
        <v>63</v>
      </c>
      <c r="R208" s="584">
        <v>2256</v>
      </c>
      <c r="S208" s="584">
        <v>2109</v>
      </c>
      <c r="T208" s="584">
        <v>4365</v>
      </c>
      <c r="U208" s="584">
        <v>149</v>
      </c>
      <c r="V208" s="584">
        <v>221</v>
      </c>
      <c r="W208" s="584">
        <v>370</v>
      </c>
      <c r="X208" s="584">
        <v>396</v>
      </c>
      <c r="Y208" s="584">
        <v>242</v>
      </c>
      <c r="Z208" s="584">
        <v>638</v>
      </c>
      <c r="AA208" s="584">
        <v>40200</v>
      </c>
      <c r="AB208" s="584">
        <v>33239</v>
      </c>
      <c r="AC208" s="584">
        <v>73439</v>
      </c>
    </row>
    <row r="209" spans="1:29" ht="14.5" x14ac:dyDescent="0.35">
      <c r="A209" s="655">
        <v>34</v>
      </c>
      <c r="B209" s="943" t="s">
        <v>43</v>
      </c>
      <c r="C209" s="928"/>
      <c r="D209" s="928"/>
      <c r="E209" s="928"/>
      <c r="F209" s="928"/>
      <c r="G209" s="928"/>
      <c r="H209" s="928"/>
      <c r="I209" s="928"/>
      <c r="J209" s="928"/>
      <c r="K209" s="928"/>
      <c r="L209" s="928"/>
      <c r="M209" s="928"/>
      <c r="N209" s="928"/>
      <c r="O209" s="928"/>
      <c r="P209" s="928"/>
      <c r="Q209" s="928"/>
      <c r="R209" s="928"/>
      <c r="S209" s="928"/>
      <c r="T209" s="928"/>
      <c r="U209" s="928"/>
      <c r="V209" s="928"/>
      <c r="W209" s="928"/>
      <c r="X209" s="928"/>
      <c r="Y209" s="928"/>
      <c r="Z209" s="928"/>
      <c r="AA209" s="928"/>
      <c r="AB209" s="928"/>
      <c r="AC209" s="928"/>
    </row>
    <row r="210" spans="1:29" x14ac:dyDescent="0.35">
      <c r="A210" s="655"/>
      <c r="B210" s="508" t="s">
        <v>960</v>
      </c>
      <c r="C210" s="582">
        <v>19145</v>
      </c>
      <c r="D210" s="582">
        <v>16135</v>
      </c>
      <c r="E210" s="582">
        <v>35280</v>
      </c>
      <c r="F210" s="582">
        <v>9</v>
      </c>
      <c r="G210" s="582">
        <v>56</v>
      </c>
      <c r="H210" s="582">
        <v>65</v>
      </c>
      <c r="I210" s="582">
        <v>325051</v>
      </c>
      <c r="J210" s="582">
        <v>447597</v>
      </c>
      <c r="K210" s="582">
        <v>772648</v>
      </c>
      <c r="L210" s="582">
        <v>2864317</v>
      </c>
      <c r="M210" s="582">
        <v>2779494</v>
      </c>
      <c r="N210" s="582">
        <v>5643811</v>
      </c>
      <c r="O210" s="582">
        <v>6891</v>
      </c>
      <c r="P210" s="582">
        <v>5600</v>
      </c>
      <c r="Q210" s="582">
        <v>12491</v>
      </c>
      <c r="R210" s="582">
        <v>278641</v>
      </c>
      <c r="S210" s="582">
        <v>190877</v>
      </c>
      <c r="T210" s="582">
        <v>469518</v>
      </c>
      <c r="U210" s="582">
        <v>6026</v>
      </c>
      <c r="V210" s="582">
        <v>7156</v>
      </c>
      <c r="W210" s="582">
        <v>13182</v>
      </c>
      <c r="X210" s="582">
        <v>48801</v>
      </c>
      <c r="Y210" s="582">
        <v>29579</v>
      </c>
      <c r="Z210" s="582">
        <v>78380</v>
      </c>
      <c r="AA210" s="582">
        <v>3548881</v>
      </c>
      <c r="AB210" s="582">
        <v>3476494</v>
      </c>
      <c r="AC210" s="582">
        <v>7025375</v>
      </c>
    </row>
    <row r="211" spans="1:29" x14ac:dyDescent="0.35">
      <c r="A211" s="655"/>
      <c r="B211" s="509" t="s">
        <v>959</v>
      </c>
      <c r="C211" s="583">
        <v>14232</v>
      </c>
      <c r="D211" s="583">
        <v>10820</v>
      </c>
      <c r="E211" s="583">
        <v>25052</v>
      </c>
      <c r="F211" s="583">
        <v>19</v>
      </c>
      <c r="G211" s="583">
        <v>67</v>
      </c>
      <c r="H211" s="583">
        <v>86</v>
      </c>
      <c r="I211" s="583">
        <v>331754</v>
      </c>
      <c r="J211" s="583">
        <v>431590</v>
      </c>
      <c r="K211" s="583">
        <v>763345</v>
      </c>
      <c r="L211" s="583">
        <v>2948994</v>
      </c>
      <c r="M211" s="583">
        <v>2822282</v>
      </c>
      <c r="N211" s="583">
        <v>5771276</v>
      </c>
      <c r="O211" s="583">
        <v>7350</v>
      </c>
      <c r="P211" s="583">
        <v>5771</v>
      </c>
      <c r="Q211" s="583">
        <v>13121</v>
      </c>
      <c r="R211" s="583">
        <v>216155</v>
      </c>
      <c r="S211" s="583">
        <v>115575</v>
      </c>
      <c r="T211" s="583">
        <v>331730</v>
      </c>
      <c r="U211" s="583">
        <v>3812</v>
      </c>
      <c r="V211" s="583">
        <v>2916</v>
      </c>
      <c r="W211" s="583">
        <v>6728</v>
      </c>
      <c r="X211" s="583">
        <v>46821</v>
      </c>
      <c r="Y211" s="583">
        <v>27619</v>
      </c>
      <c r="Z211" s="583">
        <v>74440</v>
      </c>
      <c r="AA211" s="583">
        <v>3569137</v>
      </c>
      <c r="AB211" s="583">
        <v>3416640</v>
      </c>
      <c r="AC211" s="583">
        <v>6985778</v>
      </c>
    </row>
    <row r="212" spans="1:29" x14ac:dyDescent="0.35">
      <c r="A212" s="655"/>
      <c r="B212" s="509" t="s">
        <v>958</v>
      </c>
      <c r="C212" s="583">
        <v>11988</v>
      </c>
      <c r="D212" s="583">
        <v>9725</v>
      </c>
      <c r="E212" s="583">
        <v>21713</v>
      </c>
      <c r="F212" s="583">
        <v>15</v>
      </c>
      <c r="G212" s="583">
        <v>62</v>
      </c>
      <c r="H212" s="583">
        <v>77</v>
      </c>
      <c r="I212" s="583">
        <v>291433</v>
      </c>
      <c r="J212" s="583">
        <v>365367</v>
      </c>
      <c r="K212" s="583">
        <v>656800</v>
      </c>
      <c r="L212" s="583">
        <v>2946324</v>
      </c>
      <c r="M212" s="583">
        <v>2706236</v>
      </c>
      <c r="N212" s="583">
        <v>5652560</v>
      </c>
      <c r="O212" s="583">
        <v>6306</v>
      </c>
      <c r="P212" s="583">
        <v>4344</v>
      </c>
      <c r="Q212" s="583">
        <v>10650</v>
      </c>
      <c r="R212" s="583">
        <v>214537</v>
      </c>
      <c r="S212" s="583">
        <v>101703</v>
      </c>
      <c r="T212" s="583">
        <v>316240</v>
      </c>
      <c r="U212" s="583">
        <v>3177</v>
      </c>
      <c r="V212" s="583">
        <v>2646</v>
      </c>
      <c r="W212" s="583">
        <v>5823</v>
      </c>
      <c r="X212" s="583">
        <v>36630</v>
      </c>
      <c r="Y212" s="583">
        <v>21270</v>
      </c>
      <c r="Z212" s="583">
        <v>57900</v>
      </c>
      <c r="AA212" s="583">
        <v>3510410</v>
      </c>
      <c r="AB212" s="583">
        <v>3211353</v>
      </c>
      <c r="AC212" s="583">
        <v>6721763</v>
      </c>
    </row>
    <row r="213" spans="1:29" x14ac:dyDescent="0.35">
      <c r="A213" s="655"/>
      <c r="B213" s="509" t="s">
        <v>957</v>
      </c>
      <c r="C213" s="583">
        <v>11560</v>
      </c>
      <c r="D213" s="583">
        <v>8246</v>
      </c>
      <c r="E213" s="583">
        <v>19806</v>
      </c>
      <c r="F213" s="583">
        <v>234</v>
      </c>
      <c r="G213" s="583">
        <v>381</v>
      </c>
      <c r="H213" s="583">
        <v>615</v>
      </c>
      <c r="I213" s="583">
        <v>250456</v>
      </c>
      <c r="J213" s="583">
        <v>332791</v>
      </c>
      <c r="K213" s="583">
        <v>583247</v>
      </c>
      <c r="L213" s="583">
        <v>2781718</v>
      </c>
      <c r="M213" s="583">
        <v>2708037</v>
      </c>
      <c r="N213" s="583">
        <v>5489755</v>
      </c>
      <c r="O213" s="583">
        <v>7063</v>
      </c>
      <c r="P213" s="583">
        <v>5107</v>
      </c>
      <c r="Q213" s="583">
        <v>12170</v>
      </c>
      <c r="R213" s="583">
        <v>213233</v>
      </c>
      <c r="S213" s="583">
        <v>110525</v>
      </c>
      <c r="T213" s="583">
        <v>323758</v>
      </c>
      <c r="U213" s="583">
        <v>7153</v>
      </c>
      <c r="V213" s="583">
        <v>8143</v>
      </c>
      <c r="W213" s="583">
        <v>15296</v>
      </c>
      <c r="X213" s="583">
        <v>32566</v>
      </c>
      <c r="Y213" s="583">
        <v>19340</v>
      </c>
      <c r="Z213" s="583">
        <v>51906</v>
      </c>
      <c r="AA213" s="583">
        <v>3303983</v>
      </c>
      <c r="AB213" s="583">
        <v>3192570</v>
      </c>
      <c r="AC213" s="583">
        <v>6496553</v>
      </c>
    </row>
    <row r="214" spans="1:29" x14ac:dyDescent="0.35">
      <c r="A214" s="655"/>
      <c r="B214" s="509" t="s">
        <v>956</v>
      </c>
      <c r="C214" s="583">
        <v>13693</v>
      </c>
      <c r="D214" s="583">
        <v>10071</v>
      </c>
      <c r="E214" s="583">
        <v>23764</v>
      </c>
      <c r="F214" s="583">
        <v>217</v>
      </c>
      <c r="G214" s="583">
        <v>320</v>
      </c>
      <c r="H214" s="583">
        <v>537</v>
      </c>
      <c r="I214" s="583">
        <v>214150</v>
      </c>
      <c r="J214" s="583">
        <v>311564</v>
      </c>
      <c r="K214" s="583">
        <v>525714</v>
      </c>
      <c r="L214" s="583">
        <v>2594537</v>
      </c>
      <c r="M214" s="583">
        <v>2742207</v>
      </c>
      <c r="N214" s="583">
        <v>5336744</v>
      </c>
      <c r="O214" s="583">
        <v>7380</v>
      </c>
      <c r="P214" s="583">
        <v>5898</v>
      </c>
      <c r="Q214" s="583">
        <v>13278</v>
      </c>
      <c r="R214" s="583">
        <v>196971</v>
      </c>
      <c r="S214" s="583">
        <v>101043</v>
      </c>
      <c r="T214" s="583">
        <v>298014</v>
      </c>
      <c r="U214" s="583">
        <v>9178</v>
      </c>
      <c r="V214" s="583">
        <v>12891</v>
      </c>
      <c r="W214" s="583">
        <v>22069</v>
      </c>
      <c r="X214" s="583">
        <v>26504</v>
      </c>
      <c r="Y214" s="583">
        <v>15133</v>
      </c>
      <c r="Z214" s="583">
        <v>41637</v>
      </c>
      <c r="AA214" s="583">
        <v>3062630</v>
      </c>
      <c r="AB214" s="583">
        <v>3199127</v>
      </c>
      <c r="AC214" s="583">
        <v>6261757</v>
      </c>
    </row>
    <row r="215" spans="1:29" ht="14.5" x14ac:dyDescent="0.35">
      <c r="A215" s="655">
        <v>35</v>
      </c>
      <c r="B215" s="943" t="s">
        <v>44</v>
      </c>
      <c r="C215" s="928"/>
      <c r="D215" s="928"/>
      <c r="E215" s="928"/>
      <c r="F215" s="928"/>
      <c r="G215" s="928"/>
      <c r="H215" s="928"/>
      <c r="I215" s="928"/>
      <c r="J215" s="928"/>
      <c r="K215" s="928"/>
      <c r="L215" s="928"/>
      <c r="M215" s="928"/>
      <c r="N215" s="928"/>
      <c r="O215" s="928"/>
      <c r="P215" s="928"/>
      <c r="Q215" s="928"/>
      <c r="R215" s="928"/>
      <c r="S215" s="928"/>
      <c r="T215" s="928"/>
      <c r="U215" s="928"/>
      <c r="V215" s="928"/>
      <c r="W215" s="928"/>
      <c r="X215" s="928"/>
      <c r="Y215" s="928"/>
      <c r="Z215" s="928"/>
      <c r="AA215" s="928"/>
      <c r="AB215" s="928"/>
      <c r="AC215" s="928"/>
    </row>
    <row r="216" spans="1:29" x14ac:dyDescent="0.35">
      <c r="A216" s="655"/>
      <c r="B216" s="508" t="s">
        <v>960</v>
      </c>
      <c r="C216" s="582">
        <v>4897</v>
      </c>
      <c r="D216" s="582">
        <v>4248</v>
      </c>
      <c r="E216" s="582">
        <v>9145</v>
      </c>
      <c r="F216" s="582"/>
      <c r="G216" s="582"/>
      <c r="H216" s="582"/>
      <c r="I216" s="582">
        <v>29504</v>
      </c>
      <c r="J216" s="582">
        <v>38071</v>
      </c>
      <c r="K216" s="582">
        <v>67575</v>
      </c>
      <c r="L216" s="582">
        <v>194226</v>
      </c>
      <c r="M216" s="582">
        <v>205027</v>
      </c>
      <c r="N216" s="582">
        <v>399254</v>
      </c>
      <c r="O216" s="582">
        <v>206</v>
      </c>
      <c r="P216" s="582">
        <v>254</v>
      </c>
      <c r="Q216" s="582">
        <v>460</v>
      </c>
      <c r="R216" s="582">
        <v>21768</v>
      </c>
      <c r="S216" s="582">
        <v>8117</v>
      </c>
      <c r="T216" s="582">
        <v>29885</v>
      </c>
      <c r="U216" s="582">
        <v>270</v>
      </c>
      <c r="V216" s="582">
        <v>111</v>
      </c>
      <c r="W216" s="582">
        <v>381</v>
      </c>
      <c r="X216" s="582">
        <v>3851</v>
      </c>
      <c r="Y216" s="582">
        <v>2670</v>
      </c>
      <c r="Z216" s="582">
        <v>6521</v>
      </c>
      <c r="AA216" s="582">
        <v>254723</v>
      </c>
      <c r="AB216" s="582">
        <v>258498</v>
      </c>
      <c r="AC216" s="582">
        <v>513221</v>
      </c>
    </row>
    <row r="217" spans="1:29" x14ac:dyDescent="0.35">
      <c r="A217" s="655"/>
      <c r="B217" s="509" t="s">
        <v>959</v>
      </c>
      <c r="C217" s="583">
        <v>4367</v>
      </c>
      <c r="D217" s="583">
        <v>2919</v>
      </c>
      <c r="E217" s="583">
        <v>7286</v>
      </c>
      <c r="F217" s="583"/>
      <c r="G217" s="583"/>
      <c r="H217" s="583"/>
      <c r="I217" s="583">
        <v>28066</v>
      </c>
      <c r="J217" s="583">
        <v>36546</v>
      </c>
      <c r="K217" s="583">
        <v>64612</v>
      </c>
      <c r="L217" s="583">
        <v>182145</v>
      </c>
      <c r="M217" s="583">
        <v>183845</v>
      </c>
      <c r="N217" s="583">
        <v>365990</v>
      </c>
      <c r="O217" s="583">
        <v>236</v>
      </c>
      <c r="P217" s="583">
        <v>247</v>
      </c>
      <c r="Q217" s="583">
        <v>483</v>
      </c>
      <c r="R217" s="583">
        <v>20165</v>
      </c>
      <c r="S217" s="583">
        <v>7668</v>
      </c>
      <c r="T217" s="583">
        <v>27833</v>
      </c>
      <c r="U217" s="583">
        <v>238</v>
      </c>
      <c r="V217" s="583">
        <v>98</v>
      </c>
      <c r="W217" s="583">
        <v>336</v>
      </c>
      <c r="X217" s="583">
        <v>3465</v>
      </c>
      <c r="Y217" s="583">
        <v>2308</v>
      </c>
      <c r="Z217" s="583">
        <v>5773</v>
      </c>
      <c r="AA217" s="583">
        <v>238683</v>
      </c>
      <c r="AB217" s="583">
        <v>233630</v>
      </c>
      <c r="AC217" s="583">
        <v>472313</v>
      </c>
    </row>
    <row r="218" spans="1:29" x14ac:dyDescent="0.35">
      <c r="A218" s="655"/>
      <c r="B218" s="509" t="s">
        <v>958</v>
      </c>
      <c r="C218" s="583">
        <v>2573</v>
      </c>
      <c r="D218" s="583">
        <v>1900</v>
      </c>
      <c r="E218" s="583">
        <v>4473</v>
      </c>
      <c r="F218" s="583">
        <v>5</v>
      </c>
      <c r="G218" s="583"/>
      <c r="H218" s="583">
        <v>5</v>
      </c>
      <c r="I218" s="583">
        <v>28525</v>
      </c>
      <c r="J218" s="583">
        <v>35467</v>
      </c>
      <c r="K218" s="583">
        <v>63992</v>
      </c>
      <c r="L218" s="583">
        <v>181244</v>
      </c>
      <c r="M218" s="583">
        <v>184318</v>
      </c>
      <c r="N218" s="583">
        <v>365562</v>
      </c>
      <c r="O218" s="583">
        <v>274</v>
      </c>
      <c r="P218" s="583">
        <v>258</v>
      </c>
      <c r="Q218" s="583">
        <v>532</v>
      </c>
      <c r="R218" s="583">
        <v>20043</v>
      </c>
      <c r="S218" s="583">
        <v>7382</v>
      </c>
      <c r="T218" s="583">
        <v>27425</v>
      </c>
      <c r="U218" s="583">
        <v>216</v>
      </c>
      <c r="V218" s="583">
        <v>64</v>
      </c>
      <c r="W218" s="583">
        <v>280</v>
      </c>
      <c r="X218" s="583">
        <v>3555</v>
      </c>
      <c r="Y218" s="583">
        <v>2390</v>
      </c>
      <c r="Z218" s="583">
        <v>5945</v>
      </c>
      <c r="AA218" s="583">
        <v>236435</v>
      </c>
      <c r="AB218" s="583">
        <v>231779</v>
      </c>
      <c r="AC218" s="583">
        <v>468214</v>
      </c>
    </row>
    <row r="219" spans="1:29" x14ac:dyDescent="0.35">
      <c r="A219" s="655"/>
      <c r="B219" s="509" t="s">
        <v>957</v>
      </c>
      <c r="C219" s="583">
        <v>4099</v>
      </c>
      <c r="D219" s="583">
        <v>2533</v>
      </c>
      <c r="E219" s="583">
        <v>6632</v>
      </c>
      <c r="F219" s="583">
        <v>4</v>
      </c>
      <c r="G219" s="583">
        <v>1</v>
      </c>
      <c r="H219" s="583">
        <v>5</v>
      </c>
      <c r="I219" s="583">
        <v>31382</v>
      </c>
      <c r="J219" s="583">
        <v>40142</v>
      </c>
      <c r="K219" s="583">
        <v>71524</v>
      </c>
      <c r="L219" s="583">
        <v>194631</v>
      </c>
      <c r="M219" s="583">
        <v>207892</v>
      </c>
      <c r="N219" s="583">
        <v>402523</v>
      </c>
      <c r="O219" s="583">
        <v>772</v>
      </c>
      <c r="P219" s="583">
        <v>917</v>
      </c>
      <c r="Q219" s="583">
        <v>1689</v>
      </c>
      <c r="R219" s="583">
        <v>20453</v>
      </c>
      <c r="S219" s="583">
        <v>7620</v>
      </c>
      <c r="T219" s="583">
        <v>28073</v>
      </c>
      <c r="U219" s="583">
        <v>303</v>
      </c>
      <c r="V219" s="583">
        <v>75</v>
      </c>
      <c r="W219" s="583">
        <v>378</v>
      </c>
      <c r="X219" s="583">
        <v>3951</v>
      </c>
      <c r="Y219" s="583">
        <v>2549</v>
      </c>
      <c r="Z219" s="583">
        <v>6500</v>
      </c>
      <c r="AA219" s="583">
        <v>255595</v>
      </c>
      <c r="AB219" s="583">
        <v>261729</v>
      </c>
      <c r="AC219" s="583">
        <v>517324</v>
      </c>
    </row>
    <row r="220" spans="1:29" x14ac:dyDescent="0.35">
      <c r="A220" s="655"/>
      <c r="B220" s="509" t="s">
        <v>956</v>
      </c>
      <c r="C220" s="584">
        <v>3449</v>
      </c>
      <c r="D220" s="584">
        <v>2019</v>
      </c>
      <c r="E220" s="584">
        <v>5468</v>
      </c>
      <c r="F220" s="584">
        <v>21</v>
      </c>
      <c r="G220" s="584">
        <v>13</v>
      </c>
      <c r="H220" s="584">
        <v>34</v>
      </c>
      <c r="I220" s="584">
        <v>22980</v>
      </c>
      <c r="J220" s="584">
        <v>30380</v>
      </c>
      <c r="K220" s="584">
        <v>53360</v>
      </c>
      <c r="L220" s="584">
        <v>157586</v>
      </c>
      <c r="M220" s="584">
        <v>158781</v>
      </c>
      <c r="N220" s="584">
        <v>316367</v>
      </c>
      <c r="O220" s="584">
        <v>734</v>
      </c>
      <c r="P220" s="584">
        <v>842</v>
      </c>
      <c r="Q220" s="584">
        <v>1576</v>
      </c>
      <c r="R220" s="584">
        <v>21397</v>
      </c>
      <c r="S220" s="584">
        <v>7576</v>
      </c>
      <c r="T220" s="584">
        <v>28973</v>
      </c>
      <c r="U220" s="584">
        <v>292</v>
      </c>
      <c r="V220" s="584">
        <v>55</v>
      </c>
      <c r="W220" s="584">
        <v>347</v>
      </c>
      <c r="X220" s="584">
        <v>3366</v>
      </c>
      <c r="Y220" s="584">
        <v>2286</v>
      </c>
      <c r="Z220" s="584">
        <v>5652</v>
      </c>
      <c r="AA220" s="584">
        <v>209825</v>
      </c>
      <c r="AB220" s="584">
        <v>201952</v>
      </c>
      <c r="AC220" s="584">
        <v>411777</v>
      </c>
    </row>
    <row r="221" spans="1:29" ht="14.5" x14ac:dyDescent="0.35">
      <c r="A221" s="655">
        <v>36</v>
      </c>
      <c r="B221" s="943" t="s">
        <v>45</v>
      </c>
      <c r="C221" s="928"/>
      <c r="D221" s="928"/>
      <c r="E221" s="928"/>
      <c r="F221" s="928"/>
      <c r="G221" s="928"/>
      <c r="H221" s="928"/>
      <c r="I221" s="928"/>
      <c r="J221" s="928"/>
      <c r="K221" s="928"/>
      <c r="L221" s="928"/>
      <c r="M221" s="928"/>
      <c r="N221" s="928"/>
      <c r="O221" s="928"/>
      <c r="P221" s="928"/>
      <c r="Q221" s="928"/>
      <c r="R221" s="928"/>
      <c r="S221" s="928"/>
      <c r="T221" s="928"/>
      <c r="U221" s="928"/>
      <c r="V221" s="928"/>
      <c r="W221" s="928"/>
      <c r="X221" s="928"/>
      <c r="Y221" s="928"/>
      <c r="Z221" s="928"/>
      <c r="AA221" s="928"/>
      <c r="AB221" s="928"/>
      <c r="AC221" s="928"/>
    </row>
    <row r="222" spans="1:29" x14ac:dyDescent="0.35">
      <c r="A222" s="655"/>
      <c r="B222" s="508" t="s">
        <v>960</v>
      </c>
      <c r="C222" s="582">
        <v>10214</v>
      </c>
      <c r="D222" s="582">
        <v>6765</v>
      </c>
      <c r="E222" s="582">
        <v>16979</v>
      </c>
      <c r="F222" s="582">
        <v>77</v>
      </c>
      <c r="G222" s="582">
        <v>53</v>
      </c>
      <c r="H222" s="582">
        <v>130</v>
      </c>
      <c r="I222" s="582">
        <v>53932</v>
      </c>
      <c r="J222" s="582">
        <v>67711</v>
      </c>
      <c r="K222" s="582">
        <v>121644</v>
      </c>
      <c r="L222" s="582">
        <v>807496</v>
      </c>
      <c r="M222" s="582">
        <v>909620</v>
      </c>
      <c r="N222" s="582">
        <v>1717115</v>
      </c>
      <c r="O222" s="582">
        <v>1950</v>
      </c>
      <c r="P222" s="582">
        <v>1034</v>
      </c>
      <c r="Q222" s="582">
        <v>2984</v>
      </c>
      <c r="R222" s="582">
        <v>119383</v>
      </c>
      <c r="S222" s="582">
        <v>80166</v>
      </c>
      <c r="T222" s="582">
        <v>199549</v>
      </c>
      <c r="U222" s="582">
        <v>2345</v>
      </c>
      <c r="V222" s="582">
        <v>2989</v>
      </c>
      <c r="W222" s="582">
        <v>5334</v>
      </c>
      <c r="X222" s="582">
        <v>9945</v>
      </c>
      <c r="Y222" s="582">
        <v>7122</v>
      </c>
      <c r="Z222" s="582">
        <v>17067</v>
      </c>
      <c r="AA222" s="582">
        <v>1005342</v>
      </c>
      <c r="AB222" s="582">
        <v>1075460</v>
      </c>
      <c r="AC222" s="582">
        <v>2080802</v>
      </c>
    </row>
    <row r="223" spans="1:29" x14ac:dyDescent="0.35">
      <c r="A223" s="655"/>
      <c r="B223" s="509" t="s">
        <v>959</v>
      </c>
      <c r="C223" s="583">
        <v>7931</v>
      </c>
      <c r="D223" s="583">
        <v>4640</v>
      </c>
      <c r="E223" s="583">
        <v>12571</v>
      </c>
      <c r="F223" s="583">
        <v>313</v>
      </c>
      <c r="G223" s="583">
        <v>262</v>
      </c>
      <c r="H223" s="583">
        <v>575</v>
      </c>
      <c r="I223" s="583">
        <v>55996</v>
      </c>
      <c r="J223" s="583">
        <v>69726</v>
      </c>
      <c r="K223" s="583">
        <v>125722</v>
      </c>
      <c r="L223" s="583">
        <v>852464</v>
      </c>
      <c r="M223" s="583">
        <v>916819</v>
      </c>
      <c r="N223" s="583">
        <v>1769283</v>
      </c>
      <c r="O223" s="583">
        <v>2122</v>
      </c>
      <c r="P223" s="583">
        <v>1118</v>
      </c>
      <c r="Q223" s="583">
        <v>3240</v>
      </c>
      <c r="R223" s="583">
        <v>116921</v>
      </c>
      <c r="S223" s="583">
        <v>77440</v>
      </c>
      <c r="T223" s="583">
        <v>194361</v>
      </c>
      <c r="U223" s="583">
        <v>3661</v>
      </c>
      <c r="V223" s="583">
        <v>4578</v>
      </c>
      <c r="W223" s="583">
        <v>8239</v>
      </c>
      <c r="X223" s="583">
        <v>9922</v>
      </c>
      <c r="Y223" s="583">
        <v>6880</v>
      </c>
      <c r="Z223" s="583">
        <v>16802</v>
      </c>
      <c r="AA223" s="583">
        <v>1049331</v>
      </c>
      <c r="AB223" s="583">
        <v>1081463</v>
      </c>
      <c r="AC223" s="583">
        <v>2130794</v>
      </c>
    </row>
    <row r="224" spans="1:29" x14ac:dyDescent="0.35">
      <c r="A224" s="655"/>
      <c r="B224" s="509" t="s">
        <v>958</v>
      </c>
      <c r="C224" s="583">
        <v>8683</v>
      </c>
      <c r="D224" s="583">
        <v>5103</v>
      </c>
      <c r="E224" s="583">
        <v>13786</v>
      </c>
      <c r="F224" s="583">
        <v>688</v>
      </c>
      <c r="G224" s="583">
        <v>614</v>
      </c>
      <c r="H224" s="583">
        <v>1302</v>
      </c>
      <c r="I224" s="583">
        <v>53497</v>
      </c>
      <c r="J224" s="583">
        <v>65622</v>
      </c>
      <c r="K224" s="583">
        <v>119119</v>
      </c>
      <c r="L224" s="583">
        <v>857467</v>
      </c>
      <c r="M224" s="583">
        <v>925737</v>
      </c>
      <c r="N224" s="583">
        <v>1783204</v>
      </c>
      <c r="O224" s="583">
        <v>2236</v>
      </c>
      <c r="P224" s="583">
        <v>1199</v>
      </c>
      <c r="Q224" s="583">
        <v>3435</v>
      </c>
      <c r="R224" s="583">
        <v>116975</v>
      </c>
      <c r="S224" s="583">
        <v>71656</v>
      </c>
      <c r="T224" s="583">
        <v>188631</v>
      </c>
      <c r="U224" s="583">
        <v>2112</v>
      </c>
      <c r="V224" s="583">
        <v>1470</v>
      </c>
      <c r="W224" s="583">
        <v>3582</v>
      </c>
      <c r="X224" s="583">
        <v>9590</v>
      </c>
      <c r="Y224" s="583">
        <v>6626</v>
      </c>
      <c r="Z224" s="583">
        <v>16216</v>
      </c>
      <c r="AA224" s="583">
        <v>1051248</v>
      </c>
      <c r="AB224" s="583">
        <v>1078027</v>
      </c>
      <c r="AC224" s="583">
        <v>2129275</v>
      </c>
    </row>
    <row r="225" spans="1:29" x14ac:dyDescent="0.35">
      <c r="A225" s="655"/>
      <c r="B225" s="509" t="s">
        <v>957</v>
      </c>
      <c r="C225" s="583">
        <v>8757</v>
      </c>
      <c r="D225" s="583">
        <v>5173</v>
      </c>
      <c r="E225" s="583">
        <v>13930</v>
      </c>
      <c r="F225" s="583">
        <v>1003</v>
      </c>
      <c r="G225" s="583">
        <v>963</v>
      </c>
      <c r="H225" s="583">
        <v>1966</v>
      </c>
      <c r="I225" s="583">
        <v>54306</v>
      </c>
      <c r="J225" s="583">
        <v>58050</v>
      </c>
      <c r="K225" s="583">
        <v>112356</v>
      </c>
      <c r="L225" s="583">
        <v>796648</v>
      </c>
      <c r="M225" s="583">
        <v>880729</v>
      </c>
      <c r="N225" s="583">
        <v>1677377</v>
      </c>
      <c r="O225" s="583">
        <v>2461</v>
      </c>
      <c r="P225" s="583">
        <v>1487</v>
      </c>
      <c r="Q225" s="583">
        <v>3948</v>
      </c>
      <c r="R225" s="583">
        <v>116546</v>
      </c>
      <c r="S225" s="583">
        <v>73976</v>
      </c>
      <c r="T225" s="583">
        <v>190522</v>
      </c>
      <c r="U225" s="583">
        <v>2050</v>
      </c>
      <c r="V225" s="583">
        <v>2631</v>
      </c>
      <c r="W225" s="583">
        <v>4681</v>
      </c>
      <c r="X225" s="583">
        <v>9939</v>
      </c>
      <c r="Y225" s="583">
        <v>5418</v>
      </c>
      <c r="Z225" s="583">
        <v>15357</v>
      </c>
      <c r="AA225" s="583">
        <v>991710</v>
      </c>
      <c r="AB225" s="583">
        <v>1028427</v>
      </c>
      <c r="AC225" s="583">
        <v>2020137</v>
      </c>
    </row>
    <row r="226" spans="1:29" x14ac:dyDescent="0.35">
      <c r="A226" s="655"/>
      <c r="B226" s="509" t="s">
        <v>956</v>
      </c>
      <c r="C226" s="584">
        <v>8063</v>
      </c>
      <c r="D226" s="584">
        <v>4773</v>
      </c>
      <c r="E226" s="584">
        <v>12836</v>
      </c>
      <c r="F226" s="584">
        <v>1195</v>
      </c>
      <c r="G226" s="584">
        <v>983</v>
      </c>
      <c r="H226" s="584">
        <v>2178</v>
      </c>
      <c r="I226" s="584">
        <v>43523</v>
      </c>
      <c r="J226" s="584">
        <v>48248</v>
      </c>
      <c r="K226" s="584">
        <v>91771</v>
      </c>
      <c r="L226" s="584">
        <v>792565</v>
      </c>
      <c r="M226" s="584">
        <v>875822</v>
      </c>
      <c r="N226" s="584">
        <v>1668387</v>
      </c>
      <c r="O226" s="584">
        <v>2697</v>
      </c>
      <c r="P226" s="584">
        <v>1508</v>
      </c>
      <c r="Q226" s="584">
        <v>4205</v>
      </c>
      <c r="R226" s="584">
        <v>114411</v>
      </c>
      <c r="S226" s="584">
        <v>58012</v>
      </c>
      <c r="T226" s="584">
        <v>172423</v>
      </c>
      <c r="U226" s="584">
        <v>3583</v>
      </c>
      <c r="V226" s="584">
        <v>3223</v>
      </c>
      <c r="W226" s="584">
        <v>6806</v>
      </c>
      <c r="X226" s="584">
        <v>9336</v>
      </c>
      <c r="Y226" s="584">
        <v>5595</v>
      </c>
      <c r="Z226" s="584">
        <v>14931</v>
      </c>
      <c r="AA226" s="584">
        <v>975373</v>
      </c>
      <c r="AB226" s="584">
        <v>998164</v>
      </c>
      <c r="AC226" s="584">
        <v>1973537</v>
      </c>
    </row>
  </sheetData>
  <mergeCells count="88"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A47:A52"/>
    <mergeCell ref="R2:T2"/>
    <mergeCell ref="U2:W2"/>
    <mergeCell ref="X2:Z2"/>
    <mergeCell ref="AA2:AC2"/>
    <mergeCell ref="A5:A10"/>
    <mergeCell ref="A11:A16"/>
    <mergeCell ref="A17:A22"/>
    <mergeCell ref="A23:A28"/>
    <mergeCell ref="A29:A34"/>
    <mergeCell ref="A35:A40"/>
    <mergeCell ref="A41:A46"/>
    <mergeCell ref="B5:AC5"/>
    <mergeCell ref="B11:AC11"/>
    <mergeCell ref="B17:AC17"/>
    <mergeCell ref="B23:AC23"/>
    <mergeCell ref="A119:A124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07:A112"/>
    <mergeCell ref="A113:A118"/>
    <mergeCell ref="A191:A196"/>
    <mergeCell ref="A125:A130"/>
    <mergeCell ref="A131:A136"/>
    <mergeCell ref="A137:A142"/>
    <mergeCell ref="A143:A148"/>
    <mergeCell ref="A149:A154"/>
    <mergeCell ref="A155:A160"/>
    <mergeCell ref="A161:A166"/>
    <mergeCell ref="A167:A172"/>
    <mergeCell ref="A173:A178"/>
    <mergeCell ref="A179:A184"/>
    <mergeCell ref="A185:A190"/>
    <mergeCell ref="A197:A202"/>
    <mergeCell ref="A203:A208"/>
    <mergeCell ref="A209:A214"/>
    <mergeCell ref="A215:A220"/>
    <mergeCell ref="A221:A226"/>
    <mergeCell ref="B29:AC29"/>
    <mergeCell ref="B35:AC35"/>
    <mergeCell ref="B41:AC41"/>
    <mergeCell ref="B47:AC47"/>
    <mergeCell ref="B53:AC53"/>
    <mergeCell ref="B59:AC59"/>
    <mergeCell ref="B65:AC65"/>
    <mergeCell ref="B71:AC71"/>
    <mergeCell ref="B77:AC77"/>
    <mergeCell ref="B83:AC83"/>
    <mergeCell ref="B89:AC89"/>
    <mergeCell ref="B95:AC95"/>
    <mergeCell ref="B101:AC101"/>
    <mergeCell ref="B107:AC107"/>
    <mergeCell ref="B113:AC113"/>
    <mergeCell ref="B119:AC119"/>
    <mergeCell ref="B125:AC125"/>
    <mergeCell ref="B131:AC131"/>
    <mergeCell ref="B137:AC137"/>
    <mergeCell ref="B143:AC143"/>
    <mergeCell ref="B149:AC149"/>
    <mergeCell ref="B155:AC155"/>
    <mergeCell ref="B161:AC161"/>
    <mergeCell ref="B167:AC167"/>
    <mergeCell ref="B173:AC173"/>
    <mergeCell ref="B209:AC209"/>
    <mergeCell ref="B215:AC215"/>
    <mergeCell ref="B221:AC221"/>
    <mergeCell ref="B179:AC179"/>
    <mergeCell ref="B185:AC185"/>
    <mergeCell ref="B191:AC191"/>
    <mergeCell ref="B197:AC197"/>
    <mergeCell ref="B203:AC203"/>
  </mergeCells>
  <pageMargins left="0.39370078740157483" right="0.15748031496062992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2023-24&amp;RT-44</oddFooter>
  </headerFooter>
  <rowBreaks count="3" manualBreakCount="3">
    <brk id="70" max="28" man="1"/>
    <brk id="136" max="28" man="1"/>
    <brk id="202" max="28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5244-F0CA-4AE6-AFC6-675853FE49DA}">
  <dimension ref="A1:N226"/>
  <sheetViews>
    <sheetView view="pageBreakPreview" zoomScale="20" zoomScaleSheetLayoutView="20" workbookViewId="0">
      <pane xSplit="2" ySplit="4" topLeftCell="C5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1796875" defaultRowHeight="14" x14ac:dyDescent="0.35"/>
  <cols>
    <col min="1" max="1" width="4.453125" style="510" bestFit="1" customWidth="1"/>
    <col min="2" max="2" width="35.54296875" style="510" customWidth="1"/>
    <col min="3" max="8" width="14" style="510" customWidth="1"/>
    <col min="9" max="14" width="14.26953125" style="510" customWidth="1"/>
    <col min="15" max="16384" width="9.1796875" style="510"/>
  </cols>
  <sheetData>
    <row r="1" spans="1:14" ht="23.25" customHeight="1" x14ac:dyDescent="0.35">
      <c r="B1" s="515"/>
      <c r="C1" s="949" t="s">
        <v>1023</v>
      </c>
      <c r="D1" s="949"/>
      <c r="E1" s="949"/>
      <c r="F1" s="949"/>
      <c r="G1" s="949"/>
      <c r="H1" s="949"/>
      <c r="I1" s="948" t="str">
        <f>C1</f>
        <v>Table 45. Social Group-Wise Enrollment Trends Over the Last 5 Years</v>
      </c>
      <c r="J1" s="948"/>
      <c r="K1" s="948"/>
      <c r="L1" s="948"/>
      <c r="M1" s="948"/>
      <c r="N1" s="948"/>
    </row>
    <row r="2" spans="1:14" ht="18.75" customHeight="1" x14ac:dyDescent="0.35">
      <c r="A2" s="656" t="s">
        <v>84</v>
      </c>
      <c r="B2" s="946" t="s">
        <v>1</v>
      </c>
      <c r="C2" s="945" t="s">
        <v>394</v>
      </c>
      <c r="D2" s="946"/>
      <c r="E2" s="946"/>
      <c r="F2" s="945" t="s">
        <v>968</v>
      </c>
      <c r="G2" s="946"/>
      <c r="H2" s="946"/>
      <c r="I2" s="945" t="s">
        <v>396</v>
      </c>
      <c r="J2" s="946"/>
      <c r="K2" s="946"/>
      <c r="L2" s="945" t="s">
        <v>397</v>
      </c>
      <c r="M2" s="946"/>
      <c r="N2" s="946"/>
    </row>
    <row r="3" spans="1:14" ht="18.75" customHeight="1" x14ac:dyDescent="0.35">
      <c r="A3" s="656"/>
      <c r="B3" s="946"/>
      <c r="C3" s="503" t="s">
        <v>103</v>
      </c>
      <c r="D3" s="503" t="s">
        <v>104</v>
      </c>
      <c r="E3" s="503" t="s">
        <v>965</v>
      </c>
      <c r="F3" s="503" t="s">
        <v>103</v>
      </c>
      <c r="G3" s="503" t="s">
        <v>104</v>
      </c>
      <c r="H3" s="503" t="s">
        <v>965</v>
      </c>
      <c r="I3" s="503" t="s">
        <v>103</v>
      </c>
      <c r="J3" s="503" t="s">
        <v>104</v>
      </c>
      <c r="K3" s="503" t="s">
        <v>965</v>
      </c>
      <c r="L3" s="503" t="s">
        <v>103</v>
      </c>
      <c r="M3" s="503" t="s">
        <v>104</v>
      </c>
      <c r="N3" s="503" t="s">
        <v>965</v>
      </c>
    </row>
    <row r="4" spans="1:14" x14ac:dyDescent="0.35">
      <c r="A4" s="505">
        <v>1</v>
      </c>
      <c r="B4" s="506">
        <v>2</v>
      </c>
      <c r="C4" s="505">
        <v>3</v>
      </c>
      <c r="D4" s="506">
        <v>4</v>
      </c>
      <c r="E4" s="505">
        <v>5</v>
      </c>
      <c r="F4" s="506">
        <v>6</v>
      </c>
      <c r="G4" s="505">
        <v>7</v>
      </c>
      <c r="H4" s="506">
        <v>8</v>
      </c>
      <c r="I4" s="505">
        <v>9</v>
      </c>
      <c r="J4" s="506">
        <v>10</v>
      </c>
      <c r="K4" s="505">
        <v>11</v>
      </c>
      <c r="L4" s="506">
        <v>12</v>
      </c>
      <c r="M4" s="505">
        <v>13</v>
      </c>
      <c r="N4" s="506">
        <v>14</v>
      </c>
    </row>
    <row r="5" spans="1:14" x14ac:dyDescent="0.35">
      <c r="A5" s="655"/>
      <c r="B5" s="943" t="s">
        <v>46</v>
      </c>
      <c r="C5" s="943"/>
      <c r="D5" s="943"/>
      <c r="E5" s="943"/>
      <c r="F5" s="943"/>
      <c r="G5" s="943"/>
      <c r="H5" s="943"/>
      <c r="I5" s="943"/>
      <c r="J5" s="943"/>
      <c r="K5" s="943"/>
      <c r="L5" s="943"/>
      <c r="M5" s="943"/>
      <c r="N5" s="943"/>
    </row>
    <row r="6" spans="1:14" x14ac:dyDescent="0.35">
      <c r="A6" s="655"/>
      <c r="B6" s="508" t="s">
        <v>960</v>
      </c>
      <c r="C6" s="610">
        <v>22648174.618248142</v>
      </c>
      <c r="D6" s="610">
        <v>22352947.936657608</v>
      </c>
      <c r="E6" s="610">
        <v>45001122.55490575</v>
      </c>
      <c r="F6" s="610">
        <v>3463623.0855312184</v>
      </c>
      <c r="G6" s="610">
        <v>3508765.8186268969</v>
      </c>
      <c r="H6" s="610">
        <v>6972388.9041581154</v>
      </c>
      <c r="I6" s="610">
        <v>1375505.9403115483</v>
      </c>
      <c r="J6" s="610">
        <v>1507711.9700864684</v>
      </c>
      <c r="K6" s="610">
        <v>2883217.9103980167</v>
      </c>
      <c r="L6" s="610">
        <v>9029670.2914443016</v>
      </c>
      <c r="M6" s="610">
        <v>9004990.5327353813</v>
      </c>
      <c r="N6" s="610">
        <v>18034660.824179683</v>
      </c>
    </row>
    <row r="7" spans="1:14" x14ac:dyDescent="0.35">
      <c r="A7" s="655"/>
      <c r="B7" s="509" t="s">
        <v>959</v>
      </c>
      <c r="C7" s="587">
        <v>22877371.62561683</v>
      </c>
      <c r="D7" s="587">
        <v>21754889.615062039</v>
      </c>
      <c r="E7" s="587">
        <v>44632261.240678862</v>
      </c>
      <c r="F7" s="587">
        <v>3523780.8489900278</v>
      </c>
      <c r="G7" s="587">
        <v>3389285.8568060989</v>
      </c>
      <c r="H7" s="587">
        <v>6913066.7057961281</v>
      </c>
      <c r="I7" s="587">
        <v>1405119.7174815319</v>
      </c>
      <c r="J7" s="587">
        <v>1466852.8225853341</v>
      </c>
      <c r="K7" s="587">
        <v>2871972.5400668662</v>
      </c>
      <c r="L7" s="587">
        <v>8873533.6909617744</v>
      </c>
      <c r="M7" s="587">
        <v>8531510.5543305632</v>
      </c>
      <c r="N7" s="587">
        <v>17405044.245292339</v>
      </c>
    </row>
    <row r="8" spans="1:14" x14ac:dyDescent="0.35">
      <c r="A8" s="655"/>
      <c r="B8" s="509" t="s">
        <v>958</v>
      </c>
      <c r="C8" s="587">
        <v>22576389</v>
      </c>
      <c r="D8" s="587">
        <v>20691792</v>
      </c>
      <c r="E8" s="587">
        <v>43268181</v>
      </c>
      <c r="F8" s="587">
        <v>3452038</v>
      </c>
      <c r="G8" s="587">
        <v>3171278</v>
      </c>
      <c r="H8" s="587">
        <v>6623316</v>
      </c>
      <c r="I8" s="587">
        <v>1364135</v>
      </c>
      <c r="J8" s="587">
        <v>1346150</v>
      </c>
      <c r="K8" s="587">
        <v>2710285</v>
      </c>
      <c r="L8" s="587">
        <v>8517847</v>
      </c>
      <c r="M8" s="587">
        <v>7818613</v>
      </c>
      <c r="N8" s="587">
        <v>16336460</v>
      </c>
    </row>
    <row r="9" spans="1:14" x14ac:dyDescent="0.35">
      <c r="A9" s="655"/>
      <c r="B9" s="509" t="s">
        <v>957</v>
      </c>
      <c r="C9" s="587">
        <v>21237910</v>
      </c>
      <c r="D9" s="587">
        <v>20142803</v>
      </c>
      <c r="E9" s="587">
        <v>41380713</v>
      </c>
      <c r="F9" s="587">
        <v>2993521</v>
      </c>
      <c r="G9" s="587">
        <v>2901179</v>
      </c>
      <c r="H9" s="587">
        <v>5894700</v>
      </c>
      <c r="I9" s="587">
        <v>1191037</v>
      </c>
      <c r="J9" s="587">
        <v>1221032</v>
      </c>
      <c r="K9" s="587">
        <v>2412069</v>
      </c>
      <c r="L9" s="587">
        <v>7533866</v>
      </c>
      <c r="M9" s="587">
        <v>7287671</v>
      </c>
      <c r="N9" s="587">
        <v>14821537</v>
      </c>
    </row>
    <row r="10" spans="1:14" x14ac:dyDescent="0.35">
      <c r="A10" s="655"/>
      <c r="B10" s="509" t="s">
        <v>956</v>
      </c>
      <c r="C10" s="587">
        <v>19643747</v>
      </c>
      <c r="D10" s="587">
        <v>18892612</v>
      </c>
      <c r="E10" s="587">
        <v>38536359</v>
      </c>
      <c r="F10" s="587">
        <v>2854313</v>
      </c>
      <c r="G10" s="587">
        <v>2803359</v>
      </c>
      <c r="H10" s="587">
        <v>5657672</v>
      </c>
      <c r="I10" s="587">
        <v>1072646</v>
      </c>
      <c r="J10" s="587">
        <v>1083463</v>
      </c>
      <c r="K10" s="587">
        <v>2156109</v>
      </c>
      <c r="L10" s="587">
        <v>7202109</v>
      </c>
      <c r="M10" s="587">
        <v>7047005</v>
      </c>
      <c r="N10" s="587">
        <v>14249114</v>
      </c>
    </row>
    <row r="11" spans="1:14" ht="14.5" x14ac:dyDescent="0.35">
      <c r="A11" s="655">
        <v>1</v>
      </c>
      <c r="B11" s="944" t="s">
        <v>56</v>
      </c>
      <c r="C11" s="928"/>
      <c r="D11" s="928"/>
      <c r="E11" s="928"/>
      <c r="F11" s="928"/>
      <c r="G11" s="928"/>
      <c r="H11" s="928"/>
      <c r="I11" s="928"/>
      <c r="J11" s="928"/>
      <c r="K11" s="928"/>
      <c r="L11" s="928"/>
      <c r="M11" s="928"/>
      <c r="N11" s="928"/>
    </row>
    <row r="12" spans="1:14" ht="15" x14ac:dyDescent="0.35">
      <c r="A12" s="655"/>
      <c r="B12" s="508" t="s">
        <v>960</v>
      </c>
      <c r="C12" s="611">
        <v>3507</v>
      </c>
      <c r="D12" s="610">
        <v>3621</v>
      </c>
      <c r="E12" s="610">
        <v>7128</v>
      </c>
      <c r="F12" s="610">
        <v>54</v>
      </c>
      <c r="G12" s="610">
        <v>15</v>
      </c>
      <c r="H12" s="610">
        <v>69</v>
      </c>
      <c r="I12" s="610">
        <v>66</v>
      </c>
      <c r="J12" s="610">
        <v>117</v>
      </c>
      <c r="K12" s="610">
        <v>183</v>
      </c>
      <c r="L12" s="610">
        <v>1026</v>
      </c>
      <c r="M12" s="610">
        <v>1084</v>
      </c>
      <c r="N12" s="610">
        <v>2110</v>
      </c>
    </row>
    <row r="13" spans="1:14" x14ac:dyDescent="0.35">
      <c r="A13" s="655"/>
      <c r="B13" s="509" t="s">
        <v>959</v>
      </c>
      <c r="C13" s="587">
        <v>3853</v>
      </c>
      <c r="D13" s="587">
        <v>3588</v>
      </c>
      <c r="E13" s="587">
        <v>7441</v>
      </c>
      <c r="F13" s="587">
        <v>52</v>
      </c>
      <c r="G13" s="587">
        <v>20</v>
      </c>
      <c r="H13" s="587">
        <v>72</v>
      </c>
      <c r="I13" s="587">
        <v>87</v>
      </c>
      <c r="J13" s="587">
        <v>94</v>
      </c>
      <c r="K13" s="587">
        <v>181</v>
      </c>
      <c r="L13" s="587">
        <v>1058</v>
      </c>
      <c r="M13" s="587">
        <v>1074</v>
      </c>
      <c r="N13" s="587">
        <v>2132</v>
      </c>
    </row>
    <row r="14" spans="1:14" x14ac:dyDescent="0.35">
      <c r="A14" s="655"/>
      <c r="B14" s="509" t="s">
        <v>958</v>
      </c>
      <c r="C14" s="587">
        <v>5200</v>
      </c>
      <c r="D14" s="587">
        <v>6227</v>
      </c>
      <c r="E14" s="587">
        <v>11427</v>
      </c>
      <c r="F14" s="587">
        <v>42</v>
      </c>
      <c r="G14" s="587">
        <v>11</v>
      </c>
      <c r="H14" s="587">
        <v>53</v>
      </c>
      <c r="I14" s="587">
        <v>192</v>
      </c>
      <c r="J14" s="587">
        <v>283</v>
      </c>
      <c r="K14" s="587">
        <v>475</v>
      </c>
      <c r="L14" s="587">
        <v>1437</v>
      </c>
      <c r="M14" s="587">
        <v>1806</v>
      </c>
      <c r="N14" s="587">
        <v>3243</v>
      </c>
    </row>
    <row r="15" spans="1:14" x14ac:dyDescent="0.35">
      <c r="A15" s="655"/>
      <c r="B15" s="509" t="s">
        <v>957</v>
      </c>
      <c r="C15" s="587">
        <v>5534</v>
      </c>
      <c r="D15" s="587">
        <v>6431</v>
      </c>
      <c r="E15" s="587">
        <v>11965</v>
      </c>
      <c r="F15" s="587">
        <v>32</v>
      </c>
      <c r="G15" s="587">
        <v>15</v>
      </c>
      <c r="H15" s="587">
        <v>47</v>
      </c>
      <c r="I15" s="587">
        <v>186</v>
      </c>
      <c r="J15" s="587">
        <v>276</v>
      </c>
      <c r="K15" s="587">
        <v>462</v>
      </c>
      <c r="L15" s="587">
        <v>1581</v>
      </c>
      <c r="M15" s="587">
        <v>1888</v>
      </c>
      <c r="N15" s="587">
        <v>3469</v>
      </c>
    </row>
    <row r="16" spans="1:14" x14ac:dyDescent="0.35">
      <c r="A16" s="655"/>
      <c r="B16" s="509" t="s">
        <v>956</v>
      </c>
      <c r="C16" s="587">
        <v>4532</v>
      </c>
      <c r="D16" s="587">
        <v>5599</v>
      </c>
      <c r="E16" s="587">
        <v>10131</v>
      </c>
      <c r="F16" s="587">
        <v>42</v>
      </c>
      <c r="G16" s="587">
        <v>11</v>
      </c>
      <c r="H16" s="587">
        <v>53</v>
      </c>
      <c r="I16" s="587">
        <v>151</v>
      </c>
      <c r="J16" s="587">
        <v>286</v>
      </c>
      <c r="K16" s="587">
        <v>437</v>
      </c>
      <c r="L16" s="587">
        <v>1122</v>
      </c>
      <c r="M16" s="587">
        <v>1539</v>
      </c>
      <c r="N16" s="587">
        <v>2661</v>
      </c>
    </row>
    <row r="17" spans="1:14" ht="14.5" x14ac:dyDescent="0.35">
      <c r="A17" s="655">
        <v>2</v>
      </c>
      <c r="B17" s="943" t="s">
        <v>13</v>
      </c>
      <c r="C17" s="928"/>
      <c r="D17" s="928"/>
      <c r="E17" s="928"/>
      <c r="F17" s="928"/>
      <c r="G17" s="928"/>
      <c r="H17" s="928"/>
      <c r="I17" s="928"/>
      <c r="J17" s="928"/>
      <c r="K17" s="928"/>
      <c r="L17" s="928"/>
      <c r="M17" s="928"/>
      <c r="N17" s="928"/>
    </row>
    <row r="18" spans="1:14" x14ac:dyDescent="0.35">
      <c r="A18" s="655"/>
      <c r="B18" s="508" t="s">
        <v>960</v>
      </c>
      <c r="C18" s="610">
        <v>929104.58309914579</v>
      </c>
      <c r="D18" s="610">
        <v>875263.2041453881</v>
      </c>
      <c r="E18" s="610">
        <v>1804367.7872445339</v>
      </c>
      <c r="F18" s="610">
        <v>155637.35810792181</v>
      </c>
      <c r="G18" s="610">
        <v>155846.60934562361</v>
      </c>
      <c r="H18" s="610">
        <v>311483.96745354543</v>
      </c>
      <c r="I18" s="610">
        <v>44866.76901483722</v>
      </c>
      <c r="J18" s="610">
        <v>45684.27750148371</v>
      </c>
      <c r="K18" s="610">
        <v>90551.04651632093</v>
      </c>
      <c r="L18" s="610">
        <v>441835.38439767214</v>
      </c>
      <c r="M18" s="610">
        <v>393268.33498623047</v>
      </c>
      <c r="N18" s="610">
        <v>835103.71938390261</v>
      </c>
    </row>
    <row r="19" spans="1:14" x14ac:dyDescent="0.35">
      <c r="A19" s="655"/>
      <c r="B19" s="509" t="s">
        <v>959</v>
      </c>
      <c r="C19" s="587">
        <v>961164.89734113473</v>
      </c>
      <c r="D19" s="587">
        <v>879179.94385683339</v>
      </c>
      <c r="E19" s="587">
        <v>1840344.841197968</v>
      </c>
      <c r="F19" s="587">
        <v>162897.53286961111</v>
      </c>
      <c r="G19" s="587">
        <v>156801.99003753869</v>
      </c>
      <c r="H19" s="587">
        <v>319699.52290714992</v>
      </c>
      <c r="I19" s="587">
        <v>48277.00707387751</v>
      </c>
      <c r="J19" s="587">
        <v>47267.809841566363</v>
      </c>
      <c r="K19" s="587">
        <v>95544.816915443866</v>
      </c>
      <c r="L19" s="587">
        <v>447041.06727478548</v>
      </c>
      <c r="M19" s="587">
        <v>381981.77073977952</v>
      </c>
      <c r="N19" s="587">
        <v>829022.83801456494</v>
      </c>
    </row>
    <row r="20" spans="1:14" x14ac:dyDescent="0.35">
      <c r="A20" s="655"/>
      <c r="B20" s="509" t="s">
        <v>958</v>
      </c>
      <c r="C20" s="587">
        <v>1028739</v>
      </c>
      <c r="D20" s="587">
        <v>900420</v>
      </c>
      <c r="E20" s="587">
        <v>1929159</v>
      </c>
      <c r="F20" s="587">
        <v>174877</v>
      </c>
      <c r="G20" s="587">
        <v>162015</v>
      </c>
      <c r="H20" s="587">
        <v>336892</v>
      </c>
      <c r="I20" s="587">
        <v>50146</v>
      </c>
      <c r="J20" s="587">
        <v>46729</v>
      </c>
      <c r="K20" s="587">
        <v>96875</v>
      </c>
      <c r="L20" s="587">
        <v>481074</v>
      </c>
      <c r="M20" s="587">
        <v>394159</v>
      </c>
      <c r="N20" s="587">
        <v>875233</v>
      </c>
    </row>
    <row r="21" spans="1:14" x14ac:dyDescent="0.35">
      <c r="A21" s="655"/>
      <c r="B21" s="509" t="s">
        <v>957</v>
      </c>
      <c r="C21" s="587">
        <v>1056065</v>
      </c>
      <c r="D21" s="587">
        <v>931553</v>
      </c>
      <c r="E21" s="587">
        <v>1987618</v>
      </c>
      <c r="F21" s="587">
        <v>171844</v>
      </c>
      <c r="G21" s="587">
        <v>160275</v>
      </c>
      <c r="H21" s="587">
        <v>332119</v>
      </c>
      <c r="I21" s="587">
        <v>48475</v>
      </c>
      <c r="J21" s="587">
        <v>44369</v>
      </c>
      <c r="K21" s="587">
        <v>92844</v>
      </c>
      <c r="L21" s="587">
        <v>463929</v>
      </c>
      <c r="M21" s="587">
        <v>386063</v>
      </c>
      <c r="N21" s="587">
        <v>849992</v>
      </c>
    </row>
    <row r="22" spans="1:14" x14ac:dyDescent="0.35">
      <c r="A22" s="655"/>
      <c r="B22" s="509" t="s">
        <v>956</v>
      </c>
      <c r="C22" s="587">
        <v>1021126</v>
      </c>
      <c r="D22" s="587">
        <v>876023</v>
      </c>
      <c r="E22" s="587">
        <v>1897149</v>
      </c>
      <c r="F22" s="587">
        <v>167358</v>
      </c>
      <c r="G22" s="587">
        <v>149215</v>
      </c>
      <c r="H22" s="587">
        <v>316573</v>
      </c>
      <c r="I22" s="587">
        <v>47292</v>
      </c>
      <c r="J22" s="587">
        <v>40939</v>
      </c>
      <c r="K22" s="587">
        <v>88231</v>
      </c>
      <c r="L22" s="587">
        <v>464389</v>
      </c>
      <c r="M22" s="587">
        <v>373065</v>
      </c>
      <c r="N22" s="587">
        <v>837454</v>
      </c>
    </row>
    <row r="23" spans="1:14" ht="14.5" x14ac:dyDescent="0.35">
      <c r="A23" s="655">
        <v>3</v>
      </c>
      <c r="B23" s="943" t="s">
        <v>14</v>
      </c>
      <c r="C23" s="928"/>
      <c r="D23" s="928"/>
      <c r="E23" s="928"/>
      <c r="F23" s="928"/>
      <c r="G23" s="928"/>
      <c r="H23" s="928"/>
      <c r="I23" s="928"/>
      <c r="J23" s="928"/>
      <c r="K23" s="928"/>
      <c r="L23" s="928"/>
      <c r="M23" s="928"/>
      <c r="N23" s="928"/>
    </row>
    <row r="24" spans="1:14" x14ac:dyDescent="0.35">
      <c r="A24" s="655"/>
      <c r="B24" s="508" t="s">
        <v>960</v>
      </c>
      <c r="C24" s="610">
        <v>31387</v>
      </c>
      <c r="D24" s="610">
        <v>29061</v>
      </c>
      <c r="E24" s="610">
        <v>60448</v>
      </c>
      <c r="F24" s="610">
        <v>607</v>
      </c>
      <c r="G24" s="610">
        <v>437</v>
      </c>
      <c r="H24" s="610">
        <v>1044</v>
      </c>
      <c r="I24" s="610">
        <v>22121</v>
      </c>
      <c r="J24" s="610">
        <v>22966</v>
      </c>
      <c r="K24" s="610">
        <v>45087</v>
      </c>
      <c r="L24" s="610">
        <v>1652</v>
      </c>
      <c r="M24" s="610">
        <v>1218</v>
      </c>
      <c r="N24" s="610">
        <v>2870</v>
      </c>
    </row>
    <row r="25" spans="1:14" x14ac:dyDescent="0.35">
      <c r="A25" s="655"/>
      <c r="B25" s="509" t="s">
        <v>959</v>
      </c>
      <c r="C25" s="587">
        <v>33710</v>
      </c>
      <c r="D25" s="587">
        <v>29802</v>
      </c>
      <c r="E25" s="587">
        <v>63512</v>
      </c>
      <c r="F25" s="587">
        <v>544</v>
      </c>
      <c r="G25" s="587">
        <v>398</v>
      </c>
      <c r="H25" s="587">
        <v>942</v>
      </c>
      <c r="I25" s="587">
        <v>23930</v>
      </c>
      <c r="J25" s="587">
        <v>23776</v>
      </c>
      <c r="K25" s="587">
        <v>47706</v>
      </c>
      <c r="L25" s="587">
        <v>1444</v>
      </c>
      <c r="M25" s="587">
        <v>1071</v>
      </c>
      <c r="N25" s="587">
        <v>2515</v>
      </c>
    </row>
    <row r="26" spans="1:14" x14ac:dyDescent="0.35">
      <c r="A26" s="655"/>
      <c r="B26" s="509" t="s">
        <v>958</v>
      </c>
      <c r="C26" s="587">
        <v>34995</v>
      </c>
      <c r="D26" s="587">
        <v>29895</v>
      </c>
      <c r="E26" s="587">
        <v>64890</v>
      </c>
      <c r="F26" s="587">
        <v>609</v>
      </c>
      <c r="G26" s="587">
        <v>338</v>
      </c>
      <c r="H26" s="587">
        <v>947</v>
      </c>
      <c r="I26" s="587">
        <v>24790</v>
      </c>
      <c r="J26" s="587">
        <v>23529</v>
      </c>
      <c r="K26" s="587">
        <v>48319</v>
      </c>
      <c r="L26" s="587">
        <v>1291</v>
      </c>
      <c r="M26" s="587">
        <v>822</v>
      </c>
      <c r="N26" s="587">
        <v>2113</v>
      </c>
    </row>
    <row r="27" spans="1:14" x14ac:dyDescent="0.35">
      <c r="A27" s="655"/>
      <c r="B27" s="509" t="s">
        <v>957</v>
      </c>
      <c r="C27" s="587">
        <v>31465</v>
      </c>
      <c r="D27" s="587">
        <v>28270</v>
      </c>
      <c r="E27" s="587">
        <v>59735</v>
      </c>
      <c r="F27" s="587">
        <v>670</v>
      </c>
      <c r="G27" s="587">
        <v>407</v>
      </c>
      <c r="H27" s="587">
        <v>1077</v>
      </c>
      <c r="I27" s="587">
        <v>20576</v>
      </c>
      <c r="J27" s="587">
        <v>21101</v>
      </c>
      <c r="K27" s="587">
        <v>41677</v>
      </c>
      <c r="L27" s="587">
        <v>1222</v>
      </c>
      <c r="M27" s="587">
        <v>845</v>
      </c>
      <c r="N27" s="587">
        <v>2067</v>
      </c>
    </row>
    <row r="28" spans="1:14" x14ac:dyDescent="0.35">
      <c r="A28" s="655"/>
      <c r="B28" s="509" t="s">
        <v>956</v>
      </c>
      <c r="C28" s="587">
        <v>28801</v>
      </c>
      <c r="D28" s="587">
        <v>27015</v>
      </c>
      <c r="E28" s="587">
        <v>55816</v>
      </c>
      <c r="F28" s="587">
        <v>750</v>
      </c>
      <c r="G28" s="587">
        <v>729</v>
      </c>
      <c r="H28" s="587">
        <v>1479</v>
      </c>
      <c r="I28" s="587">
        <v>19078</v>
      </c>
      <c r="J28" s="587">
        <v>19264</v>
      </c>
      <c r="K28" s="587">
        <v>38342</v>
      </c>
      <c r="L28" s="587">
        <v>1141</v>
      </c>
      <c r="M28" s="587">
        <v>772</v>
      </c>
      <c r="N28" s="587">
        <v>1913</v>
      </c>
    </row>
    <row r="29" spans="1:14" ht="14.5" x14ac:dyDescent="0.35">
      <c r="A29" s="655">
        <v>4</v>
      </c>
      <c r="B29" s="943" t="s">
        <v>15</v>
      </c>
      <c r="C29" s="928"/>
      <c r="D29" s="928"/>
      <c r="E29" s="928"/>
      <c r="F29" s="928"/>
      <c r="G29" s="928"/>
      <c r="H29" s="928"/>
      <c r="I29" s="928"/>
      <c r="J29" s="928"/>
      <c r="K29" s="928"/>
      <c r="L29" s="928"/>
      <c r="M29" s="928"/>
      <c r="N29" s="928"/>
    </row>
    <row r="30" spans="1:14" x14ac:dyDescent="0.35">
      <c r="A30" s="655"/>
      <c r="B30" s="508" t="s">
        <v>960</v>
      </c>
      <c r="C30" s="610">
        <v>368298.05263157893</v>
      </c>
      <c r="D30" s="610">
        <v>425161.63157894736</v>
      </c>
      <c r="E30" s="610">
        <v>793459.68421052629</v>
      </c>
      <c r="F30" s="610">
        <v>35210.631578947374</v>
      </c>
      <c r="G30" s="610">
        <v>38879.052631578947</v>
      </c>
      <c r="H30" s="610">
        <v>74089.68421052632</v>
      </c>
      <c r="I30" s="610">
        <v>66645.68421052632</v>
      </c>
      <c r="J30" s="610">
        <v>77000.789473684214</v>
      </c>
      <c r="K30" s="610">
        <v>143646.47368421053</v>
      </c>
      <c r="L30" s="610">
        <v>96171</v>
      </c>
      <c r="M30" s="610">
        <v>115235.78947368421</v>
      </c>
      <c r="N30" s="610">
        <v>211406.78947368421</v>
      </c>
    </row>
    <row r="31" spans="1:14" x14ac:dyDescent="0.35">
      <c r="A31" s="655"/>
      <c r="B31" s="509" t="s">
        <v>959</v>
      </c>
      <c r="C31" s="587">
        <v>361132.57142857142</v>
      </c>
      <c r="D31" s="587">
        <v>390140.5</v>
      </c>
      <c r="E31" s="587">
        <v>751273.07142857148</v>
      </c>
      <c r="F31" s="587">
        <v>31058.5</v>
      </c>
      <c r="G31" s="587">
        <v>30604.428571428569</v>
      </c>
      <c r="H31" s="587">
        <v>61662.928571428572</v>
      </c>
      <c r="I31" s="587">
        <v>66127.892857142855</v>
      </c>
      <c r="J31" s="587">
        <v>71674.28571428571</v>
      </c>
      <c r="K31" s="587">
        <v>137802.17857142861</v>
      </c>
      <c r="L31" s="587">
        <v>95804.428571428565</v>
      </c>
      <c r="M31" s="587">
        <v>109089</v>
      </c>
      <c r="N31" s="587">
        <v>204893.42857142861</v>
      </c>
    </row>
    <row r="32" spans="1:14" x14ac:dyDescent="0.35">
      <c r="A32" s="655"/>
      <c r="B32" s="509" t="s">
        <v>958</v>
      </c>
      <c r="C32" s="587">
        <v>333926</v>
      </c>
      <c r="D32" s="587">
        <v>344086</v>
      </c>
      <c r="E32" s="587">
        <v>678012</v>
      </c>
      <c r="F32" s="587">
        <v>29419</v>
      </c>
      <c r="G32" s="587">
        <v>27820</v>
      </c>
      <c r="H32" s="587">
        <v>57239</v>
      </c>
      <c r="I32" s="587">
        <v>63952</v>
      </c>
      <c r="J32" s="587">
        <v>66267</v>
      </c>
      <c r="K32" s="587">
        <v>130219</v>
      </c>
      <c r="L32" s="587">
        <v>85446</v>
      </c>
      <c r="M32" s="587">
        <v>92054</v>
      </c>
      <c r="N32" s="587">
        <v>177500</v>
      </c>
    </row>
    <row r="33" spans="1:14" x14ac:dyDescent="0.35">
      <c r="A33" s="655"/>
      <c r="B33" s="509" t="s">
        <v>957</v>
      </c>
      <c r="C33" s="587">
        <v>341985</v>
      </c>
      <c r="D33" s="587">
        <v>355108</v>
      </c>
      <c r="E33" s="587">
        <v>697093</v>
      </c>
      <c r="F33" s="587">
        <v>27177</v>
      </c>
      <c r="G33" s="587">
        <v>26775</v>
      </c>
      <c r="H33" s="587">
        <v>53952</v>
      </c>
      <c r="I33" s="587">
        <v>59272</v>
      </c>
      <c r="J33" s="587">
        <v>63715</v>
      </c>
      <c r="K33" s="587">
        <v>122987</v>
      </c>
      <c r="L33" s="587">
        <v>84052</v>
      </c>
      <c r="M33" s="587">
        <v>91542</v>
      </c>
      <c r="N33" s="587">
        <v>175594</v>
      </c>
    </row>
    <row r="34" spans="1:14" x14ac:dyDescent="0.35">
      <c r="A34" s="655"/>
      <c r="B34" s="509" t="s">
        <v>956</v>
      </c>
      <c r="C34" s="587">
        <v>316908</v>
      </c>
      <c r="D34" s="587">
        <v>333693</v>
      </c>
      <c r="E34" s="587">
        <v>650601</v>
      </c>
      <c r="F34" s="587">
        <v>27642</v>
      </c>
      <c r="G34" s="587">
        <v>26519</v>
      </c>
      <c r="H34" s="587">
        <v>54161</v>
      </c>
      <c r="I34" s="587">
        <v>50251</v>
      </c>
      <c r="J34" s="587">
        <v>55109</v>
      </c>
      <c r="K34" s="587">
        <v>105360</v>
      </c>
      <c r="L34" s="587">
        <v>83549</v>
      </c>
      <c r="M34" s="587">
        <v>93431</v>
      </c>
      <c r="N34" s="587">
        <v>176980</v>
      </c>
    </row>
    <row r="35" spans="1:14" ht="14.5" x14ac:dyDescent="0.35">
      <c r="A35" s="655">
        <v>5</v>
      </c>
      <c r="B35" s="943" t="s">
        <v>16</v>
      </c>
      <c r="C35" s="928"/>
      <c r="D35" s="928"/>
      <c r="E35" s="928"/>
      <c r="F35" s="928"/>
      <c r="G35" s="928"/>
      <c r="H35" s="928"/>
      <c r="I35" s="928"/>
      <c r="J35" s="928"/>
      <c r="K35" s="928"/>
      <c r="L35" s="928"/>
      <c r="M35" s="928"/>
      <c r="N35" s="928"/>
    </row>
    <row r="36" spans="1:14" x14ac:dyDescent="0.35">
      <c r="A36" s="655"/>
      <c r="B36" s="508" t="s">
        <v>960</v>
      </c>
      <c r="C36" s="610">
        <v>1364804.3055555555</v>
      </c>
      <c r="D36" s="610">
        <v>1395065.9444444445</v>
      </c>
      <c r="E36" s="610">
        <v>2759870.25</v>
      </c>
      <c r="F36" s="610">
        <v>208807.30555555556</v>
      </c>
      <c r="G36" s="610">
        <v>186471.69444444444</v>
      </c>
      <c r="H36" s="610">
        <v>395279</v>
      </c>
      <c r="I36" s="610">
        <v>24587.222222222226</v>
      </c>
      <c r="J36" s="610">
        <v>24848.805555555555</v>
      </c>
      <c r="K36" s="610">
        <v>49436.027777777781</v>
      </c>
      <c r="L36" s="610">
        <v>760116.72222222225</v>
      </c>
      <c r="M36" s="610">
        <v>779012.3055555555</v>
      </c>
      <c r="N36" s="610">
        <v>1539129.0277777778</v>
      </c>
    </row>
    <row r="37" spans="1:14" x14ac:dyDescent="0.35">
      <c r="A37" s="655"/>
      <c r="B37" s="509" t="s">
        <v>959</v>
      </c>
      <c r="C37" s="587">
        <v>1357863.6162157829</v>
      </c>
      <c r="D37" s="587">
        <v>1270027.8057104719</v>
      </c>
      <c r="E37" s="587">
        <v>2627891.4219262549</v>
      </c>
      <c r="F37" s="587">
        <v>203200.10151168489</v>
      </c>
      <c r="G37" s="587">
        <v>166347.84365209361</v>
      </c>
      <c r="H37" s="587">
        <v>369547.9451637785</v>
      </c>
      <c r="I37" s="587">
        <v>30216.247132413799</v>
      </c>
      <c r="J37" s="587">
        <v>27694.329296829299</v>
      </c>
      <c r="K37" s="587">
        <v>57910.576429243098</v>
      </c>
      <c r="L37" s="587">
        <v>723148.48375865037</v>
      </c>
      <c r="M37" s="587">
        <v>680681.61082619417</v>
      </c>
      <c r="N37" s="587">
        <v>1403830.094584845</v>
      </c>
    </row>
    <row r="38" spans="1:14" x14ac:dyDescent="0.35">
      <c r="A38" s="655"/>
      <c r="B38" s="509" t="s">
        <v>958</v>
      </c>
      <c r="C38" s="587">
        <v>1447460</v>
      </c>
      <c r="D38" s="587">
        <v>1175486</v>
      </c>
      <c r="E38" s="587">
        <v>2622946</v>
      </c>
      <c r="F38" s="587">
        <v>224269</v>
      </c>
      <c r="G38" s="587">
        <v>153799</v>
      </c>
      <c r="H38" s="587">
        <v>378068</v>
      </c>
      <c r="I38" s="587">
        <v>36612</v>
      </c>
      <c r="J38" s="587">
        <v>28622</v>
      </c>
      <c r="K38" s="587">
        <v>65234</v>
      </c>
      <c r="L38" s="587">
        <v>707676</v>
      </c>
      <c r="M38" s="587">
        <v>575245</v>
      </c>
      <c r="N38" s="587">
        <v>1282921</v>
      </c>
    </row>
    <row r="39" spans="1:14" x14ac:dyDescent="0.35">
      <c r="A39" s="655"/>
      <c r="B39" s="509" t="s">
        <v>957</v>
      </c>
      <c r="C39" s="587">
        <v>1309402</v>
      </c>
      <c r="D39" s="587">
        <v>1051539</v>
      </c>
      <c r="E39" s="587">
        <v>2360941</v>
      </c>
      <c r="F39" s="587">
        <v>152405</v>
      </c>
      <c r="G39" s="587">
        <v>105205</v>
      </c>
      <c r="H39" s="587">
        <v>257610</v>
      </c>
      <c r="I39" s="587">
        <v>20577</v>
      </c>
      <c r="J39" s="587">
        <v>15421</v>
      </c>
      <c r="K39" s="587">
        <v>35998</v>
      </c>
      <c r="L39" s="587">
        <v>547653</v>
      </c>
      <c r="M39" s="587">
        <v>446029</v>
      </c>
      <c r="N39" s="587">
        <v>993682</v>
      </c>
    </row>
    <row r="40" spans="1:14" x14ac:dyDescent="0.35">
      <c r="A40" s="655"/>
      <c r="B40" s="509" t="s">
        <v>956</v>
      </c>
      <c r="C40" s="587">
        <v>969902</v>
      </c>
      <c r="D40" s="587">
        <v>768530</v>
      </c>
      <c r="E40" s="587">
        <v>1738432</v>
      </c>
      <c r="F40" s="587">
        <v>123647</v>
      </c>
      <c r="G40" s="587">
        <v>74568</v>
      </c>
      <c r="H40" s="587">
        <v>198215</v>
      </c>
      <c r="I40" s="587">
        <v>17236</v>
      </c>
      <c r="J40" s="587">
        <v>13286</v>
      </c>
      <c r="K40" s="587">
        <v>30522</v>
      </c>
      <c r="L40" s="587">
        <v>458383</v>
      </c>
      <c r="M40" s="587">
        <v>356262</v>
      </c>
      <c r="N40" s="587">
        <v>814645</v>
      </c>
    </row>
    <row r="41" spans="1:14" ht="14.5" x14ac:dyDescent="0.35">
      <c r="A41" s="655">
        <v>6</v>
      </c>
      <c r="B41" s="943" t="s">
        <v>17</v>
      </c>
      <c r="C41" s="928"/>
      <c r="D41" s="928"/>
      <c r="E41" s="928"/>
      <c r="F41" s="928"/>
      <c r="G41" s="928"/>
      <c r="H41" s="928"/>
      <c r="I41" s="928"/>
      <c r="J41" s="928"/>
      <c r="K41" s="928"/>
      <c r="L41" s="928"/>
      <c r="M41" s="928"/>
      <c r="N41" s="928"/>
    </row>
    <row r="42" spans="1:14" x14ac:dyDescent="0.35">
      <c r="A42" s="655"/>
      <c r="B42" s="508" t="s">
        <v>960</v>
      </c>
      <c r="C42" s="610">
        <v>50520</v>
      </c>
      <c r="D42" s="610">
        <v>54194</v>
      </c>
      <c r="E42" s="610">
        <v>104714</v>
      </c>
      <c r="F42" s="610">
        <v>7786</v>
      </c>
      <c r="G42" s="610">
        <v>7259</v>
      </c>
      <c r="H42" s="610">
        <v>15045</v>
      </c>
      <c r="I42" s="610">
        <v>1340</v>
      </c>
      <c r="J42" s="610">
        <v>1221</v>
      </c>
      <c r="K42" s="610">
        <v>2561</v>
      </c>
      <c r="L42" s="610">
        <v>4831</v>
      </c>
      <c r="M42" s="610">
        <v>3436</v>
      </c>
      <c r="N42" s="610">
        <v>8267</v>
      </c>
    </row>
    <row r="43" spans="1:14" x14ac:dyDescent="0.35">
      <c r="A43" s="655"/>
      <c r="B43" s="509" t="s">
        <v>959</v>
      </c>
      <c r="C43" s="587">
        <v>54071</v>
      </c>
      <c r="D43" s="587">
        <v>54024</v>
      </c>
      <c r="E43" s="587">
        <v>108095</v>
      </c>
      <c r="F43" s="587">
        <v>8589</v>
      </c>
      <c r="G43" s="587">
        <v>7490</v>
      </c>
      <c r="H43" s="587">
        <v>16079</v>
      </c>
      <c r="I43" s="587">
        <v>1279</v>
      </c>
      <c r="J43" s="587">
        <v>1148</v>
      </c>
      <c r="K43" s="587">
        <v>2427</v>
      </c>
      <c r="L43" s="587">
        <v>5186</v>
      </c>
      <c r="M43" s="587">
        <v>3755</v>
      </c>
      <c r="N43" s="587">
        <v>8941</v>
      </c>
    </row>
    <row r="44" spans="1:14" x14ac:dyDescent="0.35">
      <c r="A44" s="655"/>
      <c r="B44" s="509" t="s">
        <v>958</v>
      </c>
      <c r="C44" s="587">
        <v>55291</v>
      </c>
      <c r="D44" s="587">
        <v>55712</v>
      </c>
      <c r="E44" s="587">
        <v>111003</v>
      </c>
      <c r="F44" s="587">
        <v>9631</v>
      </c>
      <c r="G44" s="587">
        <v>8082</v>
      </c>
      <c r="H44" s="587">
        <v>17713</v>
      </c>
      <c r="I44" s="587">
        <v>1243</v>
      </c>
      <c r="J44" s="587">
        <v>1129</v>
      </c>
      <c r="K44" s="587">
        <v>2372</v>
      </c>
      <c r="L44" s="587">
        <v>5504</v>
      </c>
      <c r="M44" s="587">
        <v>3655</v>
      </c>
      <c r="N44" s="587">
        <v>9159</v>
      </c>
    </row>
    <row r="45" spans="1:14" x14ac:dyDescent="0.35">
      <c r="A45" s="655"/>
      <c r="B45" s="509" t="s">
        <v>957</v>
      </c>
      <c r="C45" s="587">
        <v>54809</v>
      </c>
      <c r="D45" s="587">
        <v>55656</v>
      </c>
      <c r="E45" s="587">
        <v>110465</v>
      </c>
      <c r="F45" s="587">
        <v>9293</v>
      </c>
      <c r="G45" s="587">
        <v>7542</v>
      </c>
      <c r="H45" s="587">
        <v>16835</v>
      </c>
      <c r="I45" s="587">
        <v>1055</v>
      </c>
      <c r="J45" s="587">
        <v>968</v>
      </c>
      <c r="K45" s="587">
        <v>2023</v>
      </c>
      <c r="L45" s="587">
        <v>5261</v>
      </c>
      <c r="M45" s="587">
        <v>3541</v>
      </c>
      <c r="N45" s="587">
        <v>8802</v>
      </c>
    </row>
    <row r="46" spans="1:14" x14ac:dyDescent="0.35">
      <c r="A46" s="655"/>
      <c r="B46" s="509" t="s">
        <v>956</v>
      </c>
      <c r="C46" s="587">
        <v>53170</v>
      </c>
      <c r="D46" s="587">
        <v>53497</v>
      </c>
      <c r="E46" s="587">
        <v>106667</v>
      </c>
      <c r="F46" s="587">
        <v>6827</v>
      </c>
      <c r="G46" s="587">
        <v>6037</v>
      </c>
      <c r="H46" s="587">
        <v>12864</v>
      </c>
      <c r="I46" s="587">
        <v>961</v>
      </c>
      <c r="J46" s="587">
        <v>829</v>
      </c>
      <c r="K46" s="587">
        <v>1790</v>
      </c>
      <c r="L46" s="587">
        <v>3837</v>
      </c>
      <c r="M46" s="587">
        <v>2373</v>
      </c>
      <c r="N46" s="587">
        <v>6210</v>
      </c>
    </row>
    <row r="47" spans="1:14" ht="14.5" x14ac:dyDescent="0.35">
      <c r="A47" s="655">
        <v>7</v>
      </c>
      <c r="B47" s="943" t="s">
        <v>888</v>
      </c>
      <c r="C47" s="928"/>
      <c r="D47" s="928"/>
      <c r="E47" s="928"/>
      <c r="F47" s="928"/>
      <c r="G47" s="928"/>
      <c r="H47" s="928"/>
      <c r="I47" s="928"/>
      <c r="J47" s="928"/>
      <c r="K47" s="928"/>
      <c r="L47" s="928"/>
      <c r="M47" s="928"/>
      <c r="N47" s="928"/>
    </row>
    <row r="48" spans="1:14" x14ac:dyDescent="0.35">
      <c r="A48" s="655"/>
      <c r="B48" s="508" t="s">
        <v>960</v>
      </c>
      <c r="C48" s="610">
        <v>360305.49418604648</v>
      </c>
      <c r="D48" s="610">
        <v>461802.89534883719</v>
      </c>
      <c r="E48" s="610">
        <v>822108.38953488367</v>
      </c>
      <c r="F48" s="610">
        <v>51295.034883720931</v>
      </c>
      <c r="G48" s="610">
        <v>61487.715116279069</v>
      </c>
      <c r="H48" s="610">
        <v>112782.75</v>
      </c>
      <c r="I48" s="610">
        <v>63295.046511627894</v>
      </c>
      <c r="J48" s="610">
        <v>102113.83139534884</v>
      </c>
      <c r="K48" s="610">
        <v>165408.87790697673</v>
      </c>
      <c r="L48" s="610">
        <v>166279.93604651166</v>
      </c>
      <c r="M48" s="610">
        <v>206962.76162790696</v>
      </c>
      <c r="N48" s="610">
        <v>373242.69767441862</v>
      </c>
    </row>
    <row r="49" spans="1:14" x14ac:dyDescent="0.35">
      <c r="A49" s="655"/>
      <c r="B49" s="509" t="s">
        <v>959</v>
      </c>
      <c r="C49" s="587">
        <v>424564.4185865671</v>
      </c>
      <c r="D49" s="587">
        <v>503737.51744962542</v>
      </c>
      <c r="E49" s="587">
        <v>928301.93603619246</v>
      </c>
      <c r="F49" s="587">
        <v>60431.206183113391</v>
      </c>
      <c r="G49" s="587">
        <v>66432.639336698863</v>
      </c>
      <c r="H49" s="587">
        <v>126863.8455198123</v>
      </c>
      <c r="I49" s="587">
        <v>82363.348126246463</v>
      </c>
      <c r="J49" s="587">
        <v>120908.4257535839</v>
      </c>
      <c r="K49" s="587">
        <v>203271.77387983029</v>
      </c>
      <c r="L49" s="587">
        <v>197577.18584821449</v>
      </c>
      <c r="M49" s="587">
        <v>222020.78773823619</v>
      </c>
      <c r="N49" s="587">
        <v>419597.97358645062</v>
      </c>
    </row>
    <row r="50" spans="1:14" x14ac:dyDescent="0.35">
      <c r="A50" s="655"/>
      <c r="B50" s="509" t="s">
        <v>958</v>
      </c>
      <c r="C50" s="587">
        <v>298601</v>
      </c>
      <c r="D50" s="587">
        <v>357740</v>
      </c>
      <c r="E50" s="587">
        <v>656341</v>
      </c>
      <c r="F50" s="587">
        <v>43431</v>
      </c>
      <c r="G50" s="587">
        <v>47514</v>
      </c>
      <c r="H50" s="587">
        <v>90945</v>
      </c>
      <c r="I50" s="587">
        <v>52777</v>
      </c>
      <c r="J50" s="587">
        <v>77518</v>
      </c>
      <c r="K50" s="587">
        <v>130295</v>
      </c>
      <c r="L50" s="587">
        <v>133393</v>
      </c>
      <c r="M50" s="587">
        <v>154494</v>
      </c>
      <c r="N50" s="587">
        <v>287887</v>
      </c>
    </row>
    <row r="51" spans="1:14" x14ac:dyDescent="0.35">
      <c r="A51" s="655"/>
      <c r="B51" s="509" t="s">
        <v>957</v>
      </c>
      <c r="C51" s="587">
        <v>302840</v>
      </c>
      <c r="D51" s="587">
        <v>350565</v>
      </c>
      <c r="E51" s="587">
        <v>653405</v>
      </c>
      <c r="F51" s="587">
        <v>41449</v>
      </c>
      <c r="G51" s="587">
        <v>44456</v>
      </c>
      <c r="H51" s="587">
        <v>85905</v>
      </c>
      <c r="I51" s="587">
        <v>57790</v>
      </c>
      <c r="J51" s="587">
        <v>81319</v>
      </c>
      <c r="K51" s="587">
        <v>139109</v>
      </c>
      <c r="L51" s="587">
        <v>133754</v>
      </c>
      <c r="M51" s="587">
        <v>151173</v>
      </c>
      <c r="N51" s="587">
        <v>284927</v>
      </c>
    </row>
    <row r="52" spans="1:14" x14ac:dyDescent="0.35">
      <c r="A52" s="655"/>
      <c r="B52" s="509" t="s">
        <v>956</v>
      </c>
      <c r="C52" s="587">
        <v>272813</v>
      </c>
      <c r="D52" s="587">
        <v>313582</v>
      </c>
      <c r="E52" s="587">
        <v>586395</v>
      </c>
      <c r="F52" s="587">
        <v>37575</v>
      </c>
      <c r="G52" s="587">
        <v>40055</v>
      </c>
      <c r="H52" s="587">
        <v>77630</v>
      </c>
      <c r="I52" s="587">
        <v>46084</v>
      </c>
      <c r="J52" s="587">
        <v>62803</v>
      </c>
      <c r="K52" s="587">
        <v>108887</v>
      </c>
      <c r="L52" s="587">
        <v>121781</v>
      </c>
      <c r="M52" s="587">
        <v>136814</v>
      </c>
      <c r="N52" s="587">
        <v>258595</v>
      </c>
    </row>
    <row r="53" spans="1:14" ht="14.5" x14ac:dyDescent="0.35">
      <c r="A53" s="655">
        <v>8</v>
      </c>
      <c r="B53" s="943" t="s">
        <v>19</v>
      </c>
      <c r="C53" s="928"/>
      <c r="D53" s="928"/>
      <c r="E53" s="928"/>
      <c r="F53" s="928"/>
      <c r="G53" s="928"/>
      <c r="H53" s="928"/>
      <c r="I53" s="928"/>
      <c r="J53" s="928"/>
      <c r="K53" s="928"/>
      <c r="L53" s="928"/>
      <c r="M53" s="928"/>
      <c r="N53" s="928"/>
    </row>
    <row r="54" spans="1:14" x14ac:dyDescent="0.35">
      <c r="A54" s="655"/>
      <c r="B54" s="508" t="s">
        <v>960</v>
      </c>
      <c r="C54" s="610">
        <v>620256.68368421053</v>
      </c>
      <c r="D54" s="610">
        <v>614701.28473684215</v>
      </c>
      <c r="E54" s="610">
        <v>1234957.9684210527</v>
      </c>
      <c r="F54" s="610">
        <v>84130.885058479515</v>
      </c>
      <c r="G54" s="610">
        <v>83545.29979532164</v>
      </c>
      <c r="H54" s="610">
        <v>167676.18485380115</v>
      </c>
      <c r="I54" s="610">
        <v>11190.420087719298</v>
      </c>
      <c r="J54" s="610">
        <v>10299.014269005847</v>
      </c>
      <c r="K54" s="610">
        <v>21489.434356725145</v>
      </c>
      <c r="L54" s="610">
        <v>107113.51692982457</v>
      </c>
      <c r="M54" s="610">
        <v>89965.711637426895</v>
      </c>
      <c r="N54" s="610">
        <v>197079.22856725147</v>
      </c>
    </row>
    <row r="55" spans="1:14" x14ac:dyDescent="0.35">
      <c r="A55" s="655"/>
      <c r="B55" s="509" t="s">
        <v>959</v>
      </c>
      <c r="C55" s="587">
        <v>666944.70061022125</v>
      </c>
      <c r="D55" s="587">
        <v>634816.27418637171</v>
      </c>
      <c r="E55" s="587">
        <v>1301760.974796593</v>
      </c>
      <c r="F55" s="587">
        <v>86877.313596491222</v>
      </c>
      <c r="G55" s="587">
        <v>82742.875794558859</v>
      </c>
      <c r="H55" s="587">
        <v>169620.18939105011</v>
      </c>
      <c r="I55" s="587">
        <v>11192.52094457157</v>
      </c>
      <c r="J55" s="587">
        <v>10169.725464022369</v>
      </c>
      <c r="K55" s="587">
        <v>21362.24640859395</v>
      </c>
      <c r="L55" s="587">
        <v>109989.3785596237</v>
      </c>
      <c r="M55" s="587">
        <v>88479.41816043733</v>
      </c>
      <c r="N55" s="587">
        <v>198468.79672006099</v>
      </c>
    </row>
    <row r="56" spans="1:14" x14ac:dyDescent="0.35">
      <c r="A56" s="655"/>
      <c r="B56" s="509" t="s">
        <v>958</v>
      </c>
      <c r="C56" s="587">
        <v>585353</v>
      </c>
      <c r="D56" s="587">
        <v>560037</v>
      </c>
      <c r="E56" s="587">
        <v>1145390</v>
      </c>
      <c r="F56" s="587">
        <v>81427</v>
      </c>
      <c r="G56" s="587">
        <v>77126</v>
      </c>
      <c r="H56" s="587">
        <v>158553</v>
      </c>
      <c r="I56" s="587">
        <v>11197</v>
      </c>
      <c r="J56" s="587">
        <v>9976</v>
      </c>
      <c r="K56" s="587">
        <v>21173</v>
      </c>
      <c r="L56" s="587">
        <v>100008</v>
      </c>
      <c r="M56" s="587">
        <v>75996</v>
      </c>
      <c r="N56" s="587">
        <v>176004</v>
      </c>
    </row>
    <row r="57" spans="1:14" x14ac:dyDescent="0.35">
      <c r="A57" s="655"/>
      <c r="B57" s="509" t="s">
        <v>957</v>
      </c>
      <c r="C57" s="587">
        <v>564849</v>
      </c>
      <c r="D57" s="587">
        <v>541422</v>
      </c>
      <c r="E57" s="587">
        <v>1106271</v>
      </c>
      <c r="F57" s="587">
        <v>58208</v>
      </c>
      <c r="G57" s="587">
        <v>51061</v>
      </c>
      <c r="H57" s="587">
        <v>109269</v>
      </c>
      <c r="I57" s="587">
        <v>10597</v>
      </c>
      <c r="J57" s="587">
        <v>8934</v>
      </c>
      <c r="K57" s="587">
        <v>19531</v>
      </c>
      <c r="L57" s="587">
        <v>90936</v>
      </c>
      <c r="M57" s="587">
        <v>65976</v>
      </c>
      <c r="N57" s="587">
        <v>156912</v>
      </c>
    </row>
    <row r="58" spans="1:14" x14ac:dyDescent="0.35">
      <c r="A58" s="655"/>
      <c r="B58" s="509" t="s">
        <v>956</v>
      </c>
      <c r="C58" s="587">
        <v>578747</v>
      </c>
      <c r="D58" s="587">
        <v>554109</v>
      </c>
      <c r="E58" s="587">
        <v>1132856</v>
      </c>
      <c r="F58" s="587">
        <v>80990</v>
      </c>
      <c r="G58" s="587">
        <v>81296</v>
      </c>
      <c r="H58" s="587">
        <v>162286</v>
      </c>
      <c r="I58" s="587">
        <v>8315</v>
      </c>
      <c r="J58" s="587">
        <v>7314</v>
      </c>
      <c r="K58" s="587">
        <v>15629</v>
      </c>
      <c r="L58" s="587">
        <v>108206</v>
      </c>
      <c r="M58" s="587">
        <v>81721</v>
      </c>
      <c r="N58" s="587">
        <v>189927</v>
      </c>
    </row>
    <row r="59" spans="1:14" ht="14.5" x14ac:dyDescent="0.35">
      <c r="A59" s="655">
        <v>9</v>
      </c>
      <c r="B59" s="943" t="s">
        <v>20</v>
      </c>
      <c r="C59" s="928"/>
      <c r="D59" s="928"/>
      <c r="E59" s="928"/>
      <c r="F59" s="928"/>
      <c r="G59" s="928"/>
      <c r="H59" s="928"/>
      <c r="I59" s="928"/>
      <c r="J59" s="928"/>
      <c r="K59" s="928"/>
      <c r="L59" s="928"/>
      <c r="M59" s="928"/>
      <c r="N59" s="928"/>
    </row>
    <row r="60" spans="1:14" x14ac:dyDescent="0.35">
      <c r="A60" s="655"/>
      <c r="B60" s="508" t="s">
        <v>960</v>
      </c>
      <c r="C60" s="610">
        <v>32630</v>
      </c>
      <c r="D60" s="610">
        <v>32001</v>
      </c>
      <c r="E60" s="610">
        <v>64631</v>
      </c>
      <c r="F60" s="610">
        <v>786</v>
      </c>
      <c r="G60" s="610">
        <v>670</v>
      </c>
      <c r="H60" s="610">
        <v>1456</v>
      </c>
      <c r="I60" s="610">
        <v>1924</v>
      </c>
      <c r="J60" s="610">
        <v>2948</v>
      </c>
      <c r="K60" s="610">
        <v>4872</v>
      </c>
      <c r="L60" s="610">
        <v>4959</v>
      </c>
      <c r="M60" s="610">
        <v>6062</v>
      </c>
      <c r="N60" s="610">
        <v>11021</v>
      </c>
    </row>
    <row r="61" spans="1:14" x14ac:dyDescent="0.35">
      <c r="A61" s="655"/>
      <c r="B61" s="509" t="s">
        <v>959</v>
      </c>
      <c r="C61" s="587">
        <v>34621</v>
      </c>
      <c r="D61" s="587">
        <v>31404</v>
      </c>
      <c r="E61" s="587">
        <v>66025</v>
      </c>
      <c r="F61" s="587">
        <v>857</v>
      </c>
      <c r="G61" s="587">
        <v>620</v>
      </c>
      <c r="H61" s="587">
        <v>1477</v>
      </c>
      <c r="I61" s="587">
        <v>2061</v>
      </c>
      <c r="J61" s="587">
        <v>2912</v>
      </c>
      <c r="K61" s="587">
        <v>4973</v>
      </c>
      <c r="L61" s="587">
        <v>5329</v>
      </c>
      <c r="M61" s="587">
        <v>6014</v>
      </c>
      <c r="N61" s="587">
        <v>11343</v>
      </c>
    </row>
    <row r="62" spans="1:14" x14ac:dyDescent="0.35">
      <c r="A62" s="655"/>
      <c r="B62" s="509" t="s">
        <v>958</v>
      </c>
      <c r="C62" s="587">
        <v>35398</v>
      </c>
      <c r="D62" s="587">
        <v>30017</v>
      </c>
      <c r="E62" s="587">
        <v>65415</v>
      </c>
      <c r="F62" s="587">
        <v>822</v>
      </c>
      <c r="G62" s="587">
        <v>592</v>
      </c>
      <c r="H62" s="587">
        <v>1414</v>
      </c>
      <c r="I62" s="587">
        <v>2106</v>
      </c>
      <c r="J62" s="587">
        <v>2783</v>
      </c>
      <c r="K62" s="587">
        <v>4889</v>
      </c>
      <c r="L62" s="587">
        <v>5182</v>
      </c>
      <c r="M62" s="587">
        <v>5690</v>
      </c>
      <c r="N62" s="587">
        <v>10872</v>
      </c>
    </row>
    <row r="63" spans="1:14" x14ac:dyDescent="0.35">
      <c r="A63" s="655"/>
      <c r="B63" s="509" t="s">
        <v>957</v>
      </c>
      <c r="C63" s="587">
        <v>29404</v>
      </c>
      <c r="D63" s="587">
        <v>30881</v>
      </c>
      <c r="E63" s="587">
        <v>60285</v>
      </c>
      <c r="F63" s="587">
        <v>899</v>
      </c>
      <c r="G63" s="587">
        <v>674</v>
      </c>
      <c r="H63" s="587">
        <v>1573</v>
      </c>
      <c r="I63" s="587">
        <v>2088</v>
      </c>
      <c r="J63" s="587">
        <v>2756</v>
      </c>
      <c r="K63" s="587">
        <v>4844</v>
      </c>
      <c r="L63" s="587">
        <v>5615</v>
      </c>
      <c r="M63" s="587">
        <v>6104</v>
      </c>
      <c r="N63" s="587">
        <v>11719</v>
      </c>
    </row>
    <row r="64" spans="1:14" x14ac:dyDescent="0.35">
      <c r="A64" s="655"/>
      <c r="B64" s="509" t="s">
        <v>956</v>
      </c>
      <c r="C64" s="587">
        <v>25055</v>
      </c>
      <c r="D64" s="587">
        <v>27727</v>
      </c>
      <c r="E64" s="587">
        <v>52782</v>
      </c>
      <c r="F64" s="587">
        <v>555</v>
      </c>
      <c r="G64" s="587">
        <v>540</v>
      </c>
      <c r="H64" s="587">
        <v>1095</v>
      </c>
      <c r="I64" s="587">
        <v>1850</v>
      </c>
      <c r="J64" s="587">
        <v>2652</v>
      </c>
      <c r="K64" s="587">
        <v>4502</v>
      </c>
      <c r="L64" s="587">
        <v>4089</v>
      </c>
      <c r="M64" s="587">
        <v>5499</v>
      </c>
      <c r="N64" s="587">
        <v>9588</v>
      </c>
    </row>
    <row r="65" spans="1:14" ht="14.5" x14ac:dyDescent="0.35">
      <c r="A65" s="655">
        <v>10</v>
      </c>
      <c r="B65" s="943" t="s">
        <v>21</v>
      </c>
      <c r="C65" s="928"/>
      <c r="D65" s="928"/>
      <c r="E65" s="928"/>
      <c r="F65" s="928"/>
      <c r="G65" s="928"/>
      <c r="H65" s="928"/>
      <c r="I65" s="928"/>
      <c r="J65" s="928"/>
      <c r="K65" s="928"/>
      <c r="L65" s="928"/>
      <c r="M65" s="928"/>
      <c r="N65" s="928"/>
    </row>
    <row r="66" spans="1:14" x14ac:dyDescent="0.35">
      <c r="A66" s="655"/>
      <c r="B66" s="508" t="s">
        <v>960</v>
      </c>
      <c r="C66" s="610">
        <v>1053498</v>
      </c>
      <c r="D66" s="610">
        <v>888760</v>
      </c>
      <c r="E66" s="610">
        <v>1942258</v>
      </c>
      <c r="F66" s="610">
        <v>96587</v>
      </c>
      <c r="G66" s="610">
        <v>88484</v>
      </c>
      <c r="H66" s="610">
        <v>185071</v>
      </c>
      <c r="I66" s="610">
        <v>109408</v>
      </c>
      <c r="J66" s="610">
        <v>123580</v>
      </c>
      <c r="K66" s="610">
        <v>232988</v>
      </c>
      <c r="L66" s="610">
        <v>356627</v>
      </c>
      <c r="M66" s="610">
        <v>282160</v>
      </c>
      <c r="N66" s="610">
        <v>638787</v>
      </c>
    </row>
    <row r="67" spans="1:14" x14ac:dyDescent="0.35">
      <c r="A67" s="655"/>
      <c r="B67" s="509" t="s">
        <v>959</v>
      </c>
      <c r="C67" s="587">
        <v>1044778</v>
      </c>
      <c r="D67" s="587">
        <v>842763</v>
      </c>
      <c r="E67" s="587">
        <v>1887541</v>
      </c>
      <c r="F67" s="587">
        <v>98208</v>
      </c>
      <c r="G67" s="587">
        <v>83087</v>
      </c>
      <c r="H67" s="587">
        <v>181295</v>
      </c>
      <c r="I67" s="587">
        <v>109208</v>
      </c>
      <c r="J67" s="587">
        <v>115440</v>
      </c>
      <c r="K67" s="587">
        <v>224648</v>
      </c>
      <c r="L67" s="587">
        <v>348289</v>
      </c>
      <c r="M67" s="587">
        <v>261493</v>
      </c>
      <c r="N67" s="587">
        <v>609782</v>
      </c>
    </row>
    <row r="68" spans="1:14" x14ac:dyDescent="0.35">
      <c r="A68" s="655"/>
      <c r="B68" s="509" t="s">
        <v>958</v>
      </c>
      <c r="C68" s="587">
        <v>1009666</v>
      </c>
      <c r="D68" s="587">
        <v>787996</v>
      </c>
      <c r="E68" s="587">
        <v>1797662</v>
      </c>
      <c r="F68" s="587">
        <v>95144</v>
      </c>
      <c r="G68" s="587">
        <v>76178</v>
      </c>
      <c r="H68" s="587">
        <v>171322</v>
      </c>
      <c r="I68" s="587">
        <v>101665</v>
      </c>
      <c r="J68" s="587">
        <v>102861</v>
      </c>
      <c r="K68" s="587">
        <v>204526</v>
      </c>
      <c r="L68" s="587">
        <v>340381</v>
      </c>
      <c r="M68" s="587">
        <v>244776</v>
      </c>
      <c r="N68" s="587">
        <v>585157</v>
      </c>
    </row>
    <row r="69" spans="1:14" x14ac:dyDescent="0.35">
      <c r="A69" s="655"/>
      <c r="B69" s="509" t="s">
        <v>957</v>
      </c>
      <c r="C69" s="587">
        <v>938144</v>
      </c>
      <c r="D69" s="587">
        <v>714986</v>
      </c>
      <c r="E69" s="587">
        <v>1653130</v>
      </c>
      <c r="F69" s="587">
        <v>84815</v>
      </c>
      <c r="G69" s="587">
        <v>65967</v>
      </c>
      <c r="H69" s="587">
        <v>150782</v>
      </c>
      <c r="I69" s="587">
        <v>89913</v>
      </c>
      <c r="J69" s="587">
        <v>87551</v>
      </c>
      <c r="K69" s="587">
        <v>177464</v>
      </c>
      <c r="L69" s="587">
        <v>294584</v>
      </c>
      <c r="M69" s="587">
        <v>207275</v>
      </c>
      <c r="N69" s="587">
        <v>501859</v>
      </c>
    </row>
    <row r="70" spans="1:14" x14ac:dyDescent="0.35">
      <c r="A70" s="655"/>
      <c r="B70" s="509" t="s">
        <v>956</v>
      </c>
      <c r="C70" s="587">
        <v>864967</v>
      </c>
      <c r="D70" s="587">
        <v>679873</v>
      </c>
      <c r="E70" s="587">
        <v>1544840</v>
      </c>
      <c r="F70" s="587">
        <v>78255</v>
      </c>
      <c r="G70" s="587">
        <v>63324</v>
      </c>
      <c r="H70" s="587">
        <v>141579</v>
      </c>
      <c r="I70" s="587">
        <v>79347</v>
      </c>
      <c r="J70" s="587">
        <v>81512</v>
      </c>
      <c r="K70" s="587">
        <v>160859</v>
      </c>
      <c r="L70" s="587">
        <v>283069</v>
      </c>
      <c r="M70" s="587">
        <v>203627</v>
      </c>
      <c r="N70" s="587">
        <v>486696</v>
      </c>
    </row>
    <row r="71" spans="1:14" ht="14.5" x14ac:dyDescent="0.35">
      <c r="A71" s="655">
        <v>11</v>
      </c>
      <c r="B71" s="943" t="s">
        <v>22</v>
      </c>
      <c r="C71" s="928"/>
      <c r="D71" s="928"/>
      <c r="E71" s="928"/>
      <c r="F71" s="928"/>
      <c r="G71" s="928"/>
      <c r="H71" s="928"/>
      <c r="I71" s="928"/>
      <c r="J71" s="928"/>
      <c r="K71" s="928"/>
      <c r="L71" s="928"/>
      <c r="M71" s="928"/>
      <c r="N71" s="928"/>
    </row>
    <row r="72" spans="1:14" x14ac:dyDescent="0.35">
      <c r="A72" s="655"/>
      <c r="B72" s="508" t="s">
        <v>960</v>
      </c>
      <c r="C72" s="610">
        <v>547441</v>
      </c>
      <c r="D72" s="610">
        <v>599948</v>
      </c>
      <c r="E72" s="610">
        <v>1147389</v>
      </c>
      <c r="F72" s="610">
        <v>87241</v>
      </c>
      <c r="G72" s="610">
        <v>104609</v>
      </c>
      <c r="H72" s="610">
        <v>191850</v>
      </c>
      <c r="I72" s="610">
        <v>3047</v>
      </c>
      <c r="J72" s="610">
        <v>3364</v>
      </c>
      <c r="K72" s="610">
        <v>6411</v>
      </c>
      <c r="L72" s="610">
        <v>126838</v>
      </c>
      <c r="M72" s="610">
        <v>136989</v>
      </c>
      <c r="N72" s="610">
        <v>263827</v>
      </c>
    </row>
    <row r="73" spans="1:14" x14ac:dyDescent="0.35">
      <c r="A73" s="655"/>
      <c r="B73" s="509" t="s">
        <v>959</v>
      </c>
      <c r="C73" s="587">
        <v>554551</v>
      </c>
      <c r="D73" s="587">
        <v>591011</v>
      </c>
      <c r="E73" s="587">
        <v>1145562</v>
      </c>
      <c r="F73" s="587">
        <v>90479</v>
      </c>
      <c r="G73" s="587">
        <v>102294</v>
      </c>
      <c r="H73" s="587">
        <v>192773</v>
      </c>
      <c r="I73" s="587">
        <v>2830</v>
      </c>
      <c r="J73" s="587">
        <v>2033</v>
      </c>
      <c r="K73" s="587">
        <v>4863</v>
      </c>
      <c r="L73" s="587">
        <v>130635</v>
      </c>
      <c r="M73" s="587">
        <v>136898</v>
      </c>
      <c r="N73" s="587">
        <v>267533</v>
      </c>
    </row>
    <row r="74" spans="1:14" x14ac:dyDescent="0.35">
      <c r="A74" s="655"/>
      <c r="B74" s="509" t="s">
        <v>958</v>
      </c>
      <c r="C74" s="587">
        <v>542146</v>
      </c>
      <c r="D74" s="587">
        <v>562386</v>
      </c>
      <c r="E74" s="587">
        <v>1104532</v>
      </c>
      <c r="F74" s="587">
        <v>92355</v>
      </c>
      <c r="G74" s="587">
        <v>93635</v>
      </c>
      <c r="H74" s="587">
        <v>185990</v>
      </c>
      <c r="I74" s="587">
        <v>3153</v>
      </c>
      <c r="J74" s="587">
        <v>2027</v>
      </c>
      <c r="K74" s="587">
        <v>5180</v>
      </c>
      <c r="L74" s="587">
        <v>126050</v>
      </c>
      <c r="M74" s="587">
        <v>127165</v>
      </c>
      <c r="N74" s="587">
        <v>253215</v>
      </c>
    </row>
    <row r="75" spans="1:14" x14ac:dyDescent="0.35">
      <c r="A75" s="655"/>
      <c r="B75" s="509" t="s">
        <v>957</v>
      </c>
      <c r="C75" s="587">
        <v>517813</v>
      </c>
      <c r="D75" s="587">
        <v>511346</v>
      </c>
      <c r="E75" s="587">
        <v>1029159</v>
      </c>
      <c r="F75" s="587">
        <v>78157</v>
      </c>
      <c r="G75" s="587">
        <v>76128</v>
      </c>
      <c r="H75" s="587">
        <v>154285</v>
      </c>
      <c r="I75" s="587">
        <v>2799</v>
      </c>
      <c r="J75" s="587">
        <v>1776</v>
      </c>
      <c r="K75" s="587">
        <v>4575</v>
      </c>
      <c r="L75" s="587">
        <v>116069</v>
      </c>
      <c r="M75" s="587">
        <v>109671</v>
      </c>
      <c r="N75" s="587">
        <v>225740</v>
      </c>
    </row>
    <row r="76" spans="1:14" x14ac:dyDescent="0.35">
      <c r="A76" s="655"/>
      <c r="B76" s="509" t="s">
        <v>956</v>
      </c>
      <c r="C76" s="587">
        <v>460487</v>
      </c>
      <c r="D76" s="587">
        <v>473054</v>
      </c>
      <c r="E76" s="587">
        <v>933541</v>
      </c>
      <c r="F76" s="587">
        <v>64017</v>
      </c>
      <c r="G76" s="587">
        <v>65958</v>
      </c>
      <c r="H76" s="587">
        <v>129975</v>
      </c>
      <c r="I76" s="587">
        <v>1795</v>
      </c>
      <c r="J76" s="587">
        <v>1240</v>
      </c>
      <c r="K76" s="587">
        <v>3035</v>
      </c>
      <c r="L76" s="587">
        <v>103486</v>
      </c>
      <c r="M76" s="587">
        <v>104970</v>
      </c>
      <c r="N76" s="587">
        <v>208456</v>
      </c>
    </row>
    <row r="77" spans="1:14" ht="14.5" x14ac:dyDescent="0.35">
      <c r="A77" s="655">
        <v>12</v>
      </c>
      <c r="B77" s="943" t="s">
        <v>23</v>
      </c>
      <c r="C77" s="928"/>
      <c r="D77" s="928"/>
      <c r="E77" s="928"/>
      <c r="F77" s="928"/>
      <c r="G77" s="928"/>
      <c r="H77" s="928"/>
      <c r="I77" s="928"/>
      <c r="J77" s="928"/>
      <c r="K77" s="928"/>
      <c r="L77" s="928"/>
      <c r="M77" s="928"/>
      <c r="N77" s="928"/>
    </row>
    <row r="78" spans="1:14" x14ac:dyDescent="0.35">
      <c r="A78" s="655"/>
      <c r="B78" s="508" t="s">
        <v>960</v>
      </c>
      <c r="C78" s="610">
        <v>154430.05857617993</v>
      </c>
      <c r="D78" s="610">
        <v>181741.87159057913</v>
      </c>
      <c r="E78" s="610">
        <v>336171.93016675906</v>
      </c>
      <c r="F78" s="610">
        <v>32216.574189301544</v>
      </c>
      <c r="G78" s="610">
        <v>39315.287674875937</v>
      </c>
      <c r="H78" s="610">
        <v>71531.861864177481</v>
      </c>
      <c r="I78" s="610">
        <v>8802.6804039964118</v>
      </c>
      <c r="J78" s="610">
        <v>10798.626837517157</v>
      </c>
      <c r="K78" s="610">
        <v>19601.307241513568</v>
      </c>
      <c r="L78" s="610">
        <v>20515.288136482421</v>
      </c>
      <c r="M78" s="610">
        <v>25985.075884938233</v>
      </c>
      <c r="N78" s="610">
        <v>46500.364021420653</v>
      </c>
    </row>
    <row r="79" spans="1:14" x14ac:dyDescent="0.35">
      <c r="A79" s="655"/>
      <c r="B79" s="509" t="s">
        <v>959</v>
      </c>
      <c r="C79" s="587">
        <v>150177.90572196621</v>
      </c>
      <c r="D79" s="587">
        <v>173589.60841493859</v>
      </c>
      <c r="E79" s="587">
        <v>323767.51413690468</v>
      </c>
      <c r="F79" s="587">
        <v>30091.408530145931</v>
      </c>
      <c r="G79" s="587">
        <v>36603.609158986183</v>
      </c>
      <c r="H79" s="587">
        <v>66695.017689132103</v>
      </c>
      <c r="I79" s="587">
        <v>8096.1502016129034</v>
      </c>
      <c r="J79" s="587">
        <v>10075.847230222729</v>
      </c>
      <c r="K79" s="587">
        <v>18171.99743183564</v>
      </c>
      <c r="L79" s="587">
        <v>19305.502976190481</v>
      </c>
      <c r="M79" s="587">
        <v>25377.331557219659</v>
      </c>
      <c r="N79" s="587">
        <v>44682.83453341014</v>
      </c>
    </row>
    <row r="80" spans="1:14" x14ac:dyDescent="0.35">
      <c r="A80" s="655"/>
      <c r="B80" s="509" t="s">
        <v>958</v>
      </c>
      <c r="C80" s="587">
        <v>147143</v>
      </c>
      <c r="D80" s="587">
        <v>172508</v>
      </c>
      <c r="E80" s="587">
        <v>319651</v>
      </c>
      <c r="F80" s="587">
        <v>30001</v>
      </c>
      <c r="G80" s="587">
        <v>36535</v>
      </c>
      <c r="H80" s="587">
        <v>66536</v>
      </c>
      <c r="I80" s="587">
        <v>8689</v>
      </c>
      <c r="J80" s="587">
        <v>10609</v>
      </c>
      <c r="K80" s="587">
        <v>19298</v>
      </c>
      <c r="L80" s="587">
        <v>18959</v>
      </c>
      <c r="M80" s="587">
        <v>25173</v>
      </c>
      <c r="N80" s="587">
        <v>44132</v>
      </c>
    </row>
    <row r="81" spans="1:14" x14ac:dyDescent="0.35">
      <c r="A81" s="655"/>
      <c r="B81" s="509" t="s">
        <v>957</v>
      </c>
      <c r="C81" s="587">
        <v>133196</v>
      </c>
      <c r="D81" s="587">
        <v>156389</v>
      </c>
      <c r="E81" s="587">
        <v>289585</v>
      </c>
      <c r="F81" s="587">
        <v>25382</v>
      </c>
      <c r="G81" s="587">
        <v>30990</v>
      </c>
      <c r="H81" s="587">
        <v>56372</v>
      </c>
      <c r="I81" s="587">
        <v>7967</v>
      </c>
      <c r="J81" s="587">
        <v>9353</v>
      </c>
      <c r="K81" s="587">
        <v>17320</v>
      </c>
      <c r="L81" s="587">
        <v>16132</v>
      </c>
      <c r="M81" s="587">
        <v>21501</v>
      </c>
      <c r="N81" s="587">
        <v>37633</v>
      </c>
    </row>
    <row r="82" spans="1:14" x14ac:dyDescent="0.35">
      <c r="A82" s="655"/>
      <c r="B82" s="509" t="s">
        <v>956</v>
      </c>
      <c r="C82" s="587">
        <v>132231</v>
      </c>
      <c r="D82" s="587">
        <v>157257</v>
      </c>
      <c r="E82" s="587">
        <v>289488</v>
      </c>
      <c r="F82" s="587">
        <v>24422</v>
      </c>
      <c r="G82" s="587">
        <v>30850</v>
      </c>
      <c r="H82" s="587">
        <v>55272</v>
      </c>
      <c r="I82" s="587">
        <v>7555</v>
      </c>
      <c r="J82" s="587">
        <v>9179</v>
      </c>
      <c r="K82" s="587">
        <v>16734</v>
      </c>
      <c r="L82" s="587">
        <v>16277</v>
      </c>
      <c r="M82" s="587">
        <v>22529</v>
      </c>
      <c r="N82" s="587">
        <v>38806</v>
      </c>
    </row>
    <row r="83" spans="1:14" ht="14.5" x14ac:dyDescent="0.35">
      <c r="A83" s="655">
        <v>13</v>
      </c>
      <c r="B83" s="943" t="s">
        <v>24</v>
      </c>
      <c r="C83" s="928"/>
      <c r="D83" s="928"/>
      <c r="E83" s="928"/>
      <c r="F83" s="928"/>
      <c r="G83" s="928"/>
      <c r="H83" s="928"/>
      <c r="I83" s="928"/>
      <c r="J83" s="928"/>
      <c r="K83" s="928"/>
      <c r="L83" s="928"/>
      <c r="M83" s="928"/>
      <c r="N83" s="928"/>
    </row>
    <row r="84" spans="1:14" x14ac:dyDescent="0.35">
      <c r="A84" s="655"/>
      <c r="B84" s="508" t="s">
        <v>960</v>
      </c>
      <c r="C84" s="610">
        <v>161207</v>
      </c>
      <c r="D84" s="610">
        <v>191280</v>
      </c>
      <c r="E84" s="610">
        <v>352487</v>
      </c>
      <c r="F84" s="610">
        <v>10229</v>
      </c>
      <c r="G84" s="610">
        <v>12454</v>
      </c>
      <c r="H84" s="610">
        <v>22683</v>
      </c>
      <c r="I84" s="610">
        <v>14001</v>
      </c>
      <c r="J84" s="610">
        <v>12368</v>
      </c>
      <c r="K84" s="610">
        <v>26369</v>
      </c>
      <c r="L84" s="610">
        <v>15258</v>
      </c>
      <c r="M84" s="610">
        <v>12473</v>
      </c>
      <c r="N84" s="610">
        <v>27731</v>
      </c>
    </row>
    <row r="85" spans="1:14" x14ac:dyDescent="0.35">
      <c r="A85" s="655"/>
      <c r="B85" s="509" t="s">
        <v>959</v>
      </c>
      <c r="C85" s="587">
        <v>190325</v>
      </c>
      <c r="D85" s="587">
        <v>205986</v>
      </c>
      <c r="E85" s="587">
        <v>396311</v>
      </c>
      <c r="F85" s="587">
        <v>12493</v>
      </c>
      <c r="G85" s="587">
        <v>14327</v>
      </c>
      <c r="H85" s="587">
        <v>26820</v>
      </c>
      <c r="I85" s="587">
        <v>15644</v>
      </c>
      <c r="J85" s="587">
        <v>13318</v>
      </c>
      <c r="K85" s="587">
        <v>28962</v>
      </c>
      <c r="L85" s="587">
        <v>16473</v>
      </c>
      <c r="M85" s="587">
        <v>13742</v>
      </c>
      <c r="N85" s="587">
        <v>30215</v>
      </c>
    </row>
    <row r="86" spans="1:14" x14ac:dyDescent="0.35">
      <c r="A86" s="655"/>
      <c r="B86" s="509" t="s">
        <v>958</v>
      </c>
      <c r="C86" s="587">
        <v>192954</v>
      </c>
      <c r="D86" s="587">
        <v>207469</v>
      </c>
      <c r="E86" s="587">
        <v>400423</v>
      </c>
      <c r="F86" s="587">
        <v>12952</v>
      </c>
      <c r="G86" s="587">
        <v>13915</v>
      </c>
      <c r="H86" s="587">
        <v>26867</v>
      </c>
      <c r="I86" s="587">
        <v>16001</v>
      </c>
      <c r="J86" s="587">
        <v>12770</v>
      </c>
      <c r="K86" s="587">
        <v>28771</v>
      </c>
      <c r="L86" s="587">
        <v>15593</v>
      </c>
      <c r="M86" s="587">
        <v>13361</v>
      </c>
      <c r="N86" s="587">
        <v>28954</v>
      </c>
    </row>
    <row r="87" spans="1:14" x14ac:dyDescent="0.35">
      <c r="A87" s="655"/>
      <c r="B87" s="509" t="s">
        <v>957</v>
      </c>
      <c r="C87" s="587">
        <v>193476</v>
      </c>
      <c r="D87" s="587">
        <v>205378</v>
      </c>
      <c r="E87" s="587">
        <v>398854</v>
      </c>
      <c r="F87" s="587">
        <v>10549</v>
      </c>
      <c r="G87" s="587">
        <v>11892</v>
      </c>
      <c r="H87" s="587">
        <v>22441</v>
      </c>
      <c r="I87" s="587">
        <v>13607</v>
      </c>
      <c r="J87" s="587">
        <v>11126</v>
      </c>
      <c r="K87" s="587">
        <v>24733</v>
      </c>
      <c r="L87" s="587">
        <v>14281</v>
      </c>
      <c r="M87" s="587">
        <v>12033</v>
      </c>
      <c r="N87" s="587">
        <v>26314</v>
      </c>
    </row>
    <row r="88" spans="1:14" x14ac:dyDescent="0.35">
      <c r="A88" s="655"/>
      <c r="B88" s="509" t="s">
        <v>956</v>
      </c>
      <c r="C88" s="587">
        <v>199249</v>
      </c>
      <c r="D88" s="587">
        <v>196167</v>
      </c>
      <c r="E88" s="587">
        <v>395416</v>
      </c>
      <c r="F88" s="587">
        <v>9302</v>
      </c>
      <c r="G88" s="587">
        <v>11703</v>
      </c>
      <c r="H88" s="587">
        <v>21005</v>
      </c>
      <c r="I88" s="587">
        <v>12261</v>
      </c>
      <c r="J88" s="587">
        <v>10081</v>
      </c>
      <c r="K88" s="587">
        <v>22342</v>
      </c>
      <c r="L88" s="587">
        <v>14636</v>
      </c>
      <c r="M88" s="587">
        <v>11364</v>
      </c>
      <c r="N88" s="587">
        <v>26000</v>
      </c>
    </row>
    <row r="89" spans="1:14" ht="14.5" x14ac:dyDescent="0.35">
      <c r="A89" s="655">
        <v>14</v>
      </c>
      <c r="B89" s="943" t="s">
        <v>25</v>
      </c>
      <c r="C89" s="928"/>
      <c r="D89" s="928"/>
      <c r="E89" s="928"/>
      <c r="F89" s="928"/>
      <c r="G89" s="928"/>
      <c r="H89" s="928"/>
      <c r="I89" s="928"/>
      <c r="J89" s="928"/>
      <c r="K89" s="928"/>
      <c r="L89" s="928"/>
      <c r="M89" s="928"/>
      <c r="N89" s="928"/>
    </row>
    <row r="90" spans="1:14" x14ac:dyDescent="0.35">
      <c r="A90" s="655"/>
      <c r="B90" s="508" t="s">
        <v>960</v>
      </c>
      <c r="C90" s="610">
        <v>451726</v>
      </c>
      <c r="D90" s="610">
        <v>470129</v>
      </c>
      <c r="E90" s="610">
        <v>921855</v>
      </c>
      <c r="F90" s="610">
        <v>44953</v>
      </c>
      <c r="G90" s="610">
        <v>41610</v>
      </c>
      <c r="H90" s="610">
        <v>86563</v>
      </c>
      <c r="I90" s="610">
        <v>81026</v>
      </c>
      <c r="J90" s="610">
        <v>108555</v>
      </c>
      <c r="K90" s="610">
        <v>189581</v>
      </c>
      <c r="L90" s="610">
        <v>199030</v>
      </c>
      <c r="M90" s="610">
        <v>197385</v>
      </c>
      <c r="N90" s="610">
        <v>396415</v>
      </c>
    </row>
    <row r="91" spans="1:14" x14ac:dyDescent="0.35">
      <c r="A91" s="655"/>
      <c r="B91" s="509" t="s">
        <v>959</v>
      </c>
      <c r="C91" s="587">
        <v>450826</v>
      </c>
      <c r="D91" s="587">
        <v>449954</v>
      </c>
      <c r="E91" s="587">
        <v>900780</v>
      </c>
      <c r="F91" s="587">
        <v>44920</v>
      </c>
      <c r="G91" s="587">
        <v>39857</v>
      </c>
      <c r="H91" s="587">
        <v>84777</v>
      </c>
      <c r="I91" s="587">
        <v>79061</v>
      </c>
      <c r="J91" s="587">
        <v>101701</v>
      </c>
      <c r="K91" s="587">
        <v>180762</v>
      </c>
      <c r="L91" s="587">
        <v>193387</v>
      </c>
      <c r="M91" s="587">
        <v>185986</v>
      </c>
      <c r="N91" s="587">
        <v>379373</v>
      </c>
    </row>
    <row r="92" spans="1:14" x14ac:dyDescent="0.35">
      <c r="A92" s="655"/>
      <c r="B92" s="509" t="s">
        <v>958</v>
      </c>
      <c r="C92" s="587">
        <v>450106</v>
      </c>
      <c r="D92" s="587">
        <v>429859</v>
      </c>
      <c r="E92" s="587">
        <v>879965</v>
      </c>
      <c r="F92" s="587">
        <v>45691</v>
      </c>
      <c r="G92" s="587">
        <v>37065</v>
      </c>
      <c r="H92" s="587">
        <v>82756</v>
      </c>
      <c r="I92" s="587">
        <v>76826</v>
      </c>
      <c r="J92" s="587">
        <v>91503</v>
      </c>
      <c r="K92" s="587">
        <v>168329</v>
      </c>
      <c r="L92" s="587">
        <v>187445</v>
      </c>
      <c r="M92" s="587">
        <v>172605</v>
      </c>
      <c r="N92" s="587">
        <v>360050</v>
      </c>
    </row>
    <row r="93" spans="1:14" x14ac:dyDescent="0.35">
      <c r="A93" s="655"/>
      <c r="B93" s="509" t="s">
        <v>957</v>
      </c>
      <c r="C93" s="587">
        <v>393349</v>
      </c>
      <c r="D93" s="587">
        <v>393338</v>
      </c>
      <c r="E93" s="587">
        <v>786687</v>
      </c>
      <c r="F93" s="587">
        <v>38118</v>
      </c>
      <c r="G93" s="587">
        <v>33279</v>
      </c>
      <c r="H93" s="587">
        <v>71397</v>
      </c>
      <c r="I93" s="587">
        <v>66777</v>
      </c>
      <c r="J93" s="587">
        <v>80751</v>
      </c>
      <c r="K93" s="587">
        <v>147528</v>
      </c>
      <c r="L93" s="587">
        <v>154440</v>
      </c>
      <c r="M93" s="587">
        <v>149715</v>
      </c>
      <c r="N93" s="587">
        <v>304155</v>
      </c>
    </row>
    <row r="94" spans="1:14" x14ac:dyDescent="0.35">
      <c r="A94" s="655"/>
      <c r="B94" s="509" t="s">
        <v>956</v>
      </c>
      <c r="C94" s="587">
        <v>408859</v>
      </c>
      <c r="D94" s="587">
        <v>408701</v>
      </c>
      <c r="E94" s="587">
        <v>817560</v>
      </c>
      <c r="F94" s="587">
        <v>39061</v>
      </c>
      <c r="G94" s="587">
        <v>33841</v>
      </c>
      <c r="H94" s="587">
        <v>72902</v>
      </c>
      <c r="I94" s="587">
        <v>68787</v>
      </c>
      <c r="J94" s="587">
        <v>84739</v>
      </c>
      <c r="K94" s="587">
        <v>153526</v>
      </c>
      <c r="L94" s="587">
        <v>170328</v>
      </c>
      <c r="M94" s="587">
        <v>161304</v>
      </c>
      <c r="N94" s="587">
        <v>331632</v>
      </c>
    </row>
    <row r="95" spans="1:14" ht="14.5" x14ac:dyDescent="0.35">
      <c r="A95" s="655">
        <v>15</v>
      </c>
      <c r="B95" s="943" t="s">
        <v>26</v>
      </c>
      <c r="C95" s="928"/>
      <c r="D95" s="928"/>
      <c r="E95" s="928"/>
      <c r="F95" s="928"/>
      <c r="G95" s="928"/>
      <c r="H95" s="928"/>
      <c r="I95" s="928"/>
      <c r="J95" s="928"/>
      <c r="K95" s="928"/>
      <c r="L95" s="928"/>
      <c r="M95" s="928"/>
      <c r="N95" s="928"/>
    </row>
    <row r="96" spans="1:14" x14ac:dyDescent="0.35">
      <c r="A96" s="655"/>
      <c r="B96" s="508" t="s">
        <v>960</v>
      </c>
      <c r="C96" s="610">
        <v>1395420.3888743175</v>
      </c>
      <c r="D96" s="610">
        <v>1364512.6919459356</v>
      </c>
      <c r="E96" s="610">
        <v>2759933.0808202531</v>
      </c>
      <c r="F96" s="610">
        <v>199423.36684015399</v>
      </c>
      <c r="G96" s="610">
        <v>184948.93561122438</v>
      </c>
      <c r="H96" s="610">
        <v>384372.30245137837</v>
      </c>
      <c r="I96" s="610">
        <v>81382.492340992118</v>
      </c>
      <c r="J96" s="610">
        <v>77524.192732445226</v>
      </c>
      <c r="K96" s="610">
        <v>158906.68507343734</v>
      </c>
      <c r="L96" s="610">
        <v>705547.06738074298</v>
      </c>
      <c r="M96" s="610">
        <v>685146.05840088625</v>
      </c>
      <c r="N96" s="610">
        <v>1390693.1257816292</v>
      </c>
    </row>
    <row r="97" spans="1:14" x14ac:dyDescent="0.35">
      <c r="A97" s="655"/>
      <c r="B97" s="509" t="s">
        <v>959</v>
      </c>
      <c r="C97" s="587">
        <v>1354809.498212181</v>
      </c>
      <c r="D97" s="587">
        <v>1283554.343029592</v>
      </c>
      <c r="E97" s="587">
        <v>2638363.8412417732</v>
      </c>
      <c r="F97" s="587">
        <v>200183.16122696639</v>
      </c>
      <c r="G97" s="587">
        <v>172774.03481140171</v>
      </c>
      <c r="H97" s="587">
        <v>372957.19603836822</v>
      </c>
      <c r="I97" s="587">
        <v>78013.764236896168</v>
      </c>
      <c r="J97" s="587">
        <v>69202.285166291884</v>
      </c>
      <c r="K97" s="587">
        <v>147216.04940318811</v>
      </c>
      <c r="L97" s="587">
        <v>663546.95066277287</v>
      </c>
      <c r="M97" s="587">
        <v>637656.5250365251</v>
      </c>
      <c r="N97" s="587">
        <v>1301203.4756992981</v>
      </c>
    </row>
    <row r="98" spans="1:14" x14ac:dyDescent="0.35">
      <c r="A98" s="655"/>
      <c r="B98" s="509" t="s">
        <v>958</v>
      </c>
      <c r="C98" s="587">
        <v>1258004</v>
      </c>
      <c r="D98" s="587">
        <v>1178536</v>
      </c>
      <c r="E98" s="587">
        <v>2436540</v>
      </c>
      <c r="F98" s="587">
        <v>177617</v>
      </c>
      <c r="G98" s="587">
        <v>158281</v>
      </c>
      <c r="H98" s="587">
        <v>335898</v>
      </c>
      <c r="I98" s="587">
        <v>66315</v>
      </c>
      <c r="J98" s="587">
        <v>59233</v>
      </c>
      <c r="K98" s="587">
        <v>125548</v>
      </c>
      <c r="L98" s="587">
        <v>620133</v>
      </c>
      <c r="M98" s="587">
        <v>587035</v>
      </c>
      <c r="N98" s="587">
        <v>1207168</v>
      </c>
    </row>
    <row r="99" spans="1:14" x14ac:dyDescent="0.35">
      <c r="A99" s="655"/>
      <c r="B99" s="509" t="s">
        <v>957</v>
      </c>
      <c r="C99" s="587">
        <v>1223601</v>
      </c>
      <c r="D99" s="587">
        <v>1216836</v>
      </c>
      <c r="E99" s="587">
        <v>2440437</v>
      </c>
      <c r="F99" s="587">
        <v>157702</v>
      </c>
      <c r="G99" s="587">
        <v>154146</v>
      </c>
      <c r="H99" s="587">
        <v>311848</v>
      </c>
      <c r="I99" s="587">
        <v>58644</v>
      </c>
      <c r="J99" s="587">
        <v>56327</v>
      </c>
      <c r="K99" s="587">
        <v>114971</v>
      </c>
      <c r="L99" s="587">
        <v>565089</v>
      </c>
      <c r="M99" s="587">
        <v>573864</v>
      </c>
      <c r="N99" s="587">
        <v>1138953</v>
      </c>
    </row>
    <row r="100" spans="1:14" x14ac:dyDescent="0.35">
      <c r="A100" s="655"/>
      <c r="B100" s="509" t="s">
        <v>956</v>
      </c>
      <c r="C100" s="587">
        <v>1088883</v>
      </c>
      <c r="D100" s="587">
        <v>1099009</v>
      </c>
      <c r="E100" s="587">
        <v>2187892</v>
      </c>
      <c r="F100" s="587">
        <v>147206</v>
      </c>
      <c r="G100" s="587">
        <v>142956</v>
      </c>
      <c r="H100" s="587">
        <v>290162</v>
      </c>
      <c r="I100" s="587">
        <v>53814</v>
      </c>
      <c r="J100" s="587">
        <v>51947</v>
      </c>
      <c r="K100" s="587">
        <v>105761</v>
      </c>
      <c r="L100" s="587">
        <v>536146</v>
      </c>
      <c r="M100" s="587">
        <v>564008</v>
      </c>
      <c r="N100" s="587">
        <v>1100154</v>
      </c>
    </row>
    <row r="101" spans="1:14" ht="14.5" x14ac:dyDescent="0.35">
      <c r="A101" s="655">
        <v>16</v>
      </c>
      <c r="B101" s="943" t="s">
        <v>27</v>
      </c>
      <c r="C101" s="928"/>
      <c r="D101" s="928"/>
      <c r="E101" s="928"/>
      <c r="F101" s="928"/>
      <c r="G101" s="928"/>
      <c r="H101" s="928"/>
      <c r="I101" s="928"/>
      <c r="J101" s="928"/>
      <c r="K101" s="928"/>
      <c r="L101" s="928"/>
      <c r="M101" s="928"/>
      <c r="N101" s="928"/>
    </row>
    <row r="102" spans="1:14" x14ac:dyDescent="0.35">
      <c r="A102" s="655"/>
      <c r="B102" s="508" t="s">
        <v>960</v>
      </c>
      <c r="C102" s="610">
        <v>538142.37868302769</v>
      </c>
      <c r="D102" s="610">
        <v>738705.55205311871</v>
      </c>
      <c r="E102" s="610">
        <v>1276847.9307361464</v>
      </c>
      <c r="F102" s="610">
        <v>33609.973182021895</v>
      </c>
      <c r="G102" s="610">
        <v>53950.236764881971</v>
      </c>
      <c r="H102" s="610">
        <v>87560.209946903866</v>
      </c>
      <c r="I102" s="610">
        <v>5546.8645177997887</v>
      </c>
      <c r="J102" s="610">
        <v>8163.9252170929585</v>
      </c>
      <c r="K102" s="610">
        <v>13710.789734892747</v>
      </c>
      <c r="L102" s="610">
        <v>282171.40675347298</v>
      </c>
      <c r="M102" s="610">
        <v>417317.16970618663</v>
      </c>
      <c r="N102" s="610">
        <v>699488.57645965961</v>
      </c>
    </row>
    <row r="103" spans="1:14" x14ac:dyDescent="0.35">
      <c r="A103" s="655"/>
      <c r="B103" s="509" t="s">
        <v>959</v>
      </c>
      <c r="C103" s="587">
        <v>512656.94894202409</v>
      </c>
      <c r="D103" s="587">
        <v>711642.52912446763</v>
      </c>
      <c r="E103" s="587">
        <v>1224299.4780664919</v>
      </c>
      <c r="F103" s="587">
        <v>32732.627656286579</v>
      </c>
      <c r="G103" s="587">
        <v>54989.81218986406</v>
      </c>
      <c r="H103" s="587">
        <v>87722.439846150635</v>
      </c>
      <c r="I103" s="587">
        <v>5486.2464801317974</v>
      </c>
      <c r="J103" s="587">
        <v>8197.6246321799754</v>
      </c>
      <c r="K103" s="587">
        <v>13683.87111231177</v>
      </c>
      <c r="L103" s="587">
        <v>257803.16793686029</v>
      </c>
      <c r="M103" s="587">
        <v>385169.35465922602</v>
      </c>
      <c r="N103" s="587">
        <v>642972.52259608626</v>
      </c>
    </row>
    <row r="104" spans="1:14" x14ac:dyDescent="0.35">
      <c r="A104" s="655"/>
      <c r="B104" s="509" t="s">
        <v>958</v>
      </c>
      <c r="C104" s="587">
        <v>554572</v>
      </c>
      <c r="D104" s="587">
        <v>749873</v>
      </c>
      <c r="E104" s="587">
        <v>1304445</v>
      </c>
      <c r="F104" s="587">
        <v>29991</v>
      </c>
      <c r="G104" s="587">
        <v>50960</v>
      </c>
      <c r="H104" s="587">
        <v>80951</v>
      </c>
      <c r="I104" s="587">
        <v>5914</v>
      </c>
      <c r="J104" s="587">
        <v>8352</v>
      </c>
      <c r="K104" s="587">
        <v>14266</v>
      </c>
      <c r="L104" s="587">
        <v>218765</v>
      </c>
      <c r="M104" s="587">
        <v>318522</v>
      </c>
      <c r="N104" s="587">
        <v>537287</v>
      </c>
    </row>
    <row r="105" spans="1:14" x14ac:dyDescent="0.35">
      <c r="A105" s="655"/>
      <c r="B105" s="509" t="s">
        <v>957</v>
      </c>
      <c r="C105" s="587">
        <v>559625</v>
      </c>
      <c r="D105" s="587">
        <v>804911</v>
      </c>
      <c r="E105" s="587">
        <v>1364536</v>
      </c>
      <c r="F105" s="587">
        <v>34488</v>
      </c>
      <c r="G105" s="587">
        <v>62108</v>
      </c>
      <c r="H105" s="587">
        <v>96596</v>
      </c>
      <c r="I105" s="587">
        <v>5702</v>
      </c>
      <c r="J105" s="587">
        <v>8712</v>
      </c>
      <c r="K105" s="587">
        <v>14414</v>
      </c>
      <c r="L105" s="587">
        <v>270266</v>
      </c>
      <c r="M105" s="587">
        <v>426085</v>
      </c>
      <c r="N105" s="587">
        <v>696351</v>
      </c>
    </row>
    <row r="106" spans="1:14" x14ac:dyDescent="0.35">
      <c r="A106" s="655"/>
      <c r="B106" s="509" t="s">
        <v>956</v>
      </c>
      <c r="C106" s="587">
        <v>484849</v>
      </c>
      <c r="D106" s="587">
        <v>653004</v>
      </c>
      <c r="E106" s="587">
        <v>1137853</v>
      </c>
      <c r="F106" s="587">
        <v>25434</v>
      </c>
      <c r="G106" s="587">
        <v>46838</v>
      </c>
      <c r="H106" s="587">
        <v>72272</v>
      </c>
      <c r="I106" s="587">
        <v>4360</v>
      </c>
      <c r="J106" s="587">
        <v>6877</v>
      </c>
      <c r="K106" s="587">
        <v>11237</v>
      </c>
      <c r="L106" s="587">
        <v>194158</v>
      </c>
      <c r="M106" s="587">
        <v>295290</v>
      </c>
      <c r="N106" s="587">
        <v>489448</v>
      </c>
    </row>
    <row r="107" spans="1:14" ht="14.5" x14ac:dyDescent="0.35">
      <c r="A107" s="655">
        <v>17</v>
      </c>
      <c r="B107" s="943" t="s">
        <v>28</v>
      </c>
      <c r="C107" s="928"/>
      <c r="D107" s="928"/>
      <c r="E107" s="928"/>
      <c r="F107" s="928"/>
      <c r="G107" s="928"/>
      <c r="H107" s="928"/>
      <c r="I107" s="928"/>
      <c r="J107" s="928"/>
      <c r="K107" s="928"/>
      <c r="L107" s="928"/>
      <c r="M107" s="928"/>
      <c r="N107" s="928"/>
    </row>
    <row r="108" spans="1:14" x14ac:dyDescent="0.35">
      <c r="A108" s="655"/>
      <c r="B108" s="508" t="s">
        <v>960</v>
      </c>
      <c r="C108" s="610">
        <v>1728</v>
      </c>
      <c r="D108" s="610">
        <v>3036.9999999999991</v>
      </c>
      <c r="E108" s="610">
        <v>4764.9999999999991</v>
      </c>
      <c r="F108" s="610"/>
      <c r="G108" s="610"/>
      <c r="H108" s="610"/>
      <c r="I108" s="610">
        <v>1675.6666666666661</v>
      </c>
      <c r="J108" s="610">
        <v>2931.333333333333</v>
      </c>
      <c r="K108" s="610">
        <v>4606.9999999999991</v>
      </c>
      <c r="L108" s="610"/>
      <c r="M108" s="610"/>
      <c r="N108" s="610"/>
    </row>
    <row r="109" spans="1:14" x14ac:dyDescent="0.35">
      <c r="A109" s="655"/>
      <c r="B109" s="509" t="s">
        <v>959</v>
      </c>
      <c r="C109" s="587">
        <v>1657</v>
      </c>
      <c r="D109" s="587">
        <v>3021</v>
      </c>
      <c r="E109" s="587">
        <v>4678</v>
      </c>
      <c r="F109" s="587"/>
      <c r="G109" s="587">
        <v>1</v>
      </c>
      <c r="H109" s="587">
        <v>1</v>
      </c>
      <c r="I109" s="587">
        <v>1591</v>
      </c>
      <c r="J109" s="587">
        <v>2739</v>
      </c>
      <c r="K109" s="587">
        <v>4330</v>
      </c>
      <c r="L109" s="587"/>
      <c r="M109" s="587">
        <v>5</v>
      </c>
      <c r="N109" s="587">
        <v>5</v>
      </c>
    </row>
    <row r="110" spans="1:14" x14ac:dyDescent="0.35">
      <c r="A110" s="655"/>
      <c r="B110" s="509" t="s">
        <v>958</v>
      </c>
      <c r="C110" s="587">
        <v>1571</v>
      </c>
      <c r="D110" s="587">
        <v>2869</v>
      </c>
      <c r="E110" s="587">
        <v>4440</v>
      </c>
      <c r="F110" s="587">
        <v>20</v>
      </c>
      <c r="G110" s="587">
        <v>20</v>
      </c>
      <c r="H110" s="587">
        <v>40</v>
      </c>
      <c r="I110" s="587">
        <v>1525</v>
      </c>
      <c r="J110" s="587">
        <v>2722</v>
      </c>
      <c r="K110" s="587">
        <v>4247</v>
      </c>
      <c r="L110" s="587"/>
      <c r="M110" s="587">
        <v>5</v>
      </c>
      <c r="N110" s="587">
        <v>5</v>
      </c>
    </row>
    <row r="111" spans="1:14" x14ac:dyDescent="0.35">
      <c r="A111" s="655"/>
      <c r="B111" s="509" t="s">
        <v>957</v>
      </c>
      <c r="C111" s="587">
        <v>1108</v>
      </c>
      <c r="D111" s="587">
        <v>2039</v>
      </c>
      <c r="E111" s="587">
        <v>3147</v>
      </c>
      <c r="F111" s="587"/>
      <c r="G111" s="587">
        <v>16</v>
      </c>
      <c r="H111" s="587">
        <v>16</v>
      </c>
      <c r="I111" s="587">
        <v>902</v>
      </c>
      <c r="J111" s="587">
        <v>1937</v>
      </c>
      <c r="K111" s="587">
        <v>2839</v>
      </c>
      <c r="L111" s="587">
        <v>35</v>
      </c>
      <c r="M111" s="587">
        <v>24</v>
      </c>
      <c r="N111" s="587">
        <v>59</v>
      </c>
    </row>
    <row r="112" spans="1:14" x14ac:dyDescent="0.35">
      <c r="A112" s="655"/>
      <c r="B112" s="509" t="s">
        <v>956</v>
      </c>
      <c r="C112" s="587">
        <v>999</v>
      </c>
      <c r="D112" s="587">
        <v>1898</v>
      </c>
      <c r="E112" s="587">
        <v>2897</v>
      </c>
      <c r="F112" s="587"/>
      <c r="G112" s="587"/>
      <c r="H112" s="587"/>
      <c r="I112" s="587">
        <v>923</v>
      </c>
      <c r="J112" s="587">
        <v>1892</v>
      </c>
      <c r="K112" s="587">
        <v>2815</v>
      </c>
      <c r="L112" s="587">
        <v>14</v>
      </c>
      <c r="M112" s="587"/>
      <c r="N112" s="587">
        <v>14</v>
      </c>
    </row>
    <row r="113" spans="1:14" ht="14.5" x14ac:dyDescent="0.35">
      <c r="A113" s="655">
        <v>18</v>
      </c>
      <c r="B113" s="943" t="s">
        <v>82</v>
      </c>
      <c r="C113" s="928"/>
      <c r="D113" s="928"/>
      <c r="E113" s="928"/>
      <c r="F113" s="928"/>
      <c r="G113" s="928"/>
      <c r="H113" s="928"/>
      <c r="I113" s="928"/>
      <c r="J113" s="928"/>
      <c r="K113" s="928"/>
      <c r="L113" s="928"/>
      <c r="M113" s="928"/>
      <c r="N113" s="928"/>
    </row>
    <row r="114" spans="1:14" x14ac:dyDescent="0.35">
      <c r="A114" s="655"/>
      <c r="B114" s="508" t="s">
        <v>960</v>
      </c>
      <c r="C114" s="610">
        <v>199</v>
      </c>
      <c r="D114" s="610">
        <v>393</v>
      </c>
      <c r="E114" s="610">
        <v>592</v>
      </c>
      <c r="F114" s="610"/>
      <c r="G114" s="610">
        <v>1</v>
      </c>
      <c r="H114" s="610">
        <v>1</v>
      </c>
      <c r="I114" s="610">
        <v>193</v>
      </c>
      <c r="J114" s="610">
        <v>356</v>
      </c>
      <c r="K114" s="610">
        <v>549</v>
      </c>
      <c r="L114" s="610">
        <v>5</v>
      </c>
      <c r="M114" s="610">
        <v>19</v>
      </c>
      <c r="N114" s="610">
        <v>24</v>
      </c>
    </row>
    <row r="115" spans="1:14" x14ac:dyDescent="0.35">
      <c r="A115" s="655"/>
      <c r="B115" s="509" t="s">
        <v>959</v>
      </c>
      <c r="C115" s="587">
        <v>192</v>
      </c>
      <c r="D115" s="587">
        <v>321</v>
      </c>
      <c r="E115" s="587">
        <v>513</v>
      </c>
      <c r="F115" s="587"/>
      <c r="G115" s="587"/>
      <c r="H115" s="587"/>
      <c r="I115" s="587">
        <v>192</v>
      </c>
      <c r="J115" s="587">
        <v>321</v>
      </c>
      <c r="K115" s="587">
        <v>513</v>
      </c>
      <c r="L115" s="587"/>
      <c r="M115" s="587"/>
      <c r="N115" s="587"/>
    </row>
    <row r="116" spans="1:14" x14ac:dyDescent="0.35">
      <c r="A116" s="655"/>
      <c r="B116" s="509" t="s">
        <v>958</v>
      </c>
      <c r="C116" s="587">
        <v>14</v>
      </c>
      <c r="D116" s="587">
        <v>74</v>
      </c>
      <c r="E116" s="587">
        <v>88</v>
      </c>
      <c r="F116" s="587"/>
      <c r="G116" s="587"/>
      <c r="H116" s="587"/>
      <c r="I116" s="587">
        <v>14</v>
      </c>
      <c r="J116" s="587">
        <v>74</v>
      </c>
      <c r="K116" s="587">
        <v>88</v>
      </c>
      <c r="L116" s="587"/>
      <c r="M116" s="587"/>
      <c r="N116" s="587"/>
    </row>
    <row r="117" spans="1:14" x14ac:dyDescent="0.35">
      <c r="A117" s="655"/>
      <c r="B117" s="509" t="s">
        <v>957</v>
      </c>
      <c r="C117" s="587">
        <v>133</v>
      </c>
      <c r="D117" s="587">
        <v>427</v>
      </c>
      <c r="E117" s="587">
        <v>560</v>
      </c>
      <c r="F117" s="587"/>
      <c r="G117" s="587"/>
      <c r="H117" s="587"/>
      <c r="I117" s="587">
        <v>70</v>
      </c>
      <c r="J117" s="587">
        <v>256</v>
      </c>
      <c r="K117" s="587">
        <v>326</v>
      </c>
      <c r="L117" s="587"/>
      <c r="M117" s="587"/>
      <c r="N117" s="587"/>
    </row>
    <row r="118" spans="1:14" x14ac:dyDescent="0.35">
      <c r="A118" s="655"/>
      <c r="B118" s="509" t="s">
        <v>956</v>
      </c>
      <c r="C118" s="587">
        <v>133</v>
      </c>
      <c r="D118" s="587">
        <v>427</v>
      </c>
      <c r="E118" s="587">
        <v>560</v>
      </c>
      <c r="F118" s="587"/>
      <c r="G118" s="587"/>
      <c r="H118" s="587"/>
      <c r="I118" s="587">
        <v>70</v>
      </c>
      <c r="J118" s="587">
        <v>256</v>
      </c>
      <c r="K118" s="587">
        <v>326</v>
      </c>
      <c r="L118" s="587"/>
      <c r="M118" s="587"/>
      <c r="N118" s="587"/>
    </row>
    <row r="119" spans="1:14" ht="14.5" x14ac:dyDescent="0.35">
      <c r="A119" s="655">
        <v>19</v>
      </c>
      <c r="B119" s="943" t="s">
        <v>29</v>
      </c>
      <c r="C119" s="928"/>
      <c r="D119" s="928"/>
      <c r="E119" s="928"/>
      <c r="F119" s="928"/>
      <c r="G119" s="928"/>
      <c r="H119" s="928"/>
      <c r="I119" s="928"/>
      <c r="J119" s="928"/>
      <c r="K119" s="928"/>
      <c r="L119" s="928"/>
      <c r="M119" s="928"/>
      <c r="N119" s="928"/>
    </row>
    <row r="120" spans="1:14" x14ac:dyDescent="0.35">
      <c r="A120" s="655"/>
      <c r="B120" s="508" t="s">
        <v>960</v>
      </c>
      <c r="C120" s="610">
        <v>1444525.2222448413</v>
      </c>
      <c r="D120" s="610">
        <v>1329902.3241369652</v>
      </c>
      <c r="E120" s="610">
        <v>2774427.5463818065</v>
      </c>
      <c r="F120" s="610">
        <v>215083.59309655419</v>
      </c>
      <c r="G120" s="610">
        <v>198571.14797060299</v>
      </c>
      <c r="H120" s="610">
        <v>413654.74106715719</v>
      </c>
      <c r="I120" s="610">
        <v>150956.36597001675</v>
      </c>
      <c r="J120" s="610">
        <v>170128.83510653675</v>
      </c>
      <c r="K120" s="610">
        <v>321085.20107655349</v>
      </c>
      <c r="L120" s="610">
        <v>575266.44022158335</v>
      </c>
      <c r="M120" s="610">
        <v>553922.85103643325</v>
      </c>
      <c r="N120" s="610">
        <v>1129189.2912580166</v>
      </c>
    </row>
    <row r="121" spans="1:14" x14ac:dyDescent="0.35">
      <c r="A121" s="655"/>
      <c r="B121" s="509" t="s">
        <v>959</v>
      </c>
      <c r="C121" s="587">
        <v>1437451.5687109591</v>
      </c>
      <c r="D121" s="587">
        <v>1297797.2946802389</v>
      </c>
      <c r="E121" s="587">
        <v>2735248.8633911982</v>
      </c>
      <c r="F121" s="587">
        <v>218473.2733582842</v>
      </c>
      <c r="G121" s="587">
        <v>194940.53292235141</v>
      </c>
      <c r="H121" s="587">
        <v>413413.80628063559</v>
      </c>
      <c r="I121" s="587">
        <v>152187.5852856081</v>
      </c>
      <c r="J121" s="587">
        <v>164670.9134602113</v>
      </c>
      <c r="K121" s="587">
        <v>316858.49874581938</v>
      </c>
      <c r="L121" s="587">
        <v>572283.22391392826</v>
      </c>
      <c r="M121" s="587">
        <v>537475.790424873</v>
      </c>
      <c r="N121" s="587">
        <v>1109759.0143388009</v>
      </c>
    </row>
    <row r="122" spans="1:14" x14ac:dyDescent="0.35">
      <c r="A122" s="655"/>
      <c r="B122" s="509" t="s">
        <v>958</v>
      </c>
      <c r="C122" s="587">
        <v>1505908</v>
      </c>
      <c r="D122" s="587">
        <v>1294257</v>
      </c>
      <c r="E122" s="587">
        <v>2800165</v>
      </c>
      <c r="F122" s="587">
        <v>226394</v>
      </c>
      <c r="G122" s="587">
        <v>193880</v>
      </c>
      <c r="H122" s="587">
        <v>420274</v>
      </c>
      <c r="I122" s="587">
        <v>164651</v>
      </c>
      <c r="J122" s="587">
        <v>166351</v>
      </c>
      <c r="K122" s="587">
        <v>331002</v>
      </c>
      <c r="L122" s="587">
        <v>575079</v>
      </c>
      <c r="M122" s="587">
        <v>526841</v>
      </c>
      <c r="N122" s="587">
        <v>1101920</v>
      </c>
    </row>
    <row r="123" spans="1:14" x14ac:dyDescent="0.35">
      <c r="A123" s="655"/>
      <c r="B123" s="509" t="s">
        <v>957</v>
      </c>
      <c r="C123" s="587">
        <v>1374036</v>
      </c>
      <c r="D123" s="587">
        <v>1224525</v>
      </c>
      <c r="E123" s="587">
        <v>2598561</v>
      </c>
      <c r="F123" s="587">
        <v>210178</v>
      </c>
      <c r="G123" s="587">
        <v>184840</v>
      </c>
      <c r="H123" s="587">
        <v>395018</v>
      </c>
      <c r="I123" s="587">
        <v>140698</v>
      </c>
      <c r="J123" s="587">
        <v>153701</v>
      </c>
      <c r="K123" s="587">
        <v>294399</v>
      </c>
      <c r="L123" s="587">
        <v>528269</v>
      </c>
      <c r="M123" s="587">
        <v>512294</v>
      </c>
      <c r="N123" s="587">
        <v>1040563</v>
      </c>
    </row>
    <row r="124" spans="1:14" x14ac:dyDescent="0.35">
      <c r="A124" s="655"/>
      <c r="B124" s="509" t="s">
        <v>956</v>
      </c>
      <c r="C124" s="587">
        <v>1144576</v>
      </c>
      <c r="D124" s="587">
        <v>1037578</v>
      </c>
      <c r="E124" s="587">
        <v>2182154</v>
      </c>
      <c r="F124" s="587">
        <v>176528</v>
      </c>
      <c r="G124" s="587">
        <v>154691</v>
      </c>
      <c r="H124" s="587">
        <v>331219</v>
      </c>
      <c r="I124" s="587">
        <v>107910</v>
      </c>
      <c r="J124" s="587">
        <v>107489</v>
      </c>
      <c r="K124" s="587">
        <v>215399</v>
      </c>
      <c r="L124" s="587">
        <v>449846</v>
      </c>
      <c r="M124" s="587">
        <v>425197</v>
      </c>
      <c r="N124" s="587">
        <v>875043</v>
      </c>
    </row>
    <row r="125" spans="1:14" ht="14.5" x14ac:dyDescent="0.35">
      <c r="A125" s="655">
        <v>20</v>
      </c>
      <c r="B125" s="943" t="s">
        <v>30</v>
      </c>
      <c r="C125" s="928"/>
      <c r="D125" s="928"/>
      <c r="E125" s="928"/>
      <c r="F125" s="928"/>
      <c r="G125" s="928"/>
      <c r="H125" s="928"/>
      <c r="I125" s="928"/>
      <c r="J125" s="928"/>
      <c r="K125" s="928"/>
      <c r="L125" s="928"/>
      <c r="M125" s="928"/>
      <c r="N125" s="928"/>
    </row>
    <row r="126" spans="1:14" x14ac:dyDescent="0.35">
      <c r="A126" s="655"/>
      <c r="B126" s="508" t="s">
        <v>960</v>
      </c>
      <c r="C126" s="610">
        <v>2473057.5083789262</v>
      </c>
      <c r="D126" s="610">
        <v>2180511.4741946277</v>
      </c>
      <c r="E126" s="610">
        <v>4653568.9825735539</v>
      </c>
      <c r="F126" s="610">
        <v>291043.96321559791</v>
      </c>
      <c r="G126" s="610">
        <v>287160.04740436911</v>
      </c>
      <c r="H126" s="610">
        <v>578204.01061996701</v>
      </c>
      <c r="I126" s="610">
        <v>117817.85829902327</v>
      </c>
      <c r="J126" s="610">
        <v>106856.56778286875</v>
      </c>
      <c r="K126" s="610">
        <v>224674.42608189202</v>
      </c>
      <c r="L126" s="610">
        <v>775512.47842279554</v>
      </c>
      <c r="M126" s="610">
        <v>680918.77319571225</v>
      </c>
      <c r="N126" s="610">
        <v>1456431.2516185078</v>
      </c>
    </row>
    <row r="127" spans="1:14" x14ac:dyDescent="0.35">
      <c r="A127" s="655"/>
      <c r="B127" s="509" t="s">
        <v>959</v>
      </c>
      <c r="C127" s="587">
        <v>2651540.4556586249</v>
      </c>
      <c r="D127" s="587">
        <v>2207589.0687756981</v>
      </c>
      <c r="E127" s="587">
        <v>4859129.5244343234</v>
      </c>
      <c r="F127" s="587">
        <v>327606.09532289929</v>
      </c>
      <c r="G127" s="587">
        <v>294749.66864030098</v>
      </c>
      <c r="H127" s="587">
        <v>622355.76396320038</v>
      </c>
      <c r="I127" s="587">
        <v>127649.2088028236</v>
      </c>
      <c r="J127" s="587">
        <v>104643.92103343341</v>
      </c>
      <c r="K127" s="587">
        <v>232293.12983625699</v>
      </c>
      <c r="L127" s="587">
        <v>839907.32933049358</v>
      </c>
      <c r="M127" s="587">
        <v>701544.64712424111</v>
      </c>
      <c r="N127" s="587">
        <v>1541451.976454735</v>
      </c>
    </row>
    <row r="128" spans="1:14" x14ac:dyDescent="0.35">
      <c r="A128" s="655"/>
      <c r="B128" s="509" t="s">
        <v>958</v>
      </c>
      <c r="C128" s="587">
        <v>2542831</v>
      </c>
      <c r="D128" s="587">
        <v>2035012</v>
      </c>
      <c r="E128" s="587">
        <v>4577843</v>
      </c>
      <c r="F128" s="587">
        <v>313255</v>
      </c>
      <c r="G128" s="587">
        <v>268938</v>
      </c>
      <c r="H128" s="587">
        <v>582193</v>
      </c>
      <c r="I128" s="587">
        <v>115731</v>
      </c>
      <c r="J128" s="587">
        <v>90990</v>
      </c>
      <c r="K128" s="587">
        <v>206721</v>
      </c>
      <c r="L128" s="587">
        <v>763737</v>
      </c>
      <c r="M128" s="587">
        <v>615985</v>
      </c>
      <c r="N128" s="587">
        <v>1379722</v>
      </c>
    </row>
    <row r="129" spans="1:14" x14ac:dyDescent="0.35">
      <c r="A129" s="655"/>
      <c r="B129" s="509" t="s">
        <v>957</v>
      </c>
      <c r="C129" s="587">
        <v>2491897</v>
      </c>
      <c r="D129" s="587">
        <v>2054252</v>
      </c>
      <c r="E129" s="587">
        <v>4546149</v>
      </c>
      <c r="F129" s="587">
        <v>290289</v>
      </c>
      <c r="G129" s="587">
        <v>255618</v>
      </c>
      <c r="H129" s="587">
        <v>545907</v>
      </c>
      <c r="I129" s="587">
        <v>111489</v>
      </c>
      <c r="J129" s="587">
        <v>86643</v>
      </c>
      <c r="K129" s="587">
        <v>198132</v>
      </c>
      <c r="L129" s="587">
        <v>723073</v>
      </c>
      <c r="M129" s="587">
        <v>583566</v>
      </c>
      <c r="N129" s="587">
        <v>1306639</v>
      </c>
    </row>
    <row r="130" spans="1:14" x14ac:dyDescent="0.35">
      <c r="A130" s="655"/>
      <c r="B130" s="509" t="s">
        <v>956</v>
      </c>
      <c r="C130" s="587">
        <v>2313862</v>
      </c>
      <c r="D130" s="587">
        <v>1951610</v>
      </c>
      <c r="E130" s="587">
        <v>4265472</v>
      </c>
      <c r="F130" s="587">
        <v>260361</v>
      </c>
      <c r="G130" s="587">
        <v>243253</v>
      </c>
      <c r="H130" s="587">
        <v>503614</v>
      </c>
      <c r="I130" s="587">
        <v>105835</v>
      </c>
      <c r="J130" s="587">
        <v>82907</v>
      </c>
      <c r="K130" s="587">
        <v>188742</v>
      </c>
      <c r="L130" s="587">
        <v>684718</v>
      </c>
      <c r="M130" s="587">
        <v>581699</v>
      </c>
      <c r="N130" s="587">
        <v>1266417</v>
      </c>
    </row>
    <row r="131" spans="1:14" ht="14.5" x14ac:dyDescent="0.35">
      <c r="A131" s="655">
        <v>21</v>
      </c>
      <c r="B131" s="943" t="s">
        <v>31</v>
      </c>
      <c r="C131" s="928"/>
      <c r="D131" s="928"/>
      <c r="E131" s="928"/>
      <c r="F131" s="928"/>
      <c r="G131" s="928"/>
      <c r="H131" s="928"/>
      <c r="I131" s="928"/>
      <c r="J131" s="928"/>
      <c r="K131" s="928"/>
      <c r="L131" s="928"/>
      <c r="M131" s="928"/>
      <c r="N131" s="928"/>
    </row>
    <row r="132" spans="1:14" x14ac:dyDescent="0.35">
      <c r="A132" s="655"/>
      <c r="B132" s="508" t="s">
        <v>960</v>
      </c>
      <c r="C132" s="610">
        <v>55808</v>
      </c>
      <c r="D132" s="610">
        <v>56573</v>
      </c>
      <c r="E132" s="610">
        <v>112381</v>
      </c>
      <c r="F132" s="610">
        <v>3996</v>
      </c>
      <c r="G132" s="610">
        <v>3761</v>
      </c>
      <c r="H132" s="610">
        <v>7757</v>
      </c>
      <c r="I132" s="610">
        <v>17784</v>
      </c>
      <c r="J132" s="610">
        <v>18659</v>
      </c>
      <c r="K132" s="610">
        <v>36443</v>
      </c>
      <c r="L132" s="610">
        <v>19968</v>
      </c>
      <c r="M132" s="610">
        <v>21506</v>
      </c>
      <c r="N132" s="610">
        <v>41474</v>
      </c>
    </row>
    <row r="133" spans="1:14" x14ac:dyDescent="0.35">
      <c r="A133" s="655"/>
      <c r="B133" s="509" t="s">
        <v>959</v>
      </c>
      <c r="C133" s="587">
        <v>61774.737123557563</v>
      </c>
      <c r="D133" s="587">
        <v>61231.478187447217</v>
      </c>
      <c r="E133" s="587">
        <v>123006.21531100479</v>
      </c>
      <c r="F133" s="587">
        <v>3628.4411764705878</v>
      </c>
      <c r="G133" s="587">
        <v>3641.4165493948781</v>
      </c>
      <c r="H133" s="587">
        <v>7269.8577258654659</v>
      </c>
      <c r="I133" s="587">
        <v>22021.542217844071</v>
      </c>
      <c r="J133" s="587">
        <v>22352.584998592742</v>
      </c>
      <c r="K133" s="587">
        <v>44374.127216436813</v>
      </c>
      <c r="L133" s="587">
        <v>19986.33703912187</v>
      </c>
      <c r="M133" s="587">
        <v>20753.839994370948</v>
      </c>
      <c r="N133" s="587">
        <v>40740.177033492822</v>
      </c>
    </row>
    <row r="134" spans="1:14" x14ac:dyDescent="0.35">
      <c r="A134" s="655"/>
      <c r="B134" s="509" t="s">
        <v>958</v>
      </c>
      <c r="C134" s="587">
        <v>66234</v>
      </c>
      <c r="D134" s="587">
        <v>64154</v>
      </c>
      <c r="E134" s="587">
        <v>130388</v>
      </c>
      <c r="F134" s="587">
        <v>3910</v>
      </c>
      <c r="G134" s="587">
        <v>3755</v>
      </c>
      <c r="H134" s="587">
        <v>7665</v>
      </c>
      <c r="I134" s="587">
        <v>22375</v>
      </c>
      <c r="J134" s="587">
        <v>22919</v>
      </c>
      <c r="K134" s="587">
        <v>45294</v>
      </c>
      <c r="L134" s="587">
        <v>20640</v>
      </c>
      <c r="M134" s="587">
        <v>21195</v>
      </c>
      <c r="N134" s="587">
        <v>41835</v>
      </c>
    </row>
    <row r="135" spans="1:14" x14ac:dyDescent="0.35">
      <c r="A135" s="655"/>
      <c r="B135" s="509" t="s">
        <v>957</v>
      </c>
      <c r="C135" s="587">
        <v>68916</v>
      </c>
      <c r="D135" s="587">
        <v>69583</v>
      </c>
      <c r="E135" s="587">
        <v>138499</v>
      </c>
      <c r="F135" s="587">
        <v>5110</v>
      </c>
      <c r="G135" s="587">
        <v>4229</v>
      </c>
      <c r="H135" s="587">
        <v>9339</v>
      </c>
      <c r="I135" s="587">
        <v>18790</v>
      </c>
      <c r="J135" s="587">
        <v>18859</v>
      </c>
      <c r="K135" s="587">
        <v>37649</v>
      </c>
      <c r="L135" s="587">
        <v>18578</v>
      </c>
      <c r="M135" s="587">
        <v>22308</v>
      </c>
      <c r="N135" s="587">
        <v>40886</v>
      </c>
    </row>
    <row r="136" spans="1:14" x14ac:dyDescent="0.35">
      <c r="A136" s="655"/>
      <c r="B136" s="509" t="s">
        <v>956</v>
      </c>
      <c r="C136" s="587">
        <v>60918</v>
      </c>
      <c r="D136" s="587">
        <v>63620</v>
      </c>
      <c r="E136" s="587">
        <v>124538</v>
      </c>
      <c r="F136" s="587">
        <v>3353</v>
      </c>
      <c r="G136" s="587">
        <v>3259</v>
      </c>
      <c r="H136" s="587">
        <v>6612</v>
      </c>
      <c r="I136" s="587">
        <v>17660</v>
      </c>
      <c r="J136" s="587">
        <v>18273</v>
      </c>
      <c r="K136" s="587">
        <v>35933</v>
      </c>
      <c r="L136" s="587">
        <v>17875</v>
      </c>
      <c r="M136" s="587">
        <v>22253</v>
      </c>
      <c r="N136" s="587">
        <v>40128</v>
      </c>
    </row>
    <row r="137" spans="1:14" ht="14.5" x14ac:dyDescent="0.35">
      <c r="A137" s="655">
        <v>22</v>
      </c>
      <c r="B137" s="943" t="s">
        <v>32</v>
      </c>
      <c r="C137" s="928"/>
      <c r="D137" s="928"/>
      <c r="E137" s="928"/>
      <c r="F137" s="928"/>
      <c r="G137" s="928"/>
      <c r="H137" s="928"/>
      <c r="I137" s="928"/>
      <c r="J137" s="928"/>
      <c r="K137" s="928"/>
      <c r="L137" s="928"/>
      <c r="M137" s="928"/>
      <c r="N137" s="928"/>
    </row>
    <row r="138" spans="1:14" x14ac:dyDescent="0.35">
      <c r="A138" s="655"/>
      <c r="B138" s="508" t="s">
        <v>960</v>
      </c>
      <c r="C138" s="610">
        <v>48325.400568181823</v>
      </c>
      <c r="D138" s="610">
        <v>61490.309659090897</v>
      </c>
      <c r="E138" s="610">
        <v>109815.71022727272</v>
      </c>
      <c r="F138" s="610">
        <v>1868.3551136363635</v>
      </c>
      <c r="G138" s="610">
        <v>1676.0795454545455</v>
      </c>
      <c r="H138" s="610">
        <v>3544.434659090909</v>
      </c>
      <c r="I138" s="610">
        <v>33154.420454545449</v>
      </c>
      <c r="J138" s="610">
        <v>47584.071022727272</v>
      </c>
      <c r="K138" s="610">
        <v>80738.491477272721</v>
      </c>
      <c r="L138" s="610">
        <v>2077.0511363636365</v>
      </c>
      <c r="M138" s="610">
        <v>2111.1732954545455</v>
      </c>
      <c r="N138" s="610">
        <v>4188.224431818182</v>
      </c>
    </row>
    <row r="139" spans="1:14" x14ac:dyDescent="0.35">
      <c r="A139" s="655"/>
      <c r="B139" s="509" t="s">
        <v>959</v>
      </c>
      <c r="C139" s="587">
        <v>45017.484848484848</v>
      </c>
      <c r="D139" s="587">
        <v>56914.878787878777</v>
      </c>
      <c r="E139" s="587">
        <v>101932.3636363636</v>
      </c>
      <c r="F139" s="587">
        <v>826.18181818181813</v>
      </c>
      <c r="G139" s="587">
        <v>783</v>
      </c>
      <c r="H139" s="587">
        <v>1609.181818181818</v>
      </c>
      <c r="I139" s="587">
        <v>34005.666666666657</v>
      </c>
      <c r="J139" s="587">
        <v>47133.42424242424</v>
      </c>
      <c r="K139" s="587">
        <v>81139.090909090912</v>
      </c>
      <c r="L139" s="587">
        <v>1512.606060606061</v>
      </c>
      <c r="M139" s="587">
        <v>1590</v>
      </c>
      <c r="N139" s="587">
        <v>3102.606060606061</v>
      </c>
    </row>
    <row r="140" spans="1:14" x14ac:dyDescent="0.35">
      <c r="A140" s="655"/>
      <c r="B140" s="509" t="s">
        <v>958</v>
      </c>
      <c r="C140" s="587">
        <v>43588</v>
      </c>
      <c r="D140" s="587">
        <v>52865</v>
      </c>
      <c r="E140" s="587">
        <v>96453</v>
      </c>
      <c r="F140" s="587">
        <v>1317</v>
      </c>
      <c r="G140" s="587">
        <v>1311</v>
      </c>
      <c r="H140" s="587">
        <v>2628</v>
      </c>
      <c r="I140" s="587">
        <v>32765</v>
      </c>
      <c r="J140" s="587">
        <v>43390</v>
      </c>
      <c r="K140" s="587">
        <v>76155</v>
      </c>
      <c r="L140" s="587">
        <v>1403</v>
      </c>
      <c r="M140" s="587">
        <v>1362</v>
      </c>
      <c r="N140" s="587">
        <v>2765</v>
      </c>
    </row>
    <row r="141" spans="1:14" x14ac:dyDescent="0.35">
      <c r="A141" s="655"/>
      <c r="B141" s="509" t="s">
        <v>957</v>
      </c>
      <c r="C141" s="587">
        <v>43104</v>
      </c>
      <c r="D141" s="587">
        <v>54480</v>
      </c>
      <c r="E141" s="587">
        <v>97584</v>
      </c>
      <c r="F141" s="587">
        <v>2114</v>
      </c>
      <c r="G141" s="587">
        <v>1697</v>
      </c>
      <c r="H141" s="587">
        <v>3811</v>
      </c>
      <c r="I141" s="587">
        <v>30260</v>
      </c>
      <c r="J141" s="587">
        <v>41669</v>
      </c>
      <c r="K141" s="587">
        <v>71929</v>
      </c>
      <c r="L141" s="587">
        <v>1120</v>
      </c>
      <c r="M141" s="587">
        <v>1158</v>
      </c>
      <c r="N141" s="587">
        <v>2278</v>
      </c>
    </row>
    <row r="142" spans="1:14" x14ac:dyDescent="0.35">
      <c r="A142" s="655"/>
      <c r="B142" s="509" t="s">
        <v>956</v>
      </c>
      <c r="C142" s="587">
        <v>39844</v>
      </c>
      <c r="D142" s="587">
        <v>47697</v>
      </c>
      <c r="E142" s="587">
        <v>87541</v>
      </c>
      <c r="F142" s="587">
        <v>1124</v>
      </c>
      <c r="G142" s="587">
        <v>824</v>
      </c>
      <c r="H142" s="587">
        <v>1948</v>
      </c>
      <c r="I142" s="587">
        <v>29208</v>
      </c>
      <c r="J142" s="587">
        <v>39413</v>
      </c>
      <c r="K142" s="587">
        <v>68621</v>
      </c>
      <c r="L142" s="587">
        <v>2503</v>
      </c>
      <c r="M142" s="587">
        <v>1460</v>
      </c>
      <c r="N142" s="587">
        <v>3963</v>
      </c>
    </row>
    <row r="143" spans="1:14" ht="14.5" x14ac:dyDescent="0.35">
      <c r="A143" s="655">
        <v>23</v>
      </c>
      <c r="B143" s="943" t="s">
        <v>33</v>
      </c>
      <c r="C143" s="928"/>
      <c r="D143" s="928"/>
      <c r="E143" s="928"/>
      <c r="F143" s="928"/>
      <c r="G143" s="928"/>
      <c r="H143" s="928"/>
      <c r="I143" s="928"/>
      <c r="J143" s="928"/>
      <c r="K143" s="928"/>
      <c r="L143" s="928"/>
      <c r="M143" s="928"/>
      <c r="N143" s="928"/>
    </row>
    <row r="144" spans="1:14" x14ac:dyDescent="0.35">
      <c r="A144" s="655"/>
      <c r="B144" s="508" t="s">
        <v>960</v>
      </c>
      <c r="C144" s="610">
        <v>22495</v>
      </c>
      <c r="D144" s="610">
        <v>22882</v>
      </c>
      <c r="E144" s="610">
        <v>45377</v>
      </c>
      <c r="F144" s="610">
        <v>249</v>
      </c>
      <c r="G144" s="610">
        <v>128</v>
      </c>
      <c r="H144" s="610">
        <v>377</v>
      </c>
      <c r="I144" s="610">
        <v>21006</v>
      </c>
      <c r="J144" s="610">
        <v>21941</v>
      </c>
      <c r="K144" s="610">
        <v>42947</v>
      </c>
      <c r="L144" s="610">
        <v>412</v>
      </c>
      <c r="M144" s="610">
        <v>287</v>
      </c>
      <c r="N144" s="610">
        <v>699</v>
      </c>
    </row>
    <row r="145" spans="1:14" x14ac:dyDescent="0.35">
      <c r="A145" s="655"/>
      <c r="B145" s="509" t="s">
        <v>959</v>
      </c>
      <c r="C145" s="587">
        <v>24181</v>
      </c>
      <c r="D145" s="587">
        <v>24430</v>
      </c>
      <c r="E145" s="587">
        <v>48611</v>
      </c>
      <c r="F145" s="587">
        <v>273</v>
      </c>
      <c r="G145" s="587">
        <v>160</v>
      </c>
      <c r="H145" s="587">
        <v>433</v>
      </c>
      <c r="I145" s="587">
        <v>22514</v>
      </c>
      <c r="J145" s="587">
        <v>23420</v>
      </c>
      <c r="K145" s="587">
        <v>45934</v>
      </c>
      <c r="L145" s="587">
        <v>423</v>
      </c>
      <c r="M145" s="587">
        <v>314</v>
      </c>
      <c r="N145" s="587">
        <v>737</v>
      </c>
    </row>
    <row r="146" spans="1:14" x14ac:dyDescent="0.35">
      <c r="A146" s="655"/>
      <c r="B146" s="509" t="s">
        <v>958</v>
      </c>
      <c r="C146" s="587">
        <v>23191</v>
      </c>
      <c r="D146" s="587">
        <v>23580</v>
      </c>
      <c r="E146" s="587">
        <v>46771</v>
      </c>
      <c r="F146" s="587">
        <v>643</v>
      </c>
      <c r="G146" s="587">
        <v>207</v>
      </c>
      <c r="H146" s="587">
        <v>850</v>
      </c>
      <c r="I146" s="587">
        <v>21424</v>
      </c>
      <c r="J146" s="587">
        <v>22654</v>
      </c>
      <c r="K146" s="587">
        <v>44078</v>
      </c>
      <c r="L146" s="587">
        <v>392</v>
      </c>
      <c r="M146" s="587">
        <v>281</v>
      </c>
      <c r="N146" s="587">
        <v>673</v>
      </c>
    </row>
    <row r="147" spans="1:14" x14ac:dyDescent="0.35">
      <c r="A147" s="655"/>
      <c r="B147" s="509" t="s">
        <v>957</v>
      </c>
      <c r="C147" s="587">
        <v>19201</v>
      </c>
      <c r="D147" s="587">
        <v>19509</v>
      </c>
      <c r="E147" s="587">
        <v>38710</v>
      </c>
      <c r="F147" s="587">
        <v>200</v>
      </c>
      <c r="G147" s="587">
        <v>111</v>
      </c>
      <c r="H147" s="587">
        <v>311</v>
      </c>
      <c r="I147" s="587">
        <v>17963</v>
      </c>
      <c r="J147" s="587">
        <v>18673</v>
      </c>
      <c r="K147" s="587">
        <v>36636</v>
      </c>
      <c r="L147" s="587">
        <v>379</v>
      </c>
      <c r="M147" s="587">
        <v>244</v>
      </c>
      <c r="N147" s="587">
        <v>623</v>
      </c>
    </row>
    <row r="148" spans="1:14" x14ac:dyDescent="0.35">
      <c r="A148" s="655"/>
      <c r="B148" s="509" t="s">
        <v>956</v>
      </c>
      <c r="C148" s="587">
        <v>17156</v>
      </c>
      <c r="D148" s="587">
        <v>16080</v>
      </c>
      <c r="E148" s="587">
        <v>33236</v>
      </c>
      <c r="F148" s="587">
        <v>161</v>
      </c>
      <c r="G148" s="587">
        <v>61</v>
      </c>
      <c r="H148" s="587">
        <v>222</v>
      </c>
      <c r="I148" s="587">
        <v>15882</v>
      </c>
      <c r="J148" s="587">
        <v>15689</v>
      </c>
      <c r="K148" s="587">
        <v>31571</v>
      </c>
      <c r="L148" s="587">
        <v>380</v>
      </c>
      <c r="M148" s="587">
        <v>181</v>
      </c>
      <c r="N148" s="587">
        <v>561</v>
      </c>
    </row>
    <row r="149" spans="1:14" ht="14.5" x14ac:dyDescent="0.35">
      <c r="A149" s="655">
        <v>24</v>
      </c>
      <c r="B149" s="943" t="s">
        <v>34</v>
      </c>
      <c r="C149" s="928"/>
      <c r="D149" s="928"/>
      <c r="E149" s="928"/>
      <c r="F149" s="928"/>
      <c r="G149" s="928"/>
      <c r="H149" s="928"/>
      <c r="I149" s="928"/>
      <c r="J149" s="928"/>
      <c r="K149" s="928"/>
      <c r="L149" s="928"/>
      <c r="M149" s="928"/>
      <c r="N149" s="928"/>
    </row>
    <row r="150" spans="1:14" x14ac:dyDescent="0.35">
      <c r="A150" s="655"/>
      <c r="B150" s="508" t="s">
        <v>960</v>
      </c>
      <c r="C150" s="610">
        <v>22483</v>
      </c>
      <c r="D150" s="610">
        <v>27441</v>
      </c>
      <c r="E150" s="610">
        <v>49924</v>
      </c>
      <c r="F150" s="610">
        <v>322</v>
      </c>
      <c r="G150" s="610">
        <v>243</v>
      </c>
      <c r="H150" s="610">
        <v>565</v>
      </c>
      <c r="I150" s="610">
        <v>19540</v>
      </c>
      <c r="J150" s="610">
        <v>24708</v>
      </c>
      <c r="K150" s="610">
        <v>44248</v>
      </c>
      <c r="L150" s="610">
        <v>760</v>
      </c>
      <c r="M150" s="610">
        <v>659</v>
      </c>
      <c r="N150" s="610">
        <v>1419</v>
      </c>
    </row>
    <row r="151" spans="1:14" x14ac:dyDescent="0.35">
      <c r="A151" s="655"/>
      <c r="B151" s="509" t="s">
        <v>959</v>
      </c>
      <c r="C151" s="587">
        <v>22939</v>
      </c>
      <c r="D151" s="587">
        <v>28367</v>
      </c>
      <c r="E151" s="587">
        <v>51306</v>
      </c>
      <c r="F151" s="587">
        <v>299</v>
      </c>
      <c r="G151" s="587">
        <v>185</v>
      </c>
      <c r="H151" s="587">
        <v>484</v>
      </c>
      <c r="I151" s="587">
        <v>20507</v>
      </c>
      <c r="J151" s="587">
        <v>26082</v>
      </c>
      <c r="K151" s="587">
        <v>46589</v>
      </c>
      <c r="L151" s="587">
        <v>639</v>
      </c>
      <c r="M151" s="587">
        <v>537</v>
      </c>
      <c r="N151" s="587">
        <v>1176</v>
      </c>
    </row>
    <row r="152" spans="1:14" x14ac:dyDescent="0.35">
      <c r="A152" s="655"/>
      <c r="B152" s="509" t="s">
        <v>958</v>
      </c>
      <c r="C152" s="587">
        <v>23557</v>
      </c>
      <c r="D152" s="587">
        <v>27666</v>
      </c>
      <c r="E152" s="587">
        <v>51223</v>
      </c>
      <c r="F152" s="587">
        <v>286</v>
      </c>
      <c r="G152" s="587">
        <v>312</v>
      </c>
      <c r="H152" s="587">
        <v>598</v>
      </c>
      <c r="I152" s="587">
        <v>20887</v>
      </c>
      <c r="J152" s="587">
        <v>24980</v>
      </c>
      <c r="K152" s="587">
        <v>45867</v>
      </c>
      <c r="L152" s="587">
        <v>603</v>
      </c>
      <c r="M152" s="587">
        <v>550</v>
      </c>
      <c r="N152" s="587">
        <v>1153</v>
      </c>
    </row>
    <row r="153" spans="1:14" x14ac:dyDescent="0.35">
      <c r="A153" s="655"/>
      <c r="B153" s="509" t="s">
        <v>957</v>
      </c>
      <c r="C153" s="587">
        <v>21750</v>
      </c>
      <c r="D153" s="587">
        <v>25204</v>
      </c>
      <c r="E153" s="587">
        <v>46954</v>
      </c>
      <c r="F153" s="587">
        <v>279</v>
      </c>
      <c r="G153" s="587">
        <v>265</v>
      </c>
      <c r="H153" s="587">
        <v>544</v>
      </c>
      <c r="I153" s="587">
        <v>18340</v>
      </c>
      <c r="J153" s="587">
        <v>21869</v>
      </c>
      <c r="K153" s="587">
        <v>40209</v>
      </c>
      <c r="L153" s="587">
        <v>517</v>
      </c>
      <c r="M153" s="587">
        <v>472</v>
      </c>
      <c r="N153" s="587">
        <v>989</v>
      </c>
    </row>
    <row r="154" spans="1:14" x14ac:dyDescent="0.35">
      <c r="A154" s="655"/>
      <c r="B154" s="509" t="s">
        <v>956</v>
      </c>
      <c r="C154" s="587">
        <v>20255</v>
      </c>
      <c r="D154" s="587">
        <v>24306</v>
      </c>
      <c r="E154" s="587">
        <v>44561</v>
      </c>
      <c r="F154" s="587">
        <v>191</v>
      </c>
      <c r="G154" s="587">
        <v>145</v>
      </c>
      <c r="H154" s="587">
        <v>336</v>
      </c>
      <c r="I154" s="587">
        <v>18460</v>
      </c>
      <c r="J154" s="587">
        <v>22495</v>
      </c>
      <c r="K154" s="587">
        <v>40955</v>
      </c>
      <c r="L154" s="587">
        <v>454</v>
      </c>
      <c r="M154" s="587">
        <v>389</v>
      </c>
      <c r="N154" s="587">
        <v>843</v>
      </c>
    </row>
    <row r="155" spans="1:14" ht="14.5" x14ac:dyDescent="0.35">
      <c r="A155" s="655">
        <v>25</v>
      </c>
      <c r="B155" s="943" t="s">
        <v>35</v>
      </c>
      <c r="C155" s="928"/>
      <c r="D155" s="928"/>
      <c r="E155" s="928"/>
      <c r="F155" s="928"/>
      <c r="G155" s="928"/>
      <c r="H155" s="928"/>
      <c r="I155" s="928"/>
      <c r="J155" s="928"/>
      <c r="K155" s="928"/>
      <c r="L155" s="928"/>
      <c r="M155" s="928"/>
      <c r="N155" s="928"/>
    </row>
    <row r="156" spans="1:14" x14ac:dyDescent="0.35">
      <c r="A156" s="655"/>
      <c r="B156" s="508" t="s">
        <v>960</v>
      </c>
      <c r="C156" s="610">
        <v>615536</v>
      </c>
      <c r="D156" s="610">
        <v>570395</v>
      </c>
      <c r="E156" s="610">
        <v>1185931</v>
      </c>
      <c r="F156" s="610">
        <v>111802</v>
      </c>
      <c r="G156" s="610">
        <v>98887</v>
      </c>
      <c r="H156" s="610">
        <v>210689</v>
      </c>
      <c r="I156" s="610">
        <v>90661</v>
      </c>
      <c r="J156" s="610">
        <v>91937</v>
      </c>
      <c r="K156" s="610">
        <v>182598</v>
      </c>
      <c r="L156" s="610">
        <v>151854</v>
      </c>
      <c r="M156" s="610">
        <v>153948</v>
      </c>
      <c r="N156" s="610">
        <v>305802</v>
      </c>
    </row>
    <row r="157" spans="1:14" x14ac:dyDescent="0.35">
      <c r="A157" s="655"/>
      <c r="B157" s="509" t="s">
        <v>959</v>
      </c>
      <c r="C157" s="587">
        <v>583096</v>
      </c>
      <c r="D157" s="587">
        <v>518512</v>
      </c>
      <c r="E157" s="587">
        <v>1101608</v>
      </c>
      <c r="F157" s="587">
        <v>109702</v>
      </c>
      <c r="G157" s="587">
        <v>90277</v>
      </c>
      <c r="H157" s="587">
        <v>199979</v>
      </c>
      <c r="I157" s="587">
        <v>86365</v>
      </c>
      <c r="J157" s="587">
        <v>82475</v>
      </c>
      <c r="K157" s="587">
        <v>168840</v>
      </c>
      <c r="L157" s="587">
        <v>129749</v>
      </c>
      <c r="M157" s="587">
        <v>124860</v>
      </c>
      <c r="N157" s="587">
        <v>254609</v>
      </c>
    </row>
    <row r="158" spans="1:14" x14ac:dyDescent="0.35">
      <c r="A158" s="655"/>
      <c r="B158" s="509" t="s">
        <v>958</v>
      </c>
      <c r="C158" s="587">
        <v>581167</v>
      </c>
      <c r="D158" s="587">
        <v>492712</v>
      </c>
      <c r="E158" s="587">
        <v>1073879</v>
      </c>
      <c r="F158" s="587">
        <v>109719</v>
      </c>
      <c r="G158" s="587">
        <v>83994</v>
      </c>
      <c r="H158" s="587">
        <v>193713</v>
      </c>
      <c r="I158" s="587">
        <v>85933</v>
      </c>
      <c r="J158" s="587">
        <v>77279</v>
      </c>
      <c r="K158" s="587">
        <v>163212</v>
      </c>
      <c r="L158" s="587">
        <v>124645</v>
      </c>
      <c r="M158" s="587">
        <v>114571</v>
      </c>
      <c r="N158" s="587">
        <v>239216</v>
      </c>
    </row>
    <row r="159" spans="1:14" x14ac:dyDescent="0.35">
      <c r="A159" s="655"/>
      <c r="B159" s="509" t="s">
        <v>957</v>
      </c>
      <c r="C159" s="587">
        <v>525883</v>
      </c>
      <c r="D159" s="587">
        <v>481139</v>
      </c>
      <c r="E159" s="587">
        <v>1007022</v>
      </c>
      <c r="F159" s="587">
        <v>93024</v>
      </c>
      <c r="G159" s="587">
        <v>77606</v>
      </c>
      <c r="H159" s="587">
        <v>170630</v>
      </c>
      <c r="I159" s="587">
        <v>72697</v>
      </c>
      <c r="J159" s="587">
        <v>69019</v>
      </c>
      <c r="K159" s="587">
        <v>141716</v>
      </c>
      <c r="L159" s="587">
        <v>100218</v>
      </c>
      <c r="M159" s="587">
        <v>99879</v>
      </c>
      <c r="N159" s="587">
        <v>200097</v>
      </c>
    </row>
    <row r="160" spans="1:14" x14ac:dyDescent="0.35">
      <c r="A160" s="655"/>
      <c r="B160" s="509" t="s">
        <v>956</v>
      </c>
      <c r="C160" s="587">
        <v>529226</v>
      </c>
      <c r="D160" s="587">
        <v>465703</v>
      </c>
      <c r="E160" s="587">
        <v>994929</v>
      </c>
      <c r="F160" s="587">
        <v>88766</v>
      </c>
      <c r="G160" s="587">
        <v>71362</v>
      </c>
      <c r="H160" s="587">
        <v>160128</v>
      </c>
      <c r="I160" s="587">
        <v>70031</v>
      </c>
      <c r="J160" s="587">
        <v>64832</v>
      </c>
      <c r="K160" s="587">
        <v>134863</v>
      </c>
      <c r="L160" s="587">
        <v>110320</v>
      </c>
      <c r="M160" s="587">
        <v>102419</v>
      </c>
      <c r="N160" s="587">
        <v>212739</v>
      </c>
    </row>
    <row r="161" spans="1:14" ht="14.5" x14ac:dyDescent="0.35">
      <c r="A161" s="655">
        <v>26</v>
      </c>
      <c r="B161" s="943" t="s">
        <v>36</v>
      </c>
      <c r="C161" s="928"/>
      <c r="D161" s="928"/>
      <c r="E161" s="928"/>
      <c r="F161" s="928"/>
      <c r="G161" s="928"/>
      <c r="H161" s="928"/>
      <c r="I161" s="928"/>
      <c r="J161" s="928"/>
      <c r="K161" s="928"/>
      <c r="L161" s="928"/>
      <c r="M161" s="928"/>
      <c r="N161" s="928"/>
    </row>
    <row r="162" spans="1:14" x14ac:dyDescent="0.35">
      <c r="A162" s="655"/>
      <c r="B162" s="508" t="s">
        <v>960</v>
      </c>
      <c r="C162" s="610">
        <v>55780.193548387084</v>
      </c>
      <c r="D162" s="610">
        <v>60253.76209677419</v>
      </c>
      <c r="E162" s="610">
        <v>116033.95564516127</v>
      </c>
      <c r="F162" s="610">
        <v>7179.9435483870966</v>
      </c>
      <c r="G162" s="610">
        <v>7646.1370967741932</v>
      </c>
      <c r="H162" s="610">
        <v>14826.08064516129</v>
      </c>
      <c r="I162" s="610">
        <v>705.29838709677404</v>
      </c>
      <c r="J162" s="610">
        <v>522.72177419354841</v>
      </c>
      <c r="K162" s="610">
        <v>1228.0201612903224</v>
      </c>
      <c r="L162" s="610">
        <v>29436.927419354841</v>
      </c>
      <c r="M162" s="610">
        <v>34941.572580645152</v>
      </c>
      <c r="N162" s="610">
        <v>64378.499999999993</v>
      </c>
    </row>
    <row r="163" spans="1:14" x14ac:dyDescent="0.35">
      <c r="A163" s="655"/>
      <c r="B163" s="509" t="s">
        <v>959</v>
      </c>
      <c r="C163" s="587">
        <v>48058.569298245609</v>
      </c>
      <c r="D163" s="587">
        <v>52565.012280701747</v>
      </c>
      <c r="E163" s="587">
        <v>100623.5815789474</v>
      </c>
      <c r="F163" s="587">
        <v>6105.1868421052632</v>
      </c>
      <c r="G163" s="587">
        <v>6477.2280701754389</v>
      </c>
      <c r="H163" s="587">
        <v>12582.414912280699</v>
      </c>
      <c r="I163" s="587">
        <v>655.82456140350882</v>
      </c>
      <c r="J163" s="587">
        <v>458.54824561403512</v>
      </c>
      <c r="K163" s="587">
        <v>1114.3728070175439</v>
      </c>
      <c r="L163" s="587">
        <v>25794.34122807017</v>
      </c>
      <c r="M163" s="587">
        <v>30846.988596491228</v>
      </c>
      <c r="N163" s="587">
        <v>56641.329824561413</v>
      </c>
    </row>
    <row r="164" spans="1:14" x14ac:dyDescent="0.35">
      <c r="A164" s="655"/>
      <c r="B164" s="509" t="s">
        <v>958</v>
      </c>
      <c r="C164" s="587">
        <v>44821</v>
      </c>
      <c r="D164" s="587">
        <v>49822</v>
      </c>
      <c r="E164" s="587">
        <v>94643</v>
      </c>
      <c r="F164" s="587">
        <v>5507</v>
      </c>
      <c r="G164" s="587">
        <v>6131</v>
      </c>
      <c r="H164" s="587">
        <v>11638</v>
      </c>
      <c r="I164" s="587">
        <v>568</v>
      </c>
      <c r="J164" s="587">
        <v>466</v>
      </c>
      <c r="K164" s="587">
        <v>1034</v>
      </c>
      <c r="L164" s="587">
        <v>24233</v>
      </c>
      <c r="M164" s="587">
        <v>28241</v>
      </c>
      <c r="N164" s="587">
        <v>52474</v>
      </c>
    </row>
    <row r="165" spans="1:14" x14ac:dyDescent="0.35">
      <c r="A165" s="655"/>
      <c r="B165" s="509" t="s">
        <v>957</v>
      </c>
      <c r="C165" s="587">
        <v>43187</v>
      </c>
      <c r="D165" s="587">
        <v>48066</v>
      </c>
      <c r="E165" s="587">
        <v>91253</v>
      </c>
      <c r="F165" s="587">
        <v>5684</v>
      </c>
      <c r="G165" s="587">
        <v>6319</v>
      </c>
      <c r="H165" s="587">
        <v>12003</v>
      </c>
      <c r="I165" s="587">
        <v>463</v>
      </c>
      <c r="J165" s="587">
        <v>440</v>
      </c>
      <c r="K165" s="587">
        <v>903</v>
      </c>
      <c r="L165" s="587">
        <v>27277</v>
      </c>
      <c r="M165" s="587">
        <v>31222</v>
      </c>
      <c r="N165" s="587">
        <v>58499</v>
      </c>
    </row>
    <row r="166" spans="1:14" x14ac:dyDescent="0.35">
      <c r="A166" s="655"/>
      <c r="B166" s="509" t="s">
        <v>956</v>
      </c>
      <c r="C166" s="587">
        <v>38156</v>
      </c>
      <c r="D166" s="587">
        <v>41968</v>
      </c>
      <c r="E166" s="587">
        <v>80124</v>
      </c>
      <c r="F166" s="587">
        <v>4892</v>
      </c>
      <c r="G166" s="587">
        <v>5165</v>
      </c>
      <c r="H166" s="587">
        <v>10057</v>
      </c>
      <c r="I166" s="587">
        <v>547</v>
      </c>
      <c r="J166" s="587">
        <v>476</v>
      </c>
      <c r="K166" s="587">
        <v>1023</v>
      </c>
      <c r="L166" s="587">
        <v>22563</v>
      </c>
      <c r="M166" s="587">
        <v>26083</v>
      </c>
      <c r="N166" s="587">
        <v>48646</v>
      </c>
    </row>
    <row r="167" spans="1:14" ht="14.5" x14ac:dyDescent="0.35">
      <c r="A167" s="655">
        <v>27</v>
      </c>
      <c r="B167" s="943" t="s">
        <v>37</v>
      </c>
      <c r="C167" s="928"/>
      <c r="D167" s="928"/>
      <c r="E167" s="928"/>
      <c r="F167" s="928"/>
      <c r="G167" s="928"/>
      <c r="H167" s="928"/>
      <c r="I167" s="928"/>
      <c r="J167" s="928"/>
      <c r="K167" s="928"/>
      <c r="L167" s="928"/>
      <c r="M167" s="928"/>
      <c r="N167" s="928"/>
    </row>
    <row r="168" spans="1:14" x14ac:dyDescent="0.35">
      <c r="A168" s="655"/>
      <c r="B168" s="508" t="s">
        <v>960</v>
      </c>
      <c r="C168" s="610">
        <v>463374</v>
      </c>
      <c r="D168" s="610">
        <v>470290</v>
      </c>
      <c r="E168" s="610">
        <v>933664</v>
      </c>
      <c r="F168" s="610">
        <v>104946</v>
      </c>
      <c r="G168" s="610">
        <v>132587</v>
      </c>
      <c r="H168" s="610">
        <v>237533</v>
      </c>
      <c r="I168" s="610">
        <v>2940</v>
      </c>
      <c r="J168" s="610">
        <v>2385</v>
      </c>
      <c r="K168" s="610">
        <v>5325</v>
      </c>
      <c r="L168" s="610">
        <v>60495</v>
      </c>
      <c r="M168" s="610">
        <v>65971</v>
      </c>
      <c r="N168" s="610">
        <v>126466</v>
      </c>
    </row>
    <row r="169" spans="1:14" x14ac:dyDescent="0.35">
      <c r="A169" s="655"/>
      <c r="B169" s="509" t="s">
        <v>959</v>
      </c>
      <c r="C169" s="587">
        <v>466842.76086956519</v>
      </c>
      <c r="D169" s="587">
        <v>449103.02898550732</v>
      </c>
      <c r="E169" s="587">
        <v>915945.78985507251</v>
      </c>
      <c r="F169" s="587">
        <v>105369.7717391304</v>
      </c>
      <c r="G169" s="587">
        <v>125207.69927536231</v>
      </c>
      <c r="H169" s="587">
        <v>230577.4710144928</v>
      </c>
      <c r="I169" s="587">
        <v>2887.170289855072</v>
      </c>
      <c r="J169" s="587">
        <v>2314.43115942029</v>
      </c>
      <c r="K169" s="587">
        <v>5201.601449275362</v>
      </c>
      <c r="L169" s="587">
        <v>59382.10144927536</v>
      </c>
      <c r="M169" s="587">
        <v>63480.518115942032</v>
      </c>
      <c r="N169" s="587">
        <v>122862.61956521741</v>
      </c>
    </row>
    <row r="170" spans="1:14" x14ac:dyDescent="0.35">
      <c r="A170" s="655"/>
      <c r="B170" s="509" t="s">
        <v>958</v>
      </c>
      <c r="C170" s="587">
        <v>434616</v>
      </c>
      <c r="D170" s="587">
        <v>424128</v>
      </c>
      <c r="E170" s="587">
        <v>858744</v>
      </c>
      <c r="F170" s="587">
        <v>92970</v>
      </c>
      <c r="G170" s="587">
        <v>108745</v>
      </c>
      <c r="H170" s="587">
        <v>201715</v>
      </c>
      <c r="I170" s="587">
        <v>2479</v>
      </c>
      <c r="J170" s="587">
        <v>2015</v>
      </c>
      <c r="K170" s="587">
        <v>4494</v>
      </c>
      <c r="L170" s="587">
        <v>52400</v>
      </c>
      <c r="M170" s="587">
        <v>56125</v>
      </c>
      <c r="N170" s="587">
        <v>108525</v>
      </c>
    </row>
    <row r="171" spans="1:14" x14ac:dyDescent="0.35">
      <c r="A171" s="655"/>
      <c r="B171" s="509" t="s">
        <v>957</v>
      </c>
      <c r="C171" s="587">
        <v>418244</v>
      </c>
      <c r="D171" s="587">
        <v>415091</v>
      </c>
      <c r="E171" s="587">
        <v>833335</v>
      </c>
      <c r="F171" s="587">
        <v>83203</v>
      </c>
      <c r="G171" s="587">
        <v>102784</v>
      </c>
      <c r="H171" s="587">
        <v>185987</v>
      </c>
      <c r="I171" s="587">
        <v>2946</v>
      </c>
      <c r="J171" s="587">
        <v>1975</v>
      </c>
      <c r="K171" s="587">
        <v>4921</v>
      </c>
      <c r="L171" s="587">
        <v>53023</v>
      </c>
      <c r="M171" s="587">
        <v>54386</v>
      </c>
      <c r="N171" s="587">
        <v>107409</v>
      </c>
    </row>
    <row r="172" spans="1:14" x14ac:dyDescent="0.35">
      <c r="A172" s="655"/>
      <c r="B172" s="509" t="s">
        <v>956</v>
      </c>
      <c r="C172" s="587">
        <v>425331</v>
      </c>
      <c r="D172" s="587">
        <v>444132</v>
      </c>
      <c r="E172" s="587">
        <v>869463</v>
      </c>
      <c r="F172" s="587">
        <v>90941</v>
      </c>
      <c r="G172" s="587">
        <v>107929</v>
      </c>
      <c r="H172" s="587">
        <v>198870</v>
      </c>
      <c r="I172" s="587">
        <v>3075</v>
      </c>
      <c r="J172" s="587">
        <v>1942</v>
      </c>
      <c r="K172" s="587">
        <v>5017</v>
      </c>
      <c r="L172" s="587">
        <v>55729</v>
      </c>
      <c r="M172" s="587">
        <v>55521</v>
      </c>
      <c r="N172" s="587">
        <v>111250</v>
      </c>
    </row>
    <row r="173" spans="1:14" ht="14.5" x14ac:dyDescent="0.35">
      <c r="A173" s="655">
        <v>28</v>
      </c>
      <c r="B173" s="943" t="s">
        <v>38</v>
      </c>
      <c r="C173" s="928"/>
      <c r="D173" s="928"/>
      <c r="E173" s="928"/>
      <c r="F173" s="928"/>
      <c r="G173" s="928"/>
      <c r="H173" s="928"/>
      <c r="I173" s="928"/>
      <c r="J173" s="928"/>
      <c r="K173" s="928"/>
      <c r="L173" s="928"/>
      <c r="M173" s="928"/>
      <c r="N173" s="928"/>
    </row>
    <row r="174" spans="1:14" x14ac:dyDescent="0.35">
      <c r="A174" s="655"/>
      <c r="B174" s="508" t="s">
        <v>960</v>
      </c>
      <c r="C174" s="610">
        <v>1395611.5338091082</v>
      </c>
      <c r="D174" s="610">
        <v>1342113.8082075692</v>
      </c>
      <c r="E174" s="610">
        <v>2737725.3420166774</v>
      </c>
      <c r="F174" s="610">
        <v>245796.81540906758</v>
      </c>
      <c r="G174" s="610">
        <v>235202.10679849089</v>
      </c>
      <c r="H174" s="610">
        <v>480998.92220755847</v>
      </c>
      <c r="I174" s="610">
        <v>167818.77657529482</v>
      </c>
      <c r="J174" s="610">
        <v>173793.37870759601</v>
      </c>
      <c r="K174" s="610">
        <v>341612.15528289083</v>
      </c>
      <c r="L174" s="610">
        <v>599486.94528587372</v>
      </c>
      <c r="M174" s="610">
        <v>579409.963125546</v>
      </c>
      <c r="N174" s="610">
        <v>1178896.9084114197</v>
      </c>
    </row>
    <row r="175" spans="1:14" x14ac:dyDescent="0.35">
      <c r="A175" s="655"/>
      <c r="B175" s="509" t="s">
        <v>959</v>
      </c>
      <c r="C175" s="587">
        <v>1358853.0212758339</v>
      </c>
      <c r="D175" s="587">
        <v>1276564.4111613811</v>
      </c>
      <c r="E175" s="587">
        <v>2635417.432437215</v>
      </c>
      <c r="F175" s="587">
        <v>241915.32055193</v>
      </c>
      <c r="G175" s="587">
        <v>218155.11795969281</v>
      </c>
      <c r="H175" s="587">
        <v>460070.43851162278</v>
      </c>
      <c r="I175" s="587">
        <v>167889.30865545719</v>
      </c>
      <c r="J175" s="587">
        <v>166076.32002466361</v>
      </c>
      <c r="K175" s="587">
        <v>333965.62868012069</v>
      </c>
      <c r="L175" s="587">
        <v>583706.09001306712</v>
      </c>
      <c r="M175" s="587">
        <v>553398.19263600034</v>
      </c>
      <c r="N175" s="587">
        <v>1137104.282649067</v>
      </c>
    </row>
    <row r="176" spans="1:14" x14ac:dyDescent="0.35">
      <c r="A176" s="655"/>
      <c r="B176" s="509" t="s">
        <v>958</v>
      </c>
      <c r="C176" s="587">
        <v>1430283</v>
      </c>
      <c r="D176" s="587">
        <v>1259057</v>
      </c>
      <c r="E176" s="587">
        <v>2689340</v>
      </c>
      <c r="F176" s="587">
        <v>250646</v>
      </c>
      <c r="G176" s="587">
        <v>210897</v>
      </c>
      <c r="H176" s="587">
        <v>461543</v>
      </c>
      <c r="I176" s="587">
        <v>176760</v>
      </c>
      <c r="J176" s="587">
        <v>163273</v>
      </c>
      <c r="K176" s="587">
        <v>340033</v>
      </c>
      <c r="L176" s="587">
        <v>610007</v>
      </c>
      <c r="M176" s="587">
        <v>539720</v>
      </c>
      <c r="N176" s="587">
        <v>1149727</v>
      </c>
    </row>
    <row r="177" spans="1:14" x14ac:dyDescent="0.35">
      <c r="A177" s="655"/>
      <c r="B177" s="509" t="s">
        <v>957</v>
      </c>
      <c r="C177" s="587">
        <v>1278304</v>
      </c>
      <c r="D177" s="587">
        <v>1154486</v>
      </c>
      <c r="E177" s="587">
        <v>2432790</v>
      </c>
      <c r="F177" s="587">
        <v>209453</v>
      </c>
      <c r="G177" s="587">
        <v>180795</v>
      </c>
      <c r="H177" s="587">
        <v>390248</v>
      </c>
      <c r="I177" s="587">
        <v>138517</v>
      </c>
      <c r="J177" s="587">
        <v>139281</v>
      </c>
      <c r="K177" s="587">
        <v>277798</v>
      </c>
      <c r="L177" s="587">
        <v>494833</v>
      </c>
      <c r="M177" s="587">
        <v>466248</v>
      </c>
      <c r="N177" s="587">
        <v>961081</v>
      </c>
    </row>
    <row r="178" spans="1:14" x14ac:dyDescent="0.35">
      <c r="A178" s="655"/>
      <c r="B178" s="509" t="s">
        <v>956</v>
      </c>
      <c r="C178" s="587">
        <v>1151186</v>
      </c>
      <c r="D178" s="587">
        <v>1055331</v>
      </c>
      <c r="E178" s="587">
        <v>2206517</v>
      </c>
      <c r="F178" s="587">
        <v>186353</v>
      </c>
      <c r="G178" s="587">
        <v>165088</v>
      </c>
      <c r="H178" s="587">
        <v>351441</v>
      </c>
      <c r="I178" s="587">
        <v>128038</v>
      </c>
      <c r="J178" s="587">
        <v>125991</v>
      </c>
      <c r="K178" s="587">
        <v>254029</v>
      </c>
      <c r="L178" s="587">
        <v>453177</v>
      </c>
      <c r="M178" s="587">
        <v>446822</v>
      </c>
      <c r="N178" s="587">
        <v>899999</v>
      </c>
    </row>
    <row r="179" spans="1:14" ht="14.5" x14ac:dyDescent="0.35">
      <c r="A179" s="655">
        <v>29</v>
      </c>
      <c r="B179" s="943" t="s">
        <v>39</v>
      </c>
      <c r="C179" s="928"/>
      <c r="D179" s="928"/>
      <c r="E179" s="928"/>
      <c r="F179" s="928"/>
      <c r="G179" s="928"/>
      <c r="H179" s="928"/>
      <c r="I179" s="928"/>
      <c r="J179" s="928"/>
      <c r="K179" s="928"/>
      <c r="L179" s="928"/>
      <c r="M179" s="928"/>
      <c r="N179" s="928"/>
    </row>
    <row r="180" spans="1:14" x14ac:dyDescent="0.35">
      <c r="A180" s="655"/>
      <c r="B180" s="508" t="s">
        <v>960</v>
      </c>
      <c r="C180" s="610">
        <v>18123</v>
      </c>
      <c r="D180" s="610">
        <v>18798</v>
      </c>
      <c r="E180" s="610">
        <v>36921</v>
      </c>
      <c r="F180" s="610">
        <v>1149</v>
      </c>
      <c r="G180" s="610">
        <v>1012</v>
      </c>
      <c r="H180" s="610">
        <v>2161</v>
      </c>
      <c r="I180" s="610">
        <v>4846</v>
      </c>
      <c r="J180" s="610">
        <v>6120</v>
      </c>
      <c r="K180" s="610">
        <v>10966</v>
      </c>
      <c r="L180" s="610">
        <v>4950</v>
      </c>
      <c r="M180" s="610">
        <v>5332</v>
      </c>
      <c r="N180" s="610">
        <v>10282</v>
      </c>
    </row>
    <row r="181" spans="1:14" x14ac:dyDescent="0.35">
      <c r="A181" s="655"/>
      <c r="B181" s="509" t="s">
        <v>959</v>
      </c>
      <c r="C181" s="587">
        <v>16146.55555555556</v>
      </c>
      <c r="D181" s="587">
        <v>17704.777777777781</v>
      </c>
      <c r="E181" s="587">
        <v>33851.333333333343</v>
      </c>
      <c r="F181" s="587">
        <v>971.66666666666663</v>
      </c>
      <c r="G181" s="587">
        <v>903.55555555555554</v>
      </c>
      <c r="H181" s="587">
        <v>1875.2222222222219</v>
      </c>
      <c r="I181" s="587">
        <v>4748.666666666667</v>
      </c>
      <c r="J181" s="587">
        <v>6354.1111111111113</v>
      </c>
      <c r="K181" s="587">
        <v>11102.777777777779</v>
      </c>
      <c r="L181" s="587">
        <v>4416</v>
      </c>
      <c r="M181" s="587">
        <v>5201</v>
      </c>
      <c r="N181" s="587">
        <v>9617</v>
      </c>
    </row>
    <row r="182" spans="1:14" x14ac:dyDescent="0.35">
      <c r="A182" s="655"/>
      <c r="B182" s="509" t="s">
        <v>958</v>
      </c>
      <c r="C182" s="587">
        <v>16274</v>
      </c>
      <c r="D182" s="587">
        <v>17487</v>
      </c>
      <c r="E182" s="587">
        <v>33761</v>
      </c>
      <c r="F182" s="587">
        <v>978</v>
      </c>
      <c r="G182" s="587">
        <v>829</v>
      </c>
      <c r="H182" s="587">
        <v>1807</v>
      </c>
      <c r="I182" s="587">
        <v>4360</v>
      </c>
      <c r="J182" s="587">
        <v>5988</v>
      </c>
      <c r="K182" s="587">
        <v>10348</v>
      </c>
      <c r="L182" s="587">
        <v>3930</v>
      </c>
      <c r="M182" s="587">
        <v>4782</v>
      </c>
      <c r="N182" s="587">
        <v>8712</v>
      </c>
    </row>
    <row r="183" spans="1:14" x14ac:dyDescent="0.35">
      <c r="A183" s="655"/>
      <c r="B183" s="509" t="s">
        <v>957</v>
      </c>
      <c r="C183" s="587">
        <v>16707</v>
      </c>
      <c r="D183" s="587">
        <v>18067</v>
      </c>
      <c r="E183" s="587">
        <v>34774</v>
      </c>
      <c r="F183" s="587">
        <v>858</v>
      </c>
      <c r="G183" s="587">
        <v>774</v>
      </c>
      <c r="H183" s="587">
        <v>1632</v>
      </c>
      <c r="I183" s="587">
        <v>4209</v>
      </c>
      <c r="J183" s="587">
        <v>5899</v>
      </c>
      <c r="K183" s="587">
        <v>10108</v>
      </c>
      <c r="L183" s="587">
        <v>3759</v>
      </c>
      <c r="M183" s="587">
        <v>5060</v>
      </c>
      <c r="N183" s="587">
        <v>8819</v>
      </c>
    </row>
    <row r="184" spans="1:14" x14ac:dyDescent="0.35">
      <c r="A184" s="655"/>
      <c r="B184" s="509" t="s">
        <v>956</v>
      </c>
      <c r="C184" s="587">
        <v>33049</v>
      </c>
      <c r="D184" s="587">
        <v>25022</v>
      </c>
      <c r="E184" s="587">
        <v>58071</v>
      </c>
      <c r="F184" s="587">
        <v>681</v>
      </c>
      <c r="G184" s="587">
        <v>621</v>
      </c>
      <c r="H184" s="587">
        <v>1302</v>
      </c>
      <c r="I184" s="587">
        <v>3586</v>
      </c>
      <c r="J184" s="587">
        <v>5423</v>
      </c>
      <c r="K184" s="587">
        <v>9009</v>
      </c>
      <c r="L184" s="587">
        <v>3274</v>
      </c>
      <c r="M184" s="587">
        <v>4187</v>
      </c>
      <c r="N184" s="587">
        <v>7461</v>
      </c>
    </row>
    <row r="185" spans="1:14" ht="14.5" x14ac:dyDescent="0.35">
      <c r="A185" s="655">
        <v>30</v>
      </c>
      <c r="B185" s="943" t="s">
        <v>40</v>
      </c>
      <c r="C185" s="928"/>
      <c r="D185" s="928"/>
      <c r="E185" s="928"/>
      <c r="F185" s="928"/>
      <c r="G185" s="928"/>
      <c r="H185" s="928"/>
      <c r="I185" s="928"/>
      <c r="J185" s="928"/>
      <c r="K185" s="928"/>
      <c r="L185" s="928"/>
      <c r="M185" s="928"/>
      <c r="N185" s="928"/>
    </row>
    <row r="186" spans="1:14" x14ac:dyDescent="0.35">
      <c r="A186" s="655"/>
      <c r="B186" s="508" t="s">
        <v>960</v>
      </c>
      <c r="C186" s="610">
        <v>1816574.1643342152</v>
      </c>
      <c r="D186" s="610">
        <v>1760472.6985454662</v>
      </c>
      <c r="E186" s="610">
        <v>3577046.8628796814</v>
      </c>
      <c r="F186" s="610">
        <v>332375.6997312727</v>
      </c>
      <c r="G186" s="610">
        <v>333091.91982287745</v>
      </c>
      <c r="H186" s="610">
        <v>665467.61955415015</v>
      </c>
      <c r="I186" s="610">
        <v>18641.779758938836</v>
      </c>
      <c r="J186" s="610">
        <v>14819.141418592299</v>
      </c>
      <c r="K186" s="610">
        <v>33460.921177531134</v>
      </c>
      <c r="L186" s="610">
        <v>1220563.9073892375</v>
      </c>
      <c r="M186" s="610">
        <v>1201738.4299384207</v>
      </c>
      <c r="N186" s="610">
        <v>2422302.3373276582</v>
      </c>
    </row>
    <row r="187" spans="1:14" x14ac:dyDescent="0.35">
      <c r="A187" s="655"/>
      <c r="B187" s="509" t="s">
        <v>959</v>
      </c>
      <c r="C187" s="587">
        <v>1745879.743924835</v>
      </c>
      <c r="D187" s="587">
        <v>1659109.048077442</v>
      </c>
      <c r="E187" s="587">
        <v>3404988.7920022779</v>
      </c>
      <c r="F187" s="587">
        <v>315253.3371390985</v>
      </c>
      <c r="G187" s="587">
        <v>314212.18012706091</v>
      </c>
      <c r="H187" s="587">
        <v>629465.51726615941</v>
      </c>
      <c r="I187" s="587">
        <v>19156.99318418387</v>
      </c>
      <c r="J187" s="587">
        <v>15496.79240059702</v>
      </c>
      <c r="K187" s="587">
        <v>34653.78558478089</v>
      </c>
      <c r="L187" s="587">
        <v>1140322.806253877</v>
      </c>
      <c r="M187" s="587">
        <v>1106559.031107483</v>
      </c>
      <c r="N187" s="587">
        <v>2246881.83736136</v>
      </c>
    </row>
    <row r="188" spans="1:14" x14ac:dyDescent="0.35">
      <c r="A188" s="655"/>
      <c r="B188" s="509" t="s">
        <v>958</v>
      </c>
      <c r="C188" s="587">
        <v>1698112</v>
      </c>
      <c r="D188" s="587">
        <v>1611215</v>
      </c>
      <c r="E188" s="587">
        <v>3309327</v>
      </c>
      <c r="F188" s="587">
        <v>302054</v>
      </c>
      <c r="G188" s="587">
        <v>305306</v>
      </c>
      <c r="H188" s="587">
        <v>607360</v>
      </c>
      <c r="I188" s="587">
        <v>20238</v>
      </c>
      <c r="J188" s="587">
        <v>14975</v>
      </c>
      <c r="K188" s="587">
        <v>35213</v>
      </c>
      <c r="L188" s="587">
        <v>1071450</v>
      </c>
      <c r="M188" s="587">
        <v>1033326</v>
      </c>
      <c r="N188" s="587">
        <v>2104776</v>
      </c>
    </row>
    <row r="189" spans="1:14" x14ac:dyDescent="0.35">
      <c r="A189" s="655"/>
      <c r="B189" s="509" t="s">
        <v>957</v>
      </c>
      <c r="C189" s="587">
        <v>1662153</v>
      </c>
      <c r="D189" s="587">
        <v>1674286</v>
      </c>
      <c r="E189" s="587">
        <v>3336439</v>
      </c>
      <c r="F189" s="587">
        <v>275101</v>
      </c>
      <c r="G189" s="587">
        <v>297976</v>
      </c>
      <c r="H189" s="587">
        <v>573077</v>
      </c>
      <c r="I189" s="587">
        <v>17434</v>
      </c>
      <c r="J189" s="587">
        <v>15418</v>
      </c>
      <c r="K189" s="587">
        <v>32852</v>
      </c>
      <c r="L189" s="587">
        <v>963357</v>
      </c>
      <c r="M189" s="587">
        <v>972604</v>
      </c>
      <c r="N189" s="587">
        <v>1935961</v>
      </c>
    </row>
    <row r="190" spans="1:14" x14ac:dyDescent="0.35">
      <c r="A190" s="655"/>
      <c r="B190" s="509" t="s">
        <v>956</v>
      </c>
      <c r="C190" s="587">
        <v>1778186</v>
      </c>
      <c r="D190" s="587">
        <v>1742125</v>
      </c>
      <c r="E190" s="587">
        <v>3520311</v>
      </c>
      <c r="F190" s="587">
        <v>298278</v>
      </c>
      <c r="G190" s="587">
        <v>315606</v>
      </c>
      <c r="H190" s="587">
        <v>613884</v>
      </c>
      <c r="I190" s="587">
        <v>17240</v>
      </c>
      <c r="J190" s="587">
        <v>15526</v>
      </c>
      <c r="K190" s="587">
        <v>32766</v>
      </c>
      <c r="L190" s="587">
        <v>1074844</v>
      </c>
      <c r="M190" s="587">
        <v>1070143</v>
      </c>
      <c r="N190" s="587">
        <v>2144987</v>
      </c>
    </row>
    <row r="191" spans="1:14" ht="14.5" x14ac:dyDescent="0.35">
      <c r="A191" s="655">
        <v>31</v>
      </c>
      <c r="B191" s="943" t="s">
        <v>41</v>
      </c>
      <c r="C191" s="928"/>
      <c r="D191" s="928"/>
      <c r="E191" s="928"/>
      <c r="F191" s="928"/>
      <c r="G191" s="928"/>
      <c r="H191" s="928"/>
      <c r="I191" s="928"/>
      <c r="J191" s="928"/>
      <c r="K191" s="928"/>
      <c r="L191" s="928"/>
      <c r="M191" s="928"/>
      <c r="N191" s="928"/>
    </row>
    <row r="192" spans="1:14" x14ac:dyDescent="0.35">
      <c r="A192" s="655"/>
      <c r="B192" s="508" t="s">
        <v>960</v>
      </c>
      <c r="C192" s="610">
        <v>874244.41411017068</v>
      </c>
      <c r="D192" s="610">
        <v>913215.87659292482</v>
      </c>
      <c r="E192" s="610">
        <v>1787460.2907030955</v>
      </c>
      <c r="F192" s="610">
        <v>131979.8101009689</v>
      </c>
      <c r="G192" s="610">
        <v>152737.89864775268</v>
      </c>
      <c r="H192" s="610">
        <v>284717.70874872158</v>
      </c>
      <c r="I192" s="610">
        <v>82088.261950088112</v>
      </c>
      <c r="J192" s="610">
        <v>77498.560995710723</v>
      </c>
      <c r="K192" s="610">
        <v>159586.82294579883</v>
      </c>
      <c r="L192" s="610">
        <v>416022.18358674576</v>
      </c>
      <c r="M192" s="610">
        <v>441207.84399002988</v>
      </c>
      <c r="N192" s="610">
        <v>857230.02757677564</v>
      </c>
    </row>
    <row r="193" spans="1:14" x14ac:dyDescent="0.35">
      <c r="A193" s="655"/>
      <c r="B193" s="509" t="s">
        <v>959</v>
      </c>
      <c r="C193" s="587">
        <v>818588.47943106527</v>
      </c>
      <c r="D193" s="587">
        <v>852973.73486957047</v>
      </c>
      <c r="E193" s="587">
        <v>1671562.214300636</v>
      </c>
      <c r="F193" s="587">
        <v>123455.27051618219</v>
      </c>
      <c r="G193" s="587">
        <v>142874.5502244423</v>
      </c>
      <c r="H193" s="587">
        <v>266329.82074062439</v>
      </c>
      <c r="I193" s="587">
        <v>75518.820576506885</v>
      </c>
      <c r="J193" s="587">
        <v>71209.789889471402</v>
      </c>
      <c r="K193" s="587">
        <v>146728.6104659783</v>
      </c>
      <c r="L193" s="587">
        <v>389406.84575923323</v>
      </c>
      <c r="M193" s="587">
        <v>400758.76571523992</v>
      </c>
      <c r="N193" s="587">
        <v>790165.61147447303</v>
      </c>
    </row>
    <row r="194" spans="1:14" x14ac:dyDescent="0.35">
      <c r="A194" s="655"/>
      <c r="B194" s="509" t="s">
        <v>958</v>
      </c>
      <c r="C194" s="587">
        <v>793353</v>
      </c>
      <c r="D194" s="587">
        <v>803327.4</v>
      </c>
      <c r="E194" s="587">
        <v>1596680.4</v>
      </c>
      <c r="F194" s="587">
        <v>119137.4</v>
      </c>
      <c r="G194" s="587">
        <v>134691.1</v>
      </c>
      <c r="H194" s="587">
        <v>253828.6</v>
      </c>
      <c r="I194" s="587">
        <v>72200.600000000006</v>
      </c>
      <c r="J194" s="587">
        <v>65372.2</v>
      </c>
      <c r="K194" s="587">
        <v>137572.9</v>
      </c>
      <c r="L194" s="587">
        <v>370857</v>
      </c>
      <c r="M194" s="587">
        <v>368609.9</v>
      </c>
      <c r="N194" s="587">
        <v>739467</v>
      </c>
    </row>
    <row r="195" spans="1:14" x14ac:dyDescent="0.35">
      <c r="A195" s="655"/>
      <c r="B195" s="509" t="s">
        <v>957</v>
      </c>
      <c r="C195" s="587">
        <v>775309</v>
      </c>
      <c r="D195" s="587">
        <v>798477</v>
      </c>
      <c r="E195" s="587">
        <v>1573786</v>
      </c>
      <c r="F195" s="587">
        <v>107016</v>
      </c>
      <c r="G195" s="587">
        <v>124337</v>
      </c>
      <c r="H195" s="587">
        <v>231353</v>
      </c>
      <c r="I195" s="587">
        <v>63453</v>
      </c>
      <c r="J195" s="587">
        <v>59454</v>
      </c>
      <c r="K195" s="587">
        <v>122907</v>
      </c>
      <c r="L195" s="587">
        <v>328401</v>
      </c>
      <c r="M195" s="587">
        <v>335695</v>
      </c>
      <c r="N195" s="587">
        <v>664096</v>
      </c>
    </row>
    <row r="196" spans="1:14" x14ac:dyDescent="0.35">
      <c r="A196" s="655"/>
      <c r="B196" s="509" t="s">
        <v>956</v>
      </c>
      <c r="C196" s="587">
        <v>672768</v>
      </c>
      <c r="D196" s="587">
        <v>716840</v>
      </c>
      <c r="E196" s="587">
        <v>1389608</v>
      </c>
      <c r="F196" s="587">
        <v>93804</v>
      </c>
      <c r="G196" s="587">
        <v>115713</v>
      </c>
      <c r="H196" s="587">
        <v>209517</v>
      </c>
      <c r="I196" s="587">
        <v>55494</v>
      </c>
      <c r="J196" s="587">
        <v>53143</v>
      </c>
      <c r="K196" s="587">
        <v>108637</v>
      </c>
      <c r="L196" s="587">
        <v>301585</v>
      </c>
      <c r="M196" s="587">
        <v>325657</v>
      </c>
      <c r="N196" s="587">
        <v>627242</v>
      </c>
    </row>
    <row r="197" spans="1:14" ht="14.5" x14ac:dyDescent="0.35">
      <c r="A197" s="655">
        <v>32</v>
      </c>
      <c r="B197" s="944" t="s">
        <v>58</v>
      </c>
      <c r="C197" s="928"/>
      <c r="D197" s="928"/>
      <c r="E197" s="928"/>
      <c r="F197" s="928"/>
      <c r="G197" s="928"/>
      <c r="H197" s="928"/>
      <c r="I197" s="928"/>
      <c r="J197" s="928"/>
      <c r="K197" s="928"/>
      <c r="L197" s="928"/>
      <c r="M197" s="928"/>
      <c r="N197" s="928"/>
    </row>
    <row r="198" spans="1:14" x14ac:dyDescent="0.35">
      <c r="A198" s="655"/>
      <c r="B198" s="508" t="s">
        <v>960</v>
      </c>
      <c r="C198" s="610">
        <v>6410</v>
      </c>
      <c r="D198" s="610">
        <v>6210</v>
      </c>
      <c r="E198" s="610">
        <v>12620</v>
      </c>
      <c r="F198" s="610">
        <v>278</v>
      </c>
      <c r="G198" s="610">
        <v>249</v>
      </c>
      <c r="H198" s="610">
        <v>527</v>
      </c>
      <c r="I198" s="610">
        <v>893</v>
      </c>
      <c r="J198" s="610">
        <v>1222</v>
      </c>
      <c r="K198" s="610">
        <v>2115</v>
      </c>
      <c r="L198" s="610">
        <v>1345</v>
      </c>
      <c r="M198" s="610">
        <v>1187</v>
      </c>
      <c r="N198" s="610">
        <v>2532</v>
      </c>
    </row>
    <row r="199" spans="1:14" x14ac:dyDescent="0.35">
      <c r="A199" s="655"/>
      <c r="B199" s="509" t="s">
        <v>959</v>
      </c>
      <c r="C199" s="587">
        <v>6607</v>
      </c>
      <c r="D199" s="587">
        <v>6402</v>
      </c>
      <c r="E199" s="587">
        <v>13009</v>
      </c>
      <c r="F199" s="587">
        <v>264</v>
      </c>
      <c r="G199" s="587">
        <v>296</v>
      </c>
      <c r="H199" s="587">
        <v>560</v>
      </c>
      <c r="I199" s="587">
        <v>950</v>
      </c>
      <c r="J199" s="587">
        <v>1178</v>
      </c>
      <c r="K199" s="587">
        <v>2128</v>
      </c>
      <c r="L199" s="587">
        <v>1194</v>
      </c>
      <c r="M199" s="587">
        <v>1111</v>
      </c>
      <c r="N199" s="587">
        <v>2305</v>
      </c>
    </row>
    <row r="200" spans="1:14" x14ac:dyDescent="0.35">
      <c r="A200" s="655"/>
      <c r="B200" s="509" t="s">
        <v>958</v>
      </c>
      <c r="C200" s="587">
        <v>6683</v>
      </c>
      <c r="D200" s="587">
        <v>6122</v>
      </c>
      <c r="E200" s="587">
        <v>12805</v>
      </c>
      <c r="F200" s="587">
        <v>260</v>
      </c>
      <c r="G200" s="587">
        <v>267</v>
      </c>
      <c r="H200" s="587">
        <v>527</v>
      </c>
      <c r="I200" s="587">
        <v>924</v>
      </c>
      <c r="J200" s="587">
        <v>1160</v>
      </c>
      <c r="K200" s="587">
        <v>2084</v>
      </c>
      <c r="L200" s="587">
        <v>1026</v>
      </c>
      <c r="M200" s="587">
        <v>1022</v>
      </c>
      <c r="N200" s="587">
        <v>2048</v>
      </c>
    </row>
    <row r="201" spans="1:14" x14ac:dyDescent="0.35">
      <c r="A201" s="655"/>
      <c r="B201" s="509" t="s">
        <v>957</v>
      </c>
      <c r="C201" s="587">
        <v>5948</v>
      </c>
      <c r="D201" s="587">
        <v>5622</v>
      </c>
      <c r="E201" s="587">
        <v>11570</v>
      </c>
      <c r="F201" s="587">
        <v>231</v>
      </c>
      <c r="G201" s="587">
        <v>251</v>
      </c>
      <c r="H201" s="587">
        <v>482</v>
      </c>
      <c r="I201" s="587">
        <v>816</v>
      </c>
      <c r="J201" s="587">
        <v>1056</v>
      </c>
      <c r="K201" s="587">
        <v>1872</v>
      </c>
      <c r="L201" s="587">
        <v>832</v>
      </c>
      <c r="M201" s="587">
        <v>1035</v>
      </c>
      <c r="N201" s="587">
        <v>1867</v>
      </c>
    </row>
    <row r="202" spans="1:14" x14ac:dyDescent="0.35">
      <c r="A202" s="655"/>
      <c r="B202" s="509" t="s">
        <v>956</v>
      </c>
      <c r="C202" s="587">
        <v>5320</v>
      </c>
      <c r="D202" s="587">
        <v>5005</v>
      </c>
      <c r="E202" s="587">
        <v>10325</v>
      </c>
      <c r="F202" s="587">
        <v>201</v>
      </c>
      <c r="G202" s="587">
        <v>233</v>
      </c>
      <c r="H202" s="587">
        <v>434</v>
      </c>
      <c r="I202" s="587">
        <v>721</v>
      </c>
      <c r="J202" s="587">
        <v>998</v>
      </c>
      <c r="K202" s="587">
        <v>1719</v>
      </c>
      <c r="L202" s="587">
        <v>951</v>
      </c>
      <c r="M202" s="587">
        <v>943</v>
      </c>
      <c r="N202" s="587">
        <v>1894</v>
      </c>
    </row>
    <row r="203" spans="1:14" ht="14.5" x14ac:dyDescent="0.35">
      <c r="A203" s="655">
        <v>33</v>
      </c>
      <c r="B203" s="943" t="s">
        <v>42</v>
      </c>
      <c r="C203" s="928"/>
      <c r="D203" s="928"/>
      <c r="E203" s="928"/>
      <c r="F203" s="928"/>
      <c r="G203" s="928"/>
      <c r="H203" s="928"/>
      <c r="I203" s="928"/>
      <c r="J203" s="928"/>
      <c r="K203" s="928"/>
      <c r="L203" s="928"/>
      <c r="M203" s="928"/>
      <c r="N203" s="928"/>
    </row>
    <row r="204" spans="1:14" x14ac:dyDescent="0.35">
      <c r="A204" s="655"/>
      <c r="B204" s="508" t="s">
        <v>960</v>
      </c>
      <c r="C204" s="610">
        <v>55043</v>
      </c>
      <c r="D204" s="610">
        <v>55326</v>
      </c>
      <c r="E204" s="610">
        <v>110369</v>
      </c>
      <c r="F204" s="610">
        <v>9986</v>
      </c>
      <c r="G204" s="610">
        <v>9852</v>
      </c>
      <c r="H204" s="610">
        <v>19838</v>
      </c>
      <c r="I204" s="610">
        <v>16508</v>
      </c>
      <c r="J204" s="610">
        <v>17719</v>
      </c>
      <c r="K204" s="610">
        <v>34227</v>
      </c>
      <c r="L204" s="610">
        <v>9660</v>
      </c>
      <c r="M204" s="610">
        <v>9796</v>
      </c>
      <c r="N204" s="610">
        <v>19456</v>
      </c>
    </row>
    <row r="205" spans="1:14" x14ac:dyDescent="0.35">
      <c r="A205" s="655"/>
      <c r="B205" s="509" t="s">
        <v>959</v>
      </c>
      <c r="C205" s="587">
        <v>52168</v>
      </c>
      <c r="D205" s="587">
        <v>50156</v>
      </c>
      <c r="E205" s="587">
        <v>102324</v>
      </c>
      <c r="F205" s="587">
        <v>9387</v>
      </c>
      <c r="G205" s="587">
        <v>8824</v>
      </c>
      <c r="H205" s="587">
        <v>18211</v>
      </c>
      <c r="I205" s="587">
        <v>13956</v>
      </c>
      <c r="J205" s="587">
        <v>14058</v>
      </c>
      <c r="K205" s="587">
        <v>28014</v>
      </c>
      <c r="L205" s="587">
        <v>9625</v>
      </c>
      <c r="M205" s="587">
        <v>9265</v>
      </c>
      <c r="N205" s="587">
        <v>18890</v>
      </c>
    </row>
    <row r="206" spans="1:14" x14ac:dyDescent="0.35">
      <c r="A206" s="655"/>
      <c r="B206" s="509" t="s">
        <v>958</v>
      </c>
      <c r="C206" s="587">
        <v>53538</v>
      </c>
      <c r="D206" s="587">
        <v>47013</v>
      </c>
      <c r="E206" s="587">
        <v>100551</v>
      </c>
      <c r="F206" s="587">
        <v>10060</v>
      </c>
      <c r="G206" s="587">
        <v>8402</v>
      </c>
      <c r="H206" s="587">
        <v>18462</v>
      </c>
      <c r="I206" s="587">
        <v>13178</v>
      </c>
      <c r="J206" s="587">
        <v>11895</v>
      </c>
      <c r="K206" s="587">
        <v>25073</v>
      </c>
      <c r="L206" s="587">
        <v>9490</v>
      </c>
      <c r="M206" s="587">
        <v>8918</v>
      </c>
      <c r="N206" s="587">
        <v>18408</v>
      </c>
    </row>
    <row r="207" spans="1:14" x14ac:dyDescent="0.35">
      <c r="A207" s="655"/>
      <c r="B207" s="509" t="s">
        <v>957</v>
      </c>
      <c r="C207" s="587">
        <v>48428</v>
      </c>
      <c r="D207" s="587">
        <v>44232</v>
      </c>
      <c r="E207" s="587">
        <v>92660</v>
      </c>
      <c r="F207" s="587">
        <v>7955</v>
      </c>
      <c r="G207" s="587">
        <v>7047</v>
      </c>
      <c r="H207" s="587">
        <v>15002</v>
      </c>
      <c r="I207" s="587">
        <v>10610</v>
      </c>
      <c r="J207" s="587">
        <v>10115</v>
      </c>
      <c r="K207" s="587">
        <v>20725</v>
      </c>
      <c r="L207" s="587">
        <v>8261</v>
      </c>
      <c r="M207" s="587">
        <v>7359</v>
      </c>
      <c r="N207" s="587">
        <v>15620</v>
      </c>
    </row>
    <row r="208" spans="1:14" x14ac:dyDescent="0.35">
      <c r="A208" s="655"/>
      <c r="B208" s="509" t="s">
        <v>956</v>
      </c>
      <c r="C208" s="587">
        <v>47031</v>
      </c>
      <c r="D208" s="587">
        <v>39216</v>
      </c>
      <c r="E208" s="587">
        <v>86247</v>
      </c>
      <c r="F208" s="587">
        <v>8074</v>
      </c>
      <c r="G208" s="587">
        <v>6042</v>
      </c>
      <c r="H208" s="587">
        <v>14116</v>
      </c>
      <c r="I208" s="587">
        <v>10290</v>
      </c>
      <c r="J208" s="587">
        <v>7996</v>
      </c>
      <c r="K208" s="587">
        <v>18286</v>
      </c>
      <c r="L208" s="587">
        <v>8592</v>
      </c>
      <c r="M208" s="587">
        <v>6700</v>
      </c>
      <c r="N208" s="587">
        <v>15292</v>
      </c>
    </row>
    <row r="209" spans="1:14" ht="14.5" x14ac:dyDescent="0.35">
      <c r="A209" s="655">
        <v>34</v>
      </c>
      <c r="B209" s="943" t="s">
        <v>43</v>
      </c>
      <c r="C209" s="928"/>
      <c r="D209" s="928"/>
      <c r="E209" s="928"/>
      <c r="F209" s="928"/>
      <c r="G209" s="928"/>
      <c r="H209" s="928"/>
      <c r="I209" s="928"/>
      <c r="J209" s="928"/>
      <c r="K209" s="928"/>
      <c r="L209" s="928"/>
      <c r="M209" s="928"/>
      <c r="N209" s="928"/>
    </row>
    <row r="210" spans="1:14" x14ac:dyDescent="0.35">
      <c r="A210" s="655"/>
      <c r="B210" s="508" t="s">
        <v>960</v>
      </c>
      <c r="C210" s="610">
        <v>3699351.4957744842</v>
      </c>
      <c r="D210" s="610">
        <v>3569746.6983138612</v>
      </c>
      <c r="E210" s="610">
        <v>7269098.1940883454</v>
      </c>
      <c r="F210" s="610">
        <v>686864.25659405417</v>
      </c>
      <c r="G210" s="610">
        <v>697234.62609072728</v>
      </c>
      <c r="H210" s="610">
        <v>1384098.8826847814</v>
      </c>
      <c r="I210" s="610">
        <v>37183.734674928608</v>
      </c>
      <c r="J210" s="610">
        <v>37695.574122136473</v>
      </c>
      <c r="K210" s="610">
        <v>74879.308797065081</v>
      </c>
      <c r="L210" s="610">
        <v>1585192.5604475387</v>
      </c>
      <c r="M210" s="610">
        <v>1603108.4098143717</v>
      </c>
      <c r="N210" s="610">
        <v>3188300.9702619105</v>
      </c>
    </row>
    <row r="211" spans="1:14" x14ac:dyDescent="0.35">
      <c r="A211" s="655"/>
      <c r="B211" s="509" t="s">
        <v>959</v>
      </c>
      <c r="C211" s="587">
        <v>3728800.4693300598</v>
      </c>
      <c r="D211" s="587">
        <v>3516152.1513036089</v>
      </c>
      <c r="E211" s="587">
        <v>7244952.6206336692</v>
      </c>
      <c r="F211" s="587">
        <v>687829.04273618117</v>
      </c>
      <c r="G211" s="587">
        <v>670188.41031321313</v>
      </c>
      <c r="H211" s="587">
        <v>1358017.4530493941</v>
      </c>
      <c r="I211" s="587">
        <v>34630.978560264077</v>
      </c>
      <c r="J211" s="587">
        <v>32382.398814395139</v>
      </c>
      <c r="K211" s="587">
        <v>67013.37737465922</v>
      </c>
      <c r="L211" s="587">
        <v>1577492.0782956791</v>
      </c>
      <c r="M211" s="587">
        <v>1543258.180577657</v>
      </c>
      <c r="N211" s="587">
        <v>3120750.258873336</v>
      </c>
    </row>
    <row r="212" spans="1:14" x14ac:dyDescent="0.35">
      <c r="A212" s="655"/>
      <c r="B212" s="509" t="s">
        <v>958</v>
      </c>
      <c r="C212" s="587">
        <v>3669318.1</v>
      </c>
      <c r="D212" s="587">
        <v>3304105.5</v>
      </c>
      <c r="E212" s="587">
        <v>6973423.5999999996</v>
      </c>
      <c r="F212" s="587">
        <v>658396.5</v>
      </c>
      <c r="G212" s="587">
        <v>606019.4</v>
      </c>
      <c r="H212" s="587">
        <v>1264416</v>
      </c>
      <c r="I212" s="587">
        <v>30690.3</v>
      </c>
      <c r="J212" s="587">
        <v>27492.6</v>
      </c>
      <c r="K212" s="587">
        <v>58182.9</v>
      </c>
      <c r="L212" s="587">
        <v>1533961.8</v>
      </c>
      <c r="M212" s="587">
        <v>1425214.5</v>
      </c>
      <c r="N212" s="587">
        <v>2959176.3</v>
      </c>
    </row>
    <row r="213" spans="1:14" x14ac:dyDescent="0.35">
      <c r="A213" s="655"/>
      <c r="B213" s="509" t="s">
        <v>957</v>
      </c>
      <c r="C213" s="587">
        <v>3397012</v>
      </c>
      <c r="D213" s="587">
        <v>3254055</v>
      </c>
      <c r="E213" s="587">
        <v>6651067</v>
      </c>
      <c r="F213" s="587">
        <v>575597</v>
      </c>
      <c r="G213" s="587">
        <v>580871</v>
      </c>
      <c r="H213" s="587">
        <v>1156468</v>
      </c>
      <c r="I213" s="587">
        <v>29258</v>
      </c>
      <c r="J213" s="587">
        <v>32098</v>
      </c>
      <c r="K213" s="587">
        <v>61356</v>
      </c>
      <c r="L213" s="587">
        <v>1289890</v>
      </c>
      <c r="M213" s="587">
        <v>1317920</v>
      </c>
      <c r="N213" s="587">
        <v>2607810</v>
      </c>
    </row>
    <row r="214" spans="1:14" x14ac:dyDescent="0.35">
      <c r="A214" s="655"/>
      <c r="B214" s="509" t="s">
        <v>956</v>
      </c>
      <c r="C214" s="587">
        <v>3136650</v>
      </c>
      <c r="D214" s="587">
        <v>3251564</v>
      </c>
      <c r="E214" s="587">
        <v>6388214</v>
      </c>
      <c r="F214" s="587">
        <v>574191</v>
      </c>
      <c r="G214" s="587">
        <v>604607</v>
      </c>
      <c r="H214" s="587">
        <v>1178798</v>
      </c>
      <c r="I214" s="587">
        <v>24177</v>
      </c>
      <c r="J214" s="587">
        <v>25358</v>
      </c>
      <c r="K214" s="587">
        <v>49535</v>
      </c>
      <c r="L214" s="587">
        <v>1235540</v>
      </c>
      <c r="M214" s="587">
        <v>1353980</v>
      </c>
      <c r="N214" s="587">
        <v>2589520</v>
      </c>
    </row>
    <row r="215" spans="1:14" ht="14.5" x14ac:dyDescent="0.35">
      <c r="A215" s="655">
        <v>35</v>
      </c>
      <c r="B215" s="943" t="s">
        <v>44</v>
      </c>
      <c r="C215" s="928"/>
      <c r="D215" s="928"/>
      <c r="E215" s="928"/>
      <c r="F215" s="928"/>
      <c r="G215" s="928"/>
      <c r="H215" s="928"/>
      <c r="I215" s="928"/>
      <c r="J215" s="928"/>
      <c r="K215" s="928"/>
      <c r="L215" s="928"/>
      <c r="M215" s="928"/>
      <c r="N215" s="928"/>
    </row>
    <row r="216" spans="1:14" x14ac:dyDescent="0.35">
      <c r="A216" s="655"/>
      <c r="B216" s="508" t="s">
        <v>960</v>
      </c>
      <c r="C216" s="610">
        <v>317341.76897050452</v>
      </c>
      <c r="D216" s="610">
        <v>323953.17042590817</v>
      </c>
      <c r="E216" s="610">
        <v>641294.93939641269</v>
      </c>
      <c r="F216" s="610">
        <v>43403.289838397599</v>
      </c>
      <c r="G216" s="610">
        <v>51051.130838407102</v>
      </c>
      <c r="H216" s="610">
        <v>94454.420676804701</v>
      </c>
      <c r="I216" s="610">
        <v>8878.9020067244473</v>
      </c>
      <c r="J216" s="610">
        <v>9864.0096233015338</v>
      </c>
      <c r="K216" s="610">
        <v>18742.911630025981</v>
      </c>
      <c r="L216" s="610">
        <v>64403.899996327193</v>
      </c>
      <c r="M216" s="610">
        <v>64637.646018658794</v>
      </c>
      <c r="N216" s="610">
        <v>129041.54601498599</v>
      </c>
    </row>
    <row r="217" spans="1:14" x14ac:dyDescent="0.35">
      <c r="A217" s="655"/>
      <c r="B217" s="509" t="s">
        <v>959</v>
      </c>
      <c r="C217" s="587">
        <v>290727.55586492468</v>
      </c>
      <c r="D217" s="587">
        <v>288687.37506915041</v>
      </c>
      <c r="E217" s="587">
        <v>579414.93093407503</v>
      </c>
      <c r="F217" s="587">
        <v>39324.326215265377</v>
      </c>
      <c r="G217" s="587">
        <v>44596.763615978947</v>
      </c>
      <c r="H217" s="587">
        <v>83921.089831244331</v>
      </c>
      <c r="I217" s="587">
        <v>8367.5249613593696</v>
      </c>
      <c r="J217" s="587">
        <v>8257.7541064174875</v>
      </c>
      <c r="K217" s="587">
        <v>16625.279067776861</v>
      </c>
      <c r="L217" s="587">
        <v>58108.266029897139</v>
      </c>
      <c r="M217" s="587">
        <v>56356.134653979483</v>
      </c>
      <c r="N217" s="587">
        <v>114464.40068387661</v>
      </c>
    </row>
    <row r="218" spans="1:14" x14ac:dyDescent="0.35">
      <c r="A218" s="655"/>
      <c r="B218" s="509" t="s">
        <v>958</v>
      </c>
      <c r="C218" s="587">
        <v>286148.59999999998</v>
      </c>
      <c r="D218" s="587">
        <v>281554.90000000002</v>
      </c>
      <c r="E218" s="587">
        <v>567703.5</v>
      </c>
      <c r="F218" s="587">
        <v>39345.800000000003</v>
      </c>
      <c r="G218" s="587">
        <v>43323.6</v>
      </c>
      <c r="H218" s="587">
        <v>82669.399999999994</v>
      </c>
      <c r="I218" s="587">
        <v>9268.2999999999993</v>
      </c>
      <c r="J218" s="587">
        <v>8843.2000000000007</v>
      </c>
      <c r="K218" s="587">
        <v>18111.5</v>
      </c>
      <c r="L218" s="587">
        <v>53211.6</v>
      </c>
      <c r="M218" s="587">
        <v>51752</v>
      </c>
      <c r="N218" s="587">
        <v>104963.6</v>
      </c>
    </row>
    <row r="219" spans="1:14" x14ac:dyDescent="0.35">
      <c r="A219" s="655"/>
      <c r="B219" s="509" t="s">
        <v>957</v>
      </c>
      <c r="C219" s="587">
        <v>304850</v>
      </c>
      <c r="D219" s="587">
        <v>315301</v>
      </c>
      <c r="E219" s="587">
        <v>620151</v>
      </c>
      <c r="F219" s="587">
        <v>42740</v>
      </c>
      <c r="G219" s="587">
        <v>48262</v>
      </c>
      <c r="H219" s="587">
        <v>91002</v>
      </c>
      <c r="I219" s="587">
        <v>10219</v>
      </c>
      <c r="J219" s="587">
        <v>10944</v>
      </c>
      <c r="K219" s="587">
        <v>21163</v>
      </c>
      <c r="L219" s="587">
        <v>53371</v>
      </c>
      <c r="M219" s="587">
        <v>48798</v>
      </c>
      <c r="N219" s="587">
        <v>102169</v>
      </c>
    </row>
    <row r="220" spans="1:14" x14ac:dyDescent="0.35">
      <c r="A220" s="655"/>
      <c r="B220" s="509" t="s">
        <v>956</v>
      </c>
      <c r="C220" s="587">
        <v>248893</v>
      </c>
      <c r="D220" s="587">
        <v>244386</v>
      </c>
      <c r="E220" s="587">
        <v>493279</v>
      </c>
      <c r="F220" s="587">
        <v>34825</v>
      </c>
      <c r="G220" s="587">
        <v>35946</v>
      </c>
      <c r="H220" s="587">
        <v>70771</v>
      </c>
      <c r="I220" s="587">
        <v>8678</v>
      </c>
      <c r="J220" s="587">
        <v>8758</v>
      </c>
      <c r="K220" s="587">
        <v>17436</v>
      </c>
      <c r="L220" s="587">
        <v>45352</v>
      </c>
      <c r="M220" s="587">
        <v>39825</v>
      </c>
      <c r="N220" s="587">
        <v>85177</v>
      </c>
    </row>
    <row r="221" spans="1:14" ht="14.5" x14ac:dyDescent="0.35">
      <c r="A221" s="655">
        <v>36</v>
      </c>
      <c r="B221" s="943" t="s">
        <v>45</v>
      </c>
      <c r="C221" s="928"/>
      <c r="D221" s="928"/>
      <c r="E221" s="928"/>
      <c r="F221" s="928"/>
      <c r="G221" s="928"/>
      <c r="H221" s="928"/>
      <c r="I221" s="928"/>
      <c r="J221" s="928"/>
      <c r="K221" s="928"/>
      <c r="L221" s="928"/>
      <c r="M221" s="928"/>
      <c r="N221" s="928"/>
    </row>
    <row r="222" spans="1:14" x14ac:dyDescent="0.35">
      <c r="A222" s="655"/>
      <c r="B222" s="508" t="s">
        <v>960</v>
      </c>
      <c r="C222" s="610">
        <v>1199485.971219257</v>
      </c>
      <c r="D222" s="610">
        <v>1253993.7386403279</v>
      </c>
      <c r="E222" s="610">
        <v>2453479.7098595849</v>
      </c>
      <c r="F222" s="610">
        <v>226725.22948717952</v>
      </c>
      <c r="G222" s="610">
        <v>237691.89302721087</v>
      </c>
      <c r="H222" s="610">
        <v>464417.12251439039</v>
      </c>
      <c r="I222" s="610">
        <v>42963.696258503405</v>
      </c>
      <c r="J222" s="610">
        <v>49418.313217338218</v>
      </c>
      <c r="K222" s="610">
        <v>92382.009475841623</v>
      </c>
      <c r="L222" s="610">
        <v>222287.5756715507</v>
      </c>
      <c r="M222" s="610">
        <v>230588.66246729461</v>
      </c>
      <c r="N222" s="610">
        <v>452876.23813884531</v>
      </c>
    </row>
    <row r="223" spans="1:14" x14ac:dyDescent="0.35">
      <c r="A223" s="655"/>
      <c r="B223" s="465" t="s">
        <v>959</v>
      </c>
      <c r="C223" s="587">
        <v>1360800.666666667</v>
      </c>
      <c r="D223" s="587">
        <v>1332067.833333333</v>
      </c>
      <c r="E223" s="587">
        <v>2692868.5</v>
      </c>
      <c r="F223" s="587">
        <v>269484.08333333331</v>
      </c>
      <c r="G223" s="587">
        <v>257422.5</v>
      </c>
      <c r="H223" s="587">
        <v>526906.58333333337</v>
      </c>
      <c r="I223" s="587">
        <v>45452.25</v>
      </c>
      <c r="J223" s="587">
        <v>49616.5</v>
      </c>
      <c r="K223" s="587">
        <v>95068.75</v>
      </c>
      <c r="L223" s="587">
        <v>243568.5</v>
      </c>
      <c r="M223" s="587">
        <v>233706.66666666669</v>
      </c>
      <c r="N223" s="587">
        <v>477275.16666666669</v>
      </c>
    </row>
    <row r="224" spans="1:14" x14ac:dyDescent="0.35">
      <c r="A224" s="655"/>
      <c r="B224" s="465" t="s">
        <v>958</v>
      </c>
      <c r="C224" s="587">
        <v>1375627</v>
      </c>
      <c r="D224" s="587">
        <v>1346524</v>
      </c>
      <c r="E224" s="587">
        <v>2722151</v>
      </c>
      <c r="F224" s="587">
        <v>268861</v>
      </c>
      <c r="G224" s="587">
        <v>250384</v>
      </c>
      <c r="H224" s="587">
        <v>519245</v>
      </c>
      <c r="I224" s="587">
        <v>46586</v>
      </c>
      <c r="J224" s="587">
        <v>49120</v>
      </c>
      <c r="K224" s="587">
        <v>95706</v>
      </c>
      <c r="L224" s="587">
        <v>252444</v>
      </c>
      <c r="M224" s="587">
        <v>227554</v>
      </c>
      <c r="N224" s="587">
        <v>479998</v>
      </c>
    </row>
    <row r="225" spans="1:14" x14ac:dyDescent="0.35">
      <c r="A225" s="655"/>
      <c r="B225" s="465" t="s">
        <v>957</v>
      </c>
      <c r="C225" s="587">
        <v>1086183</v>
      </c>
      <c r="D225" s="587">
        <v>1129353</v>
      </c>
      <c r="E225" s="587">
        <v>2215536</v>
      </c>
      <c r="F225" s="587">
        <v>193301</v>
      </c>
      <c r="G225" s="587">
        <v>196461</v>
      </c>
      <c r="H225" s="587">
        <v>389762</v>
      </c>
      <c r="I225" s="587">
        <v>35878</v>
      </c>
      <c r="J225" s="587">
        <v>37271</v>
      </c>
      <c r="K225" s="587">
        <v>73149</v>
      </c>
      <c r="L225" s="587">
        <v>173809</v>
      </c>
      <c r="M225" s="587">
        <v>174094</v>
      </c>
      <c r="N225" s="587">
        <v>347903</v>
      </c>
    </row>
    <row r="226" spans="1:14" x14ac:dyDescent="0.35">
      <c r="A226" s="655"/>
      <c r="B226" s="465" t="s">
        <v>956</v>
      </c>
      <c r="C226" s="587">
        <v>1069629</v>
      </c>
      <c r="D226" s="587">
        <v>1091264</v>
      </c>
      <c r="E226" s="587">
        <v>2160893</v>
      </c>
      <c r="F226" s="587">
        <v>198506</v>
      </c>
      <c r="G226" s="587">
        <v>198374</v>
      </c>
      <c r="H226" s="587">
        <v>396880</v>
      </c>
      <c r="I226" s="587">
        <v>35684</v>
      </c>
      <c r="J226" s="587">
        <v>36549</v>
      </c>
      <c r="K226" s="587">
        <v>72233</v>
      </c>
      <c r="L226" s="587">
        <v>169795</v>
      </c>
      <c r="M226" s="587">
        <v>168978</v>
      </c>
      <c r="N226" s="587">
        <v>338773</v>
      </c>
    </row>
  </sheetData>
  <mergeCells count="82">
    <mergeCell ref="A35:A40"/>
    <mergeCell ref="I1:N1"/>
    <mergeCell ref="A2:A3"/>
    <mergeCell ref="B2:B3"/>
    <mergeCell ref="C2:E2"/>
    <mergeCell ref="F2:H2"/>
    <mergeCell ref="I2:K2"/>
    <mergeCell ref="L2:N2"/>
    <mergeCell ref="A5:A10"/>
    <mergeCell ref="A11:A16"/>
    <mergeCell ref="A17:A22"/>
    <mergeCell ref="A23:A28"/>
    <mergeCell ref="A29:A34"/>
    <mergeCell ref="C1:H1"/>
    <mergeCell ref="B5:N5"/>
    <mergeCell ref="B11:N11"/>
    <mergeCell ref="A107:A112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79:A184"/>
    <mergeCell ref="A113:A118"/>
    <mergeCell ref="A119:A124"/>
    <mergeCell ref="A125:A130"/>
    <mergeCell ref="A131:A136"/>
    <mergeCell ref="A137:A142"/>
    <mergeCell ref="A143:A148"/>
    <mergeCell ref="A149:A154"/>
    <mergeCell ref="A155:A160"/>
    <mergeCell ref="A161:A166"/>
    <mergeCell ref="A167:A172"/>
    <mergeCell ref="A173:A178"/>
    <mergeCell ref="A221:A226"/>
    <mergeCell ref="A185:A190"/>
    <mergeCell ref="A191:A196"/>
    <mergeCell ref="A197:A202"/>
    <mergeCell ref="A203:A208"/>
    <mergeCell ref="A209:A214"/>
    <mergeCell ref="A215:A220"/>
    <mergeCell ref="B17:N17"/>
    <mergeCell ref="B23:N23"/>
    <mergeCell ref="B29:N29"/>
    <mergeCell ref="B35:N35"/>
    <mergeCell ref="B41:N41"/>
    <mergeCell ref="B47:N47"/>
    <mergeCell ref="B53:N53"/>
    <mergeCell ref="B59:N59"/>
    <mergeCell ref="B65:N65"/>
    <mergeCell ref="B71:N71"/>
    <mergeCell ref="B77:N77"/>
    <mergeCell ref="B83:N83"/>
    <mergeCell ref="B89:N89"/>
    <mergeCell ref="B95:N95"/>
    <mergeCell ref="B101:N101"/>
    <mergeCell ref="B107:N107"/>
    <mergeCell ref="B113:N113"/>
    <mergeCell ref="B119:N119"/>
    <mergeCell ref="B125:N125"/>
    <mergeCell ref="B131:N131"/>
    <mergeCell ref="B137:N137"/>
    <mergeCell ref="B143:N143"/>
    <mergeCell ref="B149:N149"/>
    <mergeCell ref="B155:N155"/>
    <mergeCell ref="B161:N161"/>
    <mergeCell ref="B167:N167"/>
    <mergeCell ref="B173:N173"/>
    <mergeCell ref="B179:N179"/>
    <mergeCell ref="B185:N185"/>
    <mergeCell ref="B191:N191"/>
    <mergeCell ref="B197:N197"/>
    <mergeCell ref="B203:N203"/>
    <mergeCell ref="B209:N209"/>
    <mergeCell ref="B215:N215"/>
    <mergeCell ref="B221:N221"/>
  </mergeCells>
  <pageMargins left="0.59055118110236227" right="0.15748031496062992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2023-24&amp;RT-45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F856-5D60-4767-A705-23803C2EA5BB}">
  <dimension ref="A1:N226"/>
  <sheetViews>
    <sheetView view="pageBreakPreview" zoomScaleSheetLayoutView="100" workbookViewId="0">
      <pane xSplit="2" ySplit="3" topLeftCell="C4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1796875" defaultRowHeight="14" x14ac:dyDescent="0.35"/>
  <cols>
    <col min="1" max="1" width="4.453125" style="510" bestFit="1" customWidth="1"/>
    <col min="2" max="2" width="21.54296875" style="510" customWidth="1"/>
    <col min="3" max="14" width="12.453125" style="510" customWidth="1"/>
    <col min="15" max="16384" width="9.1796875" style="510"/>
  </cols>
  <sheetData>
    <row r="1" spans="1:14" ht="28.5" customHeight="1" x14ac:dyDescent="0.35">
      <c r="B1" s="515"/>
      <c r="C1" s="948" t="s">
        <v>1024</v>
      </c>
      <c r="D1" s="948"/>
      <c r="E1" s="948"/>
      <c r="F1" s="948"/>
      <c r="G1" s="948"/>
      <c r="H1" s="948"/>
      <c r="I1" s="948"/>
      <c r="J1" s="948"/>
      <c r="K1" s="948"/>
      <c r="L1" s="948"/>
      <c r="M1" s="948"/>
      <c r="N1" s="948"/>
    </row>
    <row r="2" spans="1:14" ht="17.25" customHeight="1" x14ac:dyDescent="0.35">
      <c r="A2" s="656" t="s">
        <v>84</v>
      </c>
      <c r="B2" s="946" t="s">
        <v>1</v>
      </c>
      <c r="C2" s="945" t="s">
        <v>704</v>
      </c>
      <c r="D2" s="945"/>
      <c r="E2" s="945"/>
      <c r="F2" s="945" t="s">
        <v>705</v>
      </c>
      <c r="G2" s="945"/>
      <c r="H2" s="945"/>
      <c r="I2" s="945" t="s">
        <v>1035</v>
      </c>
      <c r="J2" s="945"/>
      <c r="K2" s="945"/>
      <c r="L2" s="945" t="s">
        <v>706</v>
      </c>
      <c r="M2" s="945"/>
      <c r="N2" s="945"/>
    </row>
    <row r="3" spans="1:14" ht="17.25" customHeight="1" x14ac:dyDescent="0.35">
      <c r="A3" s="656"/>
      <c r="B3" s="946"/>
      <c r="C3" s="503" t="s">
        <v>103</v>
      </c>
      <c r="D3" s="503" t="s">
        <v>104</v>
      </c>
      <c r="E3" s="503" t="s">
        <v>965</v>
      </c>
      <c r="F3" s="503" t="s">
        <v>103</v>
      </c>
      <c r="G3" s="503" t="s">
        <v>104</v>
      </c>
      <c r="H3" s="503" t="s">
        <v>965</v>
      </c>
      <c r="I3" s="503" t="s">
        <v>103</v>
      </c>
      <c r="J3" s="503" t="s">
        <v>104</v>
      </c>
      <c r="K3" s="503" t="s">
        <v>965</v>
      </c>
      <c r="L3" s="503" t="s">
        <v>103</v>
      </c>
      <c r="M3" s="503" t="s">
        <v>104</v>
      </c>
      <c r="N3" s="503" t="s">
        <v>965</v>
      </c>
    </row>
    <row r="4" spans="1:14" x14ac:dyDescent="0.35">
      <c r="A4" s="505">
        <v>1</v>
      </c>
      <c r="B4" s="506">
        <v>2</v>
      </c>
      <c r="C4" s="506">
        <v>3</v>
      </c>
      <c r="D4" s="505">
        <v>4</v>
      </c>
      <c r="E4" s="506">
        <v>5</v>
      </c>
      <c r="F4" s="506">
        <v>6</v>
      </c>
      <c r="G4" s="505">
        <v>7</v>
      </c>
      <c r="H4" s="506">
        <v>8</v>
      </c>
      <c r="I4" s="506">
        <v>9</v>
      </c>
      <c r="J4" s="505">
        <v>10</v>
      </c>
      <c r="K4" s="506">
        <v>11</v>
      </c>
      <c r="L4" s="505">
        <v>12</v>
      </c>
      <c r="M4" s="506">
        <v>13</v>
      </c>
      <c r="N4" s="505">
        <v>14</v>
      </c>
    </row>
    <row r="5" spans="1:14" x14ac:dyDescent="0.35">
      <c r="A5" s="655"/>
      <c r="B5" s="943" t="s">
        <v>46</v>
      </c>
      <c r="C5" s="943"/>
      <c r="D5" s="943"/>
      <c r="E5" s="943"/>
      <c r="F5" s="943"/>
      <c r="G5" s="943"/>
      <c r="H5" s="943"/>
      <c r="I5" s="943"/>
      <c r="J5" s="943"/>
      <c r="K5" s="943"/>
      <c r="L5" s="943"/>
      <c r="M5" s="943"/>
      <c r="N5" s="943"/>
    </row>
    <row r="6" spans="1:14" x14ac:dyDescent="0.35">
      <c r="A6" s="655"/>
      <c r="B6" s="508" t="s">
        <v>960</v>
      </c>
      <c r="C6" s="588">
        <v>1087503.3571811519</v>
      </c>
      <c r="D6" s="588">
        <v>1165295.345377373</v>
      </c>
      <c r="E6" s="588">
        <v>2252798.7025585249</v>
      </c>
      <c r="F6" s="588">
        <v>508369.40641094919</v>
      </c>
      <c r="G6" s="588">
        <v>571196.98032632994</v>
      </c>
      <c r="H6" s="588">
        <v>1079566.3867372791</v>
      </c>
      <c r="I6" s="588">
        <v>60486.965380598856</v>
      </c>
      <c r="J6" s="588">
        <v>45898.361111571918</v>
      </c>
      <c r="K6" s="588">
        <v>106385.32649217077</v>
      </c>
      <c r="L6" s="588">
        <v>469308.44903802196</v>
      </c>
      <c r="M6" s="588">
        <v>429558.19705418753</v>
      </c>
      <c r="N6" s="588">
        <v>898866.6460922095</v>
      </c>
    </row>
    <row r="7" spans="1:14" x14ac:dyDescent="0.35">
      <c r="A7" s="655"/>
      <c r="B7" s="511" t="s">
        <v>959</v>
      </c>
      <c r="C7" s="589">
        <v>1120382.093536471</v>
      </c>
      <c r="D7" s="589">
        <v>1123430.4317668211</v>
      </c>
      <c r="E7" s="589">
        <v>2243812.5253032921</v>
      </c>
      <c r="F7" s="589">
        <v>486130.05524035997</v>
      </c>
      <c r="G7" s="589">
        <v>560383.84263764741</v>
      </c>
      <c r="H7" s="589">
        <v>1046513.897878007</v>
      </c>
      <c r="I7" s="589">
        <v>53665.99032707412</v>
      </c>
      <c r="J7" s="589">
        <v>35150.175848665232</v>
      </c>
      <c r="K7" s="589">
        <v>88816.166175739345</v>
      </c>
      <c r="L7" s="589">
        <v>436708.32203368552</v>
      </c>
      <c r="M7" s="589">
        <v>383665.51058628922</v>
      </c>
      <c r="N7" s="589">
        <v>820373.83261997474</v>
      </c>
    </row>
    <row r="8" spans="1:14" x14ac:dyDescent="0.35">
      <c r="A8" s="655"/>
      <c r="B8" s="509" t="s">
        <v>958</v>
      </c>
      <c r="C8" s="589">
        <v>1068766</v>
      </c>
      <c r="D8" s="589">
        <v>1039267</v>
      </c>
      <c r="E8" s="589">
        <v>2108033</v>
      </c>
      <c r="F8" s="589">
        <v>427425</v>
      </c>
      <c r="G8" s="589">
        <v>477734</v>
      </c>
      <c r="H8" s="589">
        <v>905159</v>
      </c>
      <c r="I8" s="589">
        <v>51373</v>
      </c>
      <c r="J8" s="589">
        <v>37375</v>
      </c>
      <c r="K8" s="589">
        <v>88748</v>
      </c>
      <c r="L8" s="589">
        <v>354534</v>
      </c>
      <c r="M8" s="589">
        <v>302027</v>
      </c>
      <c r="N8" s="589">
        <v>656561</v>
      </c>
    </row>
    <row r="9" spans="1:14" x14ac:dyDescent="0.35">
      <c r="A9" s="655"/>
      <c r="B9" s="509" t="s">
        <v>957</v>
      </c>
      <c r="C9" s="589">
        <v>954655</v>
      </c>
      <c r="D9" s="589">
        <v>967058</v>
      </c>
      <c r="E9" s="589">
        <v>1921713</v>
      </c>
      <c r="F9" s="589">
        <v>381764</v>
      </c>
      <c r="G9" s="589">
        <v>448102</v>
      </c>
      <c r="H9" s="589">
        <v>829866</v>
      </c>
      <c r="I9" s="589">
        <v>49334</v>
      </c>
      <c r="J9" s="589">
        <v>29701</v>
      </c>
      <c r="K9" s="589">
        <v>79035</v>
      </c>
      <c r="L9" s="590">
        <v>244250</v>
      </c>
      <c r="M9" s="590">
        <v>223526</v>
      </c>
      <c r="N9" s="590">
        <v>467776</v>
      </c>
    </row>
    <row r="10" spans="1:14" x14ac:dyDescent="0.35">
      <c r="A10" s="655"/>
      <c r="B10" s="509" t="s">
        <v>956</v>
      </c>
      <c r="C10" s="589">
        <v>1046374</v>
      </c>
      <c r="D10" s="589">
        <v>1054486</v>
      </c>
      <c r="E10" s="589">
        <v>2100860</v>
      </c>
      <c r="F10" s="589">
        <v>404748</v>
      </c>
      <c r="G10" s="589">
        <v>483002</v>
      </c>
      <c r="H10" s="589">
        <v>887750</v>
      </c>
      <c r="I10" s="589">
        <v>47830</v>
      </c>
      <c r="J10" s="589">
        <v>45001</v>
      </c>
      <c r="K10" s="589">
        <v>92831</v>
      </c>
      <c r="L10" s="589"/>
      <c r="M10" s="589"/>
      <c r="N10" s="589"/>
    </row>
    <row r="11" spans="1:14" ht="14.5" x14ac:dyDescent="0.35">
      <c r="A11" s="655">
        <v>1</v>
      </c>
      <c r="B11" s="944" t="s">
        <v>56</v>
      </c>
      <c r="C11" s="928"/>
      <c r="D11" s="928"/>
      <c r="E11" s="928"/>
      <c r="F11" s="928"/>
      <c r="G11" s="928"/>
      <c r="H11" s="928"/>
      <c r="I11" s="928"/>
      <c r="J11" s="928"/>
      <c r="K11" s="928"/>
      <c r="L11" s="928"/>
      <c r="M11" s="928"/>
      <c r="N11" s="928"/>
    </row>
    <row r="12" spans="1:14" x14ac:dyDescent="0.35">
      <c r="A12" s="655"/>
      <c r="B12" s="508" t="s">
        <v>960</v>
      </c>
      <c r="C12" s="588">
        <v>82</v>
      </c>
      <c r="D12" s="588">
        <v>89</v>
      </c>
      <c r="E12" s="588">
        <v>171</v>
      </c>
      <c r="F12" s="588">
        <v>95</v>
      </c>
      <c r="G12" s="588">
        <v>116</v>
      </c>
      <c r="H12" s="588">
        <v>211</v>
      </c>
      <c r="I12" s="588">
        <v>17</v>
      </c>
      <c r="J12" s="588">
        <v>14</v>
      </c>
      <c r="K12" s="588">
        <v>31</v>
      </c>
      <c r="L12" s="588">
        <v>100</v>
      </c>
      <c r="M12" s="588">
        <v>105</v>
      </c>
      <c r="N12" s="588">
        <v>205</v>
      </c>
    </row>
    <row r="13" spans="1:14" x14ac:dyDescent="0.35">
      <c r="A13" s="655"/>
      <c r="B13" s="511" t="s">
        <v>959</v>
      </c>
      <c r="C13" s="589">
        <v>142</v>
      </c>
      <c r="D13" s="589">
        <v>151</v>
      </c>
      <c r="E13" s="589">
        <v>293</v>
      </c>
      <c r="F13" s="589">
        <v>153</v>
      </c>
      <c r="G13" s="589">
        <v>146</v>
      </c>
      <c r="H13" s="589">
        <v>299</v>
      </c>
      <c r="I13" s="589">
        <v>11</v>
      </c>
      <c r="J13" s="589">
        <v>6</v>
      </c>
      <c r="K13" s="589">
        <v>17</v>
      </c>
      <c r="L13" s="589">
        <v>94</v>
      </c>
      <c r="M13" s="589">
        <v>103</v>
      </c>
      <c r="N13" s="589">
        <v>197</v>
      </c>
    </row>
    <row r="14" spans="1:14" x14ac:dyDescent="0.35">
      <c r="A14" s="655"/>
      <c r="B14" s="509" t="s">
        <v>958</v>
      </c>
      <c r="C14" s="589">
        <v>239</v>
      </c>
      <c r="D14" s="589">
        <v>370</v>
      </c>
      <c r="E14" s="589">
        <v>609</v>
      </c>
      <c r="F14" s="589">
        <v>402</v>
      </c>
      <c r="G14" s="589">
        <v>743</v>
      </c>
      <c r="H14" s="589">
        <v>1145</v>
      </c>
      <c r="I14" s="589">
        <v>27</v>
      </c>
      <c r="J14" s="589">
        <v>39</v>
      </c>
      <c r="K14" s="589">
        <v>66</v>
      </c>
      <c r="L14" s="589">
        <v>49</v>
      </c>
      <c r="M14" s="589">
        <v>63</v>
      </c>
      <c r="N14" s="589">
        <v>112</v>
      </c>
    </row>
    <row r="15" spans="1:14" x14ac:dyDescent="0.35">
      <c r="A15" s="655"/>
      <c r="B15" s="509" t="s">
        <v>957</v>
      </c>
      <c r="C15" s="589">
        <v>255</v>
      </c>
      <c r="D15" s="589">
        <v>363</v>
      </c>
      <c r="E15" s="589">
        <v>618</v>
      </c>
      <c r="F15" s="589">
        <v>401</v>
      </c>
      <c r="G15" s="589">
        <v>731</v>
      </c>
      <c r="H15" s="589">
        <v>1132</v>
      </c>
      <c r="I15" s="589">
        <v>22</v>
      </c>
      <c r="J15" s="589">
        <v>34</v>
      </c>
      <c r="K15" s="589">
        <v>56</v>
      </c>
      <c r="L15" s="589">
        <v>51</v>
      </c>
      <c r="M15" s="589">
        <v>37</v>
      </c>
      <c r="N15" s="589">
        <v>88</v>
      </c>
    </row>
    <row r="16" spans="1:14" x14ac:dyDescent="0.35">
      <c r="A16" s="655"/>
      <c r="B16" s="509" t="s">
        <v>956</v>
      </c>
      <c r="C16" s="590">
        <v>166</v>
      </c>
      <c r="D16" s="590">
        <v>304</v>
      </c>
      <c r="E16" s="590">
        <v>470</v>
      </c>
      <c r="F16" s="590">
        <v>293</v>
      </c>
      <c r="G16" s="590">
        <v>645</v>
      </c>
      <c r="H16" s="590">
        <v>938</v>
      </c>
      <c r="I16" s="590">
        <v>18</v>
      </c>
      <c r="J16" s="590">
        <v>44</v>
      </c>
      <c r="K16" s="590">
        <v>62</v>
      </c>
      <c r="L16" s="589"/>
      <c r="M16" s="589"/>
      <c r="N16" s="589"/>
    </row>
    <row r="17" spans="1:14" ht="14.5" x14ac:dyDescent="0.35">
      <c r="A17" s="655">
        <v>2</v>
      </c>
      <c r="B17" s="943" t="s">
        <v>13</v>
      </c>
      <c r="C17" s="928"/>
      <c r="D17" s="928"/>
      <c r="E17" s="928"/>
      <c r="F17" s="928"/>
      <c r="G17" s="928"/>
      <c r="H17" s="928"/>
      <c r="I17" s="928"/>
      <c r="J17" s="928"/>
      <c r="K17" s="928"/>
      <c r="L17" s="928"/>
      <c r="M17" s="928"/>
      <c r="N17" s="928"/>
    </row>
    <row r="18" spans="1:14" x14ac:dyDescent="0.35">
      <c r="A18" s="655"/>
      <c r="B18" s="508" t="s">
        <v>960</v>
      </c>
      <c r="C18" s="588">
        <v>27946.088273174009</v>
      </c>
      <c r="D18" s="588">
        <v>24815.205455772953</v>
      </c>
      <c r="E18" s="588">
        <v>52761.293728946963</v>
      </c>
      <c r="F18" s="588">
        <v>6382.4865763039243</v>
      </c>
      <c r="G18" s="588">
        <v>5796.0229444041333</v>
      </c>
      <c r="H18" s="588">
        <v>12178.509520708058</v>
      </c>
      <c r="I18" s="588">
        <v>1758.1223874525067</v>
      </c>
      <c r="J18" s="588">
        <v>1387.578486484108</v>
      </c>
      <c r="K18" s="588">
        <v>3145.7008739366147</v>
      </c>
      <c r="L18" s="588">
        <v>30026.854255819075</v>
      </c>
      <c r="M18" s="588">
        <v>28988.875382827617</v>
      </c>
      <c r="N18" s="588">
        <v>59015.729638646691</v>
      </c>
    </row>
    <row r="19" spans="1:14" x14ac:dyDescent="0.35">
      <c r="A19" s="655"/>
      <c r="B19" s="511" t="s">
        <v>959</v>
      </c>
      <c r="C19" s="589">
        <v>31485.762586389541</v>
      </c>
      <c r="D19" s="589">
        <v>25697.902310614489</v>
      </c>
      <c r="E19" s="589">
        <v>57183.664897004033</v>
      </c>
      <c r="F19" s="589">
        <v>4353.9679709427537</v>
      </c>
      <c r="G19" s="589">
        <v>4210.8853399696882</v>
      </c>
      <c r="H19" s="589">
        <v>8564.8533109124419</v>
      </c>
      <c r="I19" s="589">
        <v>1927.5765765765771</v>
      </c>
      <c r="J19" s="589">
        <v>1194.2528957528959</v>
      </c>
      <c r="K19" s="589">
        <v>3121.829472329473</v>
      </c>
      <c r="L19" s="589">
        <v>27900.6676586094</v>
      </c>
      <c r="M19" s="589">
        <v>26586.911589037671</v>
      </c>
      <c r="N19" s="589">
        <v>54487.579247647067</v>
      </c>
    </row>
    <row r="20" spans="1:14" x14ac:dyDescent="0.35">
      <c r="A20" s="655"/>
      <c r="B20" s="509" t="s">
        <v>958</v>
      </c>
      <c r="C20" s="589">
        <v>32718</v>
      </c>
      <c r="D20" s="589">
        <v>23726</v>
      </c>
      <c r="E20" s="589">
        <v>56444</v>
      </c>
      <c r="F20" s="589">
        <v>4241</v>
      </c>
      <c r="G20" s="589">
        <v>4420</v>
      </c>
      <c r="H20" s="589">
        <v>8661</v>
      </c>
      <c r="I20" s="589">
        <v>1361</v>
      </c>
      <c r="J20" s="589">
        <v>1167</v>
      </c>
      <c r="K20" s="589">
        <v>2528</v>
      </c>
      <c r="L20" s="589">
        <v>20391</v>
      </c>
      <c r="M20" s="589">
        <v>19050</v>
      </c>
      <c r="N20" s="589">
        <v>39441</v>
      </c>
    </row>
    <row r="21" spans="1:14" x14ac:dyDescent="0.35">
      <c r="A21" s="655"/>
      <c r="B21" s="509" t="s">
        <v>957</v>
      </c>
      <c r="C21" s="589">
        <v>28338</v>
      </c>
      <c r="D21" s="589">
        <v>23313</v>
      </c>
      <c r="E21" s="589">
        <v>51651</v>
      </c>
      <c r="F21" s="589">
        <v>5727</v>
      </c>
      <c r="G21" s="589">
        <v>4301</v>
      </c>
      <c r="H21" s="589">
        <v>10028</v>
      </c>
      <c r="I21" s="589">
        <v>1659</v>
      </c>
      <c r="J21" s="589">
        <v>957</v>
      </c>
      <c r="K21" s="589">
        <v>2616</v>
      </c>
      <c r="L21" s="590">
        <v>15650</v>
      </c>
      <c r="M21" s="590">
        <v>14068</v>
      </c>
      <c r="N21" s="590">
        <v>29718</v>
      </c>
    </row>
    <row r="22" spans="1:14" x14ac:dyDescent="0.35">
      <c r="A22" s="655"/>
      <c r="B22" s="509" t="s">
        <v>956</v>
      </c>
      <c r="C22" s="590">
        <v>34050</v>
      </c>
      <c r="D22" s="590">
        <v>27245</v>
      </c>
      <c r="E22" s="590">
        <v>61295</v>
      </c>
      <c r="F22" s="590">
        <v>3884</v>
      </c>
      <c r="G22" s="590">
        <v>3745</v>
      </c>
      <c r="H22" s="590">
        <v>7629</v>
      </c>
      <c r="I22" s="590">
        <v>1683</v>
      </c>
      <c r="J22" s="590">
        <v>982</v>
      </c>
      <c r="K22" s="590">
        <v>2665</v>
      </c>
      <c r="L22" s="589"/>
      <c r="M22" s="589"/>
      <c r="N22" s="589"/>
    </row>
    <row r="23" spans="1:14" ht="14.5" x14ac:dyDescent="0.35">
      <c r="A23" s="655">
        <v>3</v>
      </c>
      <c r="B23" s="943" t="s">
        <v>14</v>
      </c>
      <c r="C23" s="928"/>
      <c r="D23" s="928"/>
      <c r="E23" s="928"/>
      <c r="F23" s="928"/>
      <c r="G23" s="928"/>
      <c r="H23" s="928"/>
      <c r="I23" s="928"/>
      <c r="J23" s="928"/>
      <c r="K23" s="928"/>
      <c r="L23" s="928"/>
      <c r="M23" s="928"/>
      <c r="N23" s="928"/>
    </row>
    <row r="24" spans="1:14" x14ac:dyDescent="0.35">
      <c r="A24" s="655"/>
      <c r="B24" s="508" t="s">
        <v>960</v>
      </c>
      <c r="C24" s="588">
        <v>69</v>
      </c>
      <c r="D24" s="588">
        <v>64</v>
      </c>
      <c r="E24" s="588">
        <v>133</v>
      </c>
      <c r="F24" s="588">
        <v>5039</v>
      </c>
      <c r="G24" s="588">
        <v>4266</v>
      </c>
      <c r="H24" s="588">
        <v>9305</v>
      </c>
      <c r="I24" s="588">
        <v>25</v>
      </c>
      <c r="J24" s="588">
        <v>13</v>
      </c>
      <c r="K24" s="588">
        <v>38</v>
      </c>
      <c r="L24" s="588">
        <v>321</v>
      </c>
      <c r="M24" s="588">
        <v>186</v>
      </c>
      <c r="N24" s="588">
        <v>507</v>
      </c>
    </row>
    <row r="25" spans="1:14" x14ac:dyDescent="0.35">
      <c r="A25" s="655"/>
      <c r="B25" s="511" t="s">
        <v>959</v>
      </c>
      <c r="C25" s="589">
        <v>68</v>
      </c>
      <c r="D25" s="589">
        <v>57</v>
      </c>
      <c r="E25" s="589">
        <v>125</v>
      </c>
      <c r="F25" s="589">
        <v>4879</v>
      </c>
      <c r="G25" s="589">
        <v>4482</v>
      </c>
      <c r="H25" s="589">
        <v>9361</v>
      </c>
      <c r="I25" s="589">
        <v>26</v>
      </c>
      <c r="J25" s="589">
        <v>13</v>
      </c>
      <c r="K25" s="589">
        <v>39</v>
      </c>
      <c r="L25" s="589">
        <v>299</v>
      </c>
      <c r="M25" s="589">
        <v>163</v>
      </c>
      <c r="N25" s="589">
        <v>462</v>
      </c>
    </row>
    <row r="26" spans="1:14" x14ac:dyDescent="0.35">
      <c r="A26" s="655"/>
      <c r="B26" s="509" t="s">
        <v>958</v>
      </c>
      <c r="C26" s="589">
        <v>65</v>
      </c>
      <c r="D26" s="589">
        <v>42</v>
      </c>
      <c r="E26" s="589">
        <v>107</v>
      </c>
      <c r="F26" s="589">
        <v>2470</v>
      </c>
      <c r="G26" s="589">
        <v>1673</v>
      </c>
      <c r="H26" s="589">
        <v>4143</v>
      </c>
      <c r="I26" s="589">
        <v>24</v>
      </c>
      <c r="J26" s="589">
        <v>28</v>
      </c>
      <c r="K26" s="589">
        <v>52</v>
      </c>
      <c r="L26" s="589">
        <v>221</v>
      </c>
      <c r="M26" s="589">
        <v>124</v>
      </c>
      <c r="N26" s="589">
        <v>345</v>
      </c>
    </row>
    <row r="27" spans="1:14" x14ac:dyDescent="0.35">
      <c r="A27" s="655"/>
      <c r="B27" s="509" t="s">
        <v>957</v>
      </c>
      <c r="C27" s="589">
        <v>53</v>
      </c>
      <c r="D27" s="589">
        <v>40</v>
      </c>
      <c r="E27" s="589">
        <v>93</v>
      </c>
      <c r="F27" s="589">
        <v>1849</v>
      </c>
      <c r="G27" s="589">
        <v>1292</v>
      </c>
      <c r="H27" s="589">
        <v>3141</v>
      </c>
      <c r="I27" s="589">
        <v>22</v>
      </c>
      <c r="J27" s="589">
        <v>10</v>
      </c>
      <c r="K27" s="589">
        <v>32</v>
      </c>
      <c r="L27" s="589">
        <v>111</v>
      </c>
      <c r="M27" s="589">
        <v>74</v>
      </c>
      <c r="N27" s="589">
        <v>185</v>
      </c>
    </row>
    <row r="28" spans="1:14" x14ac:dyDescent="0.35">
      <c r="A28" s="655"/>
      <c r="B28" s="509" t="s">
        <v>956</v>
      </c>
      <c r="C28" s="590">
        <v>91</v>
      </c>
      <c r="D28" s="590">
        <v>59</v>
      </c>
      <c r="E28" s="590">
        <v>150</v>
      </c>
      <c r="F28" s="590">
        <v>2519</v>
      </c>
      <c r="G28" s="590">
        <v>2250</v>
      </c>
      <c r="H28" s="590">
        <v>4769</v>
      </c>
      <c r="I28" s="590">
        <v>9</v>
      </c>
      <c r="J28" s="590">
        <v>5</v>
      </c>
      <c r="K28" s="590">
        <v>14</v>
      </c>
      <c r="L28" s="589"/>
      <c r="M28" s="589"/>
      <c r="N28" s="589"/>
    </row>
    <row r="29" spans="1:14" ht="14.5" x14ac:dyDescent="0.35">
      <c r="A29" s="655">
        <v>4</v>
      </c>
      <c r="B29" s="943" t="s">
        <v>15</v>
      </c>
      <c r="C29" s="928"/>
      <c r="D29" s="928"/>
      <c r="E29" s="928"/>
      <c r="F29" s="928"/>
      <c r="G29" s="928"/>
      <c r="H29" s="928"/>
      <c r="I29" s="928"/>
      <c r="J29" s="928"/>
      <c r="K29" s="928"/>
      <c r="L29" s="928"/>
      <c r="M29" s="928"/>
      <c r="N29" s="928"/>
    </row>
    <row r="30" spans="1:14" x14ac:dyDescent="0.35">
      <c r="A30" s="655"/>
      <c r="B30" s="508" t="s">
        <v>960</v>
      </c>
      <c r="C30" s="588">
        <v>54449.789473684206</v>
      </c>
      <c r="D30" s="588">
        <v>59426.57894736842</v>
      </c>
      <c r="E30" s="588">
        <v>113876.36842105263</v>
      </c>
      <c r="F30" s="588">
        <v>8073.7894736842118</v>
      </c>
      <c r="G30" s="588">
        <v>9206.3684210526317</v>
      </c>
      <c r="H30" s="588">
        <v>17280.157894736843</v>
      </c>
      <c r="I30" s="588">
        <v>831.42105263157907</v>
      </c>
      <c r="J30" s="588">
        <v>520.52631578947364</v>
      </c>
      <c r="K30" s="588">
        <v>1351.9473684210527</v>
      </c>
      <c r="L30" s="588">
        <v>13435.57894736842</v>
      </c>
      <c r="M30" s="588">
        <v>13058</v>
      </c>
      <c r="N30" s="588">
        <v>26493.57894736842</v>
      </c>
    </row>
    <row r="31" spans="1:14" x14ac:dyDescent="0.35">
      <c r="A31" s="655"/>
      <c r="B31" s="511" t="s">
        <v>959</v>
      </c>
      <c r="C31" s="589">
        <v>58008.678571428572</v>
      </c>
      <c r="D31" s="589">
        <v>58374.035714285717</v>
      </c>
      <c r="E31" s="589">
        <v>116382.7142857143</v>
      </c>
      <c r="F31" s="589">
        <v>7907.5</v>
      </c>
      <c r="G31" s="589">
        <v>9491.8571428571431</v>
      </c>
      <c r="H31" s="589">
        <v>17399.357142857141</v>
      </c>
      <c r="I31" s="589">
        <v>800.78571428571433</v>
      </c>
      <c r="J31" s="589">
        <v>382.96428571428572</v>
      </c>
      <c r="K31" s="589">
        <v>1183.75</v>
      </c>
      <c r="L31" s="589">
        <v>10610.28571428571</v>
      </c>
      <c r="M31" s="589">
        <v>9937.0357142857138</v>
      </c>
      <c r="N31" s="589">
        <v>20547.321428571431</v>
      </c>
    </row>
    <row r="32" spans="1:14" x14ac:dyDescent="0.35">
      <c r="A32" s="655"/>
      <c r="B32" s="509" t="s">
        <v>958</v>
      </c>
      <c r="C32" s="589">
        <v>44047</v>
      </c>
      <c r="D32" s="589">
        <v>40761</v>
      </c>
      <c r="E32" s="589">
        <v>84808</v>
      </c>
      <c r="F32" s="589">
        <v>5841</v>
      </c>
      <c r="G32" s="589">
        <v>5894</v>
      </c>
      <c r="H32" s="589">
        <v>11735</v>
      </c>
      <c r="I32" s="589">
        <v>429</v>
      </c>
      <c r="J32" s="589">
        <v>232</v>
      </c>
      <c r="K32" s="589">
        <v>661</v>
      </c>
      <c r="L32" s="589">
        <v>12932</v>
      </c>
      <c r="M32" s="589">
        <v>14272</v>
      </c>
      <c r="N32" s="589">
        <v>27204</v>
      </c>
    </row>
    <row r="33" spans="1:14" x14ac:dyDescent="0.35">
      <c r="A33" s="655"/>
      <c r="B33" s="509" t="s">
        <v>957</v>
      </c>
      <c r="C33" s="589">
        <v>44845</v>
      </c>
      <c r="D33" s="589">
        <v>43084</v>
      </c>
      <c r="E33" s="589">
        <v>87929</v>
      </c>
      <c r="F33" s="589">
        <v>6791</v>
      </c>
      <c r="G33" s="589">
        <v>6571</v>
      </c>
      <c r="H33" s="589">
        <v>13362</v>
      </c>
      <c r="I33" s="589">
        <v>644</v>
      </c>
      <c r="J33" s="589">
        <v>316</v>
      </c>
      <c r="K33" s="589">
        <v>960</v>
      </c>
      <c r="L33" s="590">
        <v>8496</v>
      </c>
      <c r="M33" s="590">
        <v>8916</v>
      </c>
      <c r="N33" s="590">
        <v>17412</v>
      </c>
    </row>
    <row r="34" spans="1:14" x14ac:dyDescent="0.35">
      <c r="A34" s="655"/>
      <c r="B34" s="509" t="s">
        <v>956</v>
      </c>
      <c r="C34" s="590">
        <v>47608</v>
      </c>
      <c r="D34" s="590">
        <v>45745</v>
      </c>
      <c r="E34" s="590">
        <v>93353</v>
      </c>
      <c r="F34" s="590">
        <v>6796</v>
      </c>
      <c r="G34" s="590">
        <v>7109</v>
      </c>
      <c r="H34" s="590">
        <v>13905</v>
      </c>
      <c r="I34" s="590">
        <v>511</v>
      </c>
      <c r="J34" s="590">
        <v>301</v>
      </c>
      <c r="K34" s="590">
        <v>812</v>
      </c>
      <c r="L34" s="589"/>
      <c r="M34" s="589"/>
      <c r="N34" s="589"/>
    </row>
    <row r="35" spans="1:14" ht="14.5" x14ac:dyDescent="0.35">
      <c r="A35" s="655">
        <v>5</v>
      </c>
      <c r="B35" s="943" t="s">
        <v>16</v>
      </c>
      <c r="C35" s="928"/>
      <c r="D35" s="928"/>
      <c r="E35" s="928"/>
      <c r="F35" s="928"/>
      <c r="G35" s="928"/>
      <c r="H35" s="928"/>
      <c r="I35" s="928"/>
      <c r="J35" s="928"/>
      <c r="K35" s="928"/>
      <c r="L35" s="928"/>
      <c r="M35" s="928"/>
      <c r="N35" s="928"/>
    </row>
    <row r="36" spans="1:14" x14ac:dyDescent="0.35">
      <c r="A36" s="655"/>
      <c r="B36" s="508" t="s">
        <v>960</v>
      </c>
      <c r="C36" s="588">
        <v>58323.944444444453</v>
      </c>
      <c r="D36" s="588">
        <v>74943.111111111109</v>
      </c>
      <c r="E36" s="588">
        <v>133267.05555555556</v>
      </c>
      <c r="F36" s="588">
        <v>12163</v>
      </c>
      <c r="G36" s="588">
        <v>11323.027777777777</v>
      </c>
      <c r="H36" s="588">
        <v>23486.027777777777</v>
      </c>
      <c r="I36" s="588">
        <v>2761.0555555555552</v>
      </c>
      <c r="J36" s="588">
        <v>1705.0277777777778</v>
      </c>
      <c r="K36" s="588">
        <v>4466.083333333333</v>
      </c>
      <c r="L36" s="588">
        <v>35155.583333333336</v>
      </c>
      <c r="M36" s="588">
        <v>31935.944444444445</v>
      </c>
      <c r="N36" s="588">
        <v>67091.527777777781</v>
      </c>
    </row>
    <row r="37" spans="1:14" x14ac:dyDescent="0.35">
      <c r="A37" s="655"/>
      <c r="B37" s="511" t="s">
        <v>959</v>
      </c>
      <c r="C37" s="589">
        <v>78660.574828074823</v>
      </c>
      <c r="D37" s="589">
        <v>84183.56277056277</v>
      </c>
      <c r="E37" s="589">
        <v>162844.13759863761</v>
      </c>
      <c r="F37" s="589">
        <v>3650.4320987654319</v>
      </c>
      <c r="G37" s="589">
        <v>3468.1251251251251</v>
      </c>
      <c r="H37" s="589">
        <v>7118.557223890557</v>
      </c>
      <c r="I37" s="589">
        <v>2872.665383998718</v>
      </c>
      <c r="J37" s="589">
        <v>1511.90367965368</v>
      </c>
      <c r="K37" s="589">
        <v>4384.5690636523968</v>
      </c>
      <c r="L37" s="589">
        <v>30615.414960414961</v>
      </c>
      <c r="M37" s="589">
        <v>25277.40473590474</v>
      </c>
      <c r="N37" s="589">
        <v>55892.819696319697</v>
      </c>
    </row>
    <row r="38" spans="1:14" x14ac:dyDescent="0.35">
      <c r="A38" s="655"/>
      <c r="B38" s="509" t="s">
        <v>958</v>
      </c>
      <c r="C38" s="589">
        <v>93896</v>
      </c>
      <c r="D38" s="589">
        <v>78785</v>
      </c>
      <c r="E38" s="589">
        <v>172681</v>
      </c>
      <c r="F38" s="589">
        <v>3879</v>
      </c>
      <c r="G38" s="589">
        <v>4058</v>
      </c>
      <c r="H38" s="589">
        <v>7937</v>
      </c>
      <c r="I38" s="589">
        <v>2732</v>
      </c>
      <c r="J38" s="589">
        <v>1289</v>
      </c>
      <c r="K38" s="589">
        <v>4021</v>
      </c>
      <c r="L38" s="589">
        <v>24859</v>
      </c>
      <c r="M38" s="589">
        <v>18422</v>
      </c>
      <c r="N38" s="589">
        <v>43281</v>
      </c>
    </row>
    <row r="39" spans="1:14" x14ac:dyDescent="0.35">
      <c r="A39" s="655"/>
      <c r="B39" s="509" t="s">
        <v>957</v>
      </c>
      <c r="C39" s="589">
        <v>78713</v>
      </c>
      <c r="D39" s="589">
        <v>75028</v>
      </c>
      <c r="E39" s="589">
        <v>153741</v>
      </c>
      <c r="F39" s="589">
        <v>1222</v>
      </c>
      <c r="G39" s="589">
        <v>1658</v>
      </c>
      <c r="H39" s="589">
        <v>2880</v>
      </c>
      <c r="I39" s="589">
        <v>3410</v>
      </c>
      <c r="J39" s="589">
        <v>2236</v>
      </c>
      <c r="K39" s="589">
        <v>5646</v>
      </c>
      <c r="L39" s="591">
        <v>16533</v>
      </c>
      <c r="M39" s="591">
        <v>12612</v>
      </c>
      <c r="N39" s="591">
        <v>29145</v>
      </c>
    </row>
    <row r="40" spans="1:14" x14ac:dyDescent="0.35">
      <c r="A40" s="655"/>
      <c r="B40" s="509" t="s">
        <v>956</v>
      </c>
      <c r="C40" s="590">
        <v>83382</v>
      </c>
      <c r="D40" s="590">
        <v>80567</v>
      </c>
      <c r="E40" s="590">
        <v>163949</v>
      </c>
      <c r="F40" s="590">
        <v>1111</v>
      </c>
      <c r="G40" s="590">
        <v>840</v>
      </c>
      <c r="H40" s="590">
        <v>1951</v>
      </c>
      <c r="I40" s="590">
        <v>1879</v>
      </c>
      <c r="J40" s="590">
        <v>737</v>
      </c>
      <c r="K40" s="590">
        <v>2616</v>
      </c>
      <c r="L40" s="589"/>
      <c r="M40" s="589"/>
      <c r="N40" s="589"/>
    </row>
    <row r="41" spans="1:14" ht="14.5" x14ac:dyDescent="0.35">
      <c r="A41" s="655">
        <v>6</v>
      </c>
      <c r="B41" s="943" t="s">
        <v>17</v>
      </c>
      <c r="C41" s="928"/>
      <c r="D41" s="928"/>
      <c r="E41" s="928"/>
      <c r="F41" s="928"/>
      <c r="G41" s="928"/>
      <c r="H41" s="928"/>
      <c r="I41" s="928"/>
      <c r="J41" s="928"/>
      <c r="K41" s="928"/>
      <c r="L41" s="928"/>
      <c r="M41" s="928"/>
      <c r="N41" s="928"/>
    </row>
    <row r="42" spans="1:14" x14ac:dyDescent="0.35">
      <c r="A42" s="655"/>
      <c r="B42" s="508" t="s">
        <v>960</v>
      </c>
      <c r="C42" s="588">
        <v>307</v>
      </c>
      <c r="D42" s="588">
        <v>411</v>
      </c>
      <c r="E42" s="588">
        <v>718</v>
      </c>
      <c r="F42" s="588">
        <v>1605</v>
      </c>
      <c r="G42" s="588">
        <v>2360</v>
      </c>
      <c r="H42" s="588">
        <v>3965</v>
      </c>
      <c r="I42" s="588">
        <v>258</v>
      </c>
      <c r="J42" s="588">
        <v>147</v>
      </c>
      <c r="K42" s="588">
        <v>405</v>
      </c>
      <c r="L42" s="588">
        <v>1290</v>
      </c>
      <c r="M42" s="588">
        <v>775</v>
      </c>
      <c r="N42" s="588">
        <v>2065</v>
      </c>
    </row>
    <row r="43" spans="1:14" x14ac:dyDescent="0.35">
      <c r="A43" s="655"/>
      <c r="B43" s="511" t="s">
        <v>959</v>
      </c>
      <c r="C43" s="589">
        <v>353</v>
      </c>
      <c r="D43" s="589">
        <v>381</v>
      </c>
      <c r="E43" s="589">
        <v>734</v>
      </c>
      <c r="F43" s="589">
        <v>2068</v>
      </c>
      <c r="G43" s="589">
        <v>5008</v>
      </c>
      <c r="H43" s="589">
        <v>7076</v>
      </c>
      <c r="I43" s="589">
        <v>331</v>
      </c>
      <c r="J43" s="589">
        <v>187</v>
      </c>
      <c r="K43" s="589">
        <v>518</v>
      </c>
      <c r="L43" s="589">
        <v>1223</v>
      </c>
      <c r="M43" s="589">
        <v>774</v>
      </c>
      <c r="N43" s="589">
        <v>1997</v>
      </c>
    </row>
    <row r="44" spans="1:14" x14ac:dyDescent="0.35">
      <c r="A44" s="655"/>
      <c r="B44" s="509" t="s">
        <v>958</v>
      </c>
      <c r="C44" s="589">
        <v>321</v>
      </c>
      <c r="D44" s="589">
        <v>371</v>
      </c>
      <c r="E44" s="589">
        <v>692</v>
      </c>
      <c r="F44" s="589">
        <v>1726</v>
      </c>
      <c r="G44" s="589">
        <v>2842</v>
      </c>
      <c r="H44" s="589">
        <v>4568</v>
      </c>
      <c r="I44" s="589">
        <v>287</v>
      </c>
      <c r="J44" s="589">
        <v>151</v>
      </c>
      <c r="K44" s="589">
        <v>438</v>
      </c>
      <c r="L44" s="589">
        <v>1178</v>
      </c>
      <c r="M44" s="589">
        <v>1737</v>
      </c>
      <c r="N44" s="589">
        <v>2915</v>
      </c>
    </row>
    <row r="45" spans="1:14" x14ac:dyDescent="0.35">
      <c r="A45" s="655"/>
      <c r="B45" s="509" t="s">
        <v>957</v>
      </c>
      <c r="C45" s="589">
        <v>327</v>
      </c>
      <c r="D45" s="589">
        <v>376</v>
      </c>
      <c r="E45" s="589">
        <v>703</v>
      </c>
      <c r="F45" s="589">
        <v>2072</v>
      </c>
      <c r="G45" s="589">
        <v>3190</v>
      </c>
      <c r="H45" s="589">
        <v>5262</v>
      </c>
      <c r="I45" s="589">
        <v>231</v>
      </c>
      <c r="J45" s="589">
        <v>86</v>
      </c>
      <c r="K45" s="589">
        <v>317</v>
      </c>
      <c r="L45" s="591">
        <v>832</v>
      </c>
      <c r="M45" s="591">
        <v>631</v>
      </c>
      <c r="N45" s="591">
        <v>1463</v>
      </c>
    </row>
    <row r="46" spans="1:14" x14ac:dyDescent="0.35">
      <c r="A46" s="655"/>
      <c r="B46" s="509" t="s">
        <v>956</v>
      </c>
      <c r="C46" s="590">
        <v>414</v>
      </c>
      <c r="D46" s="590">
        <v>273</v>
      </c>
      <c r="E46" s="590">
        <v>687</v>
      </c>
      <c r="F46" s="590">
        <v>2140</v>
      </c>
      <c r="G46" s="590">
        <v>2582</v>
      </c>
      <c r="H46" s="590">
        <v>4722</v>
      </c>
      <c r="I46" s="590">
        <v>245</v>
      </c>
      <c r="J46" s="590">
        <v>86</v>
      </c>
      <c r="K46" s="590">
        <v>331</v>
      </c>
      <c r="L46" s="589"/>
      <c r="M46" s="589"/>
      <c r="N46" s="589"/>
    </row>
    <row r="47" spans="1:14" ht="14.5" x14ac:dyDescent="0.35">
      <c r="A47" s="655">
        <v>7</v>
      </c>
      <c r="B47" s="943" t="s">
        <v>18</v>
      </c>
      <c r="C47" s="928"/>
      <c r="D47" s="928"/>
      <c r="E47" s="928"/>
      <c r="F47" s="928"/>
      <c r="G47" s="928"/>
      <c r="H47" s="928"/>
      <c r="I47" s="928"/>
      <c r="J47" s="928"/>
      <c r="K47" s="928"/>
      <c r="L47" s="928"/>
      <c r="M47" s="928"/>
      <c r="N47" s="928"/>
    </row>
    <row r="48" spans="1:14" x14ac:dyDescent="0.35">
      <c r="A48" s="655"/>
      <c r="B48" s="508" t="s">
        <v>960</v>
      </c>
      <c r="C48" s="588">
        <v>2306.8430232558139</v>
      </c>
      <c r="D48" s="588">
        <v>2382.4302325581393</v>
      </c>
      <c r="E48" s="588">
        <v>4689.2732558139533</v>
      </c>
      <c r="F48" s="588">
        <v>3551.1744186046508</v>
      </c>
      <c r="G48" s="588">
        <v>4208.9069767441861</v>
      </c>
      <c r="H48" s="588">
        <v>7760.0813953488368</v>
      </c>
      <c r="I48" s="588">
        <v>535.2790697674418</v>
      </c>
      <c r="J48" s="588">
        <v>283.25581395348837</v>
      </c>
      <c r="K48" s="588">
        <v>818.53488372093022</v>
      </c>
      <c r="L48" s="588">
        <v>1818.2441860465117</v>
      </c>
      <c r="M48" s="588">
        <v>1866.1627906976744</v>
      </c>
      <c r="N48" s="588">
        <v>3684.4069767441861</v>
      </c>
    </row>
    <row r="49" spans="1:14" x14ac:dyDescent="0.35">
      <c r="A49" s="655"/>
      <c r="B49" s="511" t="s">
        <v>959</v>
      </c>
      <c r="C49" s="589">
        <v>2468.831187339179</v>
      </c>
      <c r="D49" s="589">
        <v>2976.0425652145441</v>
      </c>
      <c r="E49" s="589">
        <v>5444.8737525537226</v>
      </c>
      <c r="F49" s="589">
        <v>2766.888110677527</v>
      </c>
      <c r="G49" s="589">
        <v>4254.4427061956712</v>
      </c>
      <c r="H49" s="589">
        <v>7021.3308168731983</v>
      </c>
      <c r="I49" s="589">
        <v>608.20861021010489</v>
      </c>
      <c r="J49" s="589">
        <v>299.4204757312761</v>
      </c>
      <c r="K49" s="589">
        <v>907.62908594138105</v>
      </c>
      <c r="L49" s="589">
        <v>1439.6175462435349</v>
      </c>
      <c r="M49" s="589">
        <v>1462.943505009541</v>
      </c>
      <c r="N49" s="589">
        <v>2902.5610512530761</v>
      </c>
    </row>
    <row r="50" spans="1:14" x14ac:dyDescent="0.35">
      <c r="A50" s="655"/>
      <c r="B50" s="509" t="s">
        <v>958</v>
      </c>
      <c r="C50" s="589">
        <v>2348</v>
      </c>
      <c r="D50" s="589">
        <v>2765</v>
      </c>
      <c r="E50" s="589">
        <v>5113</v>
      </c>
      <c r="F50" s="589">
        <v>2911</v>
      </c>
      <c r="G50" s="589">
        <v>4418</v>
      </c>
      <c r="H50" s="589">
        <v>7329</v>
      </c>
      <c r="I50" s="589">
        <v>799</v>
      </c>
      <c r="J50" s="589">
        <v>411</v>
      </c>
      <c r="K50" s="589">
        <v>1210</v>
      </c>
      <c r="L50" s="589">
        <v>2144</v>
      </c>
      <c r="M50" s="589">
        <v>2520</v>
      </c>
      <c r="N50" s="589">
        <v>4664</v>
      </c>
    </row>
    <row r="51" spans="1:14" x14ac:dyDescent="0.35">
      <c r="A51" s="655"/>
      <c r="B51" s="509" t="s">
        <v>957</v>
      </c>
      <c r="C51" s="589">
        <v>2017</v>
      </c>
      <c r="D51" s="589">
        <v>2676</v>
      </c>
      <c r="E51" s="589">
        <v>4693</v>
      </c>
      <c r="F51" s="589">
        <v>1885</v>
      </c>
      <c r="G51" s="589">
        <v>3038</v>
      </c>
      <c r="H51" s="589">
        <v>4923</v>
      </c>
      <c r="I51" s="589">
        <v>344</v>
      </c>
      <c r="J51" s="589">
        <v>132</v>
      </c>
      <c r="K51" s="589">
        <v>476</v>
      </c>
      <c r="L51" s="591">
        <v>1398</v>
      </c>
      <c r="M51" s="591">
        <v>1143</v>
      </c>
      <c r="N51" s="591">
        <v>2541</v>
      </c>
    </row>
    <row r="52" spans="1:14" x14ac:dyDescent="0.35">
      <c r="A52" s="655"/>
      <c r="B52" s="509" t="s">
        <v>956</v>
      </c>
      <c r="C52" s="590">
        <v>2427</v>
      </c>
      <c r="D52" s="590">
        <v>2957</v>
      </c>
      <c r="E52" s="590">
        <v>5384</v>
      </c>
      <c r="F52" s="590">
        <v>2134</v>
      </c>
      <c r="G52" s="590">
        <v>3465</v>
      </c>
      <c r="H52" s="590">
        <v>5599</v>
      </c>
      <c r="I52" s="590">
        <v>353</v>
      </c>
      <c r="J52" s="590">
        <v>171</v>
      </c>
      <c r="K52" s="590">
        <v>524</v>
      </c>
      <c r="L52" s="589"/>
      <c r="M52" s="589"/>
      <c r="N52" s="589"/>
    </row>
    <row r="53" spans="1:14" ht="14.5" x14ac:dyDescent="0.35">
      <c r="A53" s="655">
        <v>8</v>
      </c>
      <c r="B53" s="943" t="s">
        <v>19</v>
      </c>
      <c r="C53" s="928"/>
      <c r="D53" s="928"/>
      <c r="E53" s="928"/>
      <c r="F53" s="928"/>
      <c r="G53" s="928"/>
      <c r="H53" s="928"/>
      <c r="I53" s="928"/>
      <c r="J53" s="928"/>
      <c r="K53" s="928"/>
      <c r="L53" s="928"/>
      <c r="M53" s="928"/>
      <c r="N53" s="928"/>
    </row>
    <row r="54" spans="1:14" x14ac:dyDescent="0.35">
      <c r="A54" s="655"/>
      <c r="B54" s="508" t="s">
        <v>960</v>
      </c>
      <c r="C54" s="588">
        <v>15515.476081871344</v>
      </c>
      <c r="D54" s="588">
        <v>14240.259824561403</v>
      </c>
      <c r="E54" s="588">
        <v>29755.735906432747</v>
      </c>
      <c r="F54" s="588">
        <v>5235.1664912280694</v>
      </c>
      <c r="G54" s="588">
        <v>6414.3547953216375</v>
      </c>
      <c r="H54" s="588">
        <v>11649.521286549707</v>
      </c>
      <c r="I54" s="588">
        <v>3596.810994152047</v>
      </c>
      <c r="J54" s="588">
        <v>2001.7654970760234</v>
      </c>
      <c r="K54" s="588">
        <v>5598.5764912280702</v>
      </c>
      <c r="L54" s="588">
        <v>24700.773859649125</v>
      </c>
      <c r="M54" s="588">
        <v>20051.310438596491</v>
      </c>
      <c r="N54" s="588">
        <v>44752.084298245616</v>
      </c>
    </row>
    <row r="55" spans="1:14" x14ac:dyDescent="0.35">
      <c r="A55" s="655"/>
      <c r="B55" s="511" t="s">
        <v>959</v>
      </c>
      <c r="C55" s="589">
        <v>14832.243993135011</v>
      </c>
      <c r="D55" s="589">
        <v>11620.40945207221</v>
      </c>
      <c r="E55" s="589">
        <v>26452.653445207219</v>
      </c>
      <c r="F55" s="589">
        <v>4824.544940249174</v>
      </c>
      <c r="G55" s="589">
        <v>5033.8141050088989</v>
      </c>
      <c r="H55" s="589">
        <v>9858.359045258072</v>
      </c>
      <c r="I55" s="589">
        <v>3806.1019260106791</v>
      </c>
      <c r="J55" s="589">
        <v>2105.012331553522</v>
      </c>
      <c r="K55" s="589">
        <v>5911.1142575642007</v>
      </c>
      <c r="L55" s="589">
        <v>23891.34808034579</v>
      </c>
      <c r="M55" s="589">
        <v>16336.650680142389</v>
      </c>
      <c r="N55" s="589">
        <v>40227.998760488183</v>
      </c>
    </row>
    <row r="56" spans="1:14" x14ac:dyDescent="0.35">
      <c r="A56" s="655"/>
      <c r="B56" s="509" t="s">
        <v>958</v>
      </c>
      <c r="C56" s="589">
        <v>15489.4</v>
      </c>
      <c r="D56" s="589">
        <v>12793.4</v>
      </c>
      <c r="E56" s="589">
        <v>28282.799999999999</v>
      </c>
      <c r="F56" s="589">
        <v>5033.3999999999996</v>
      </c>
      <c r="G56" s="589">
        <v>5155</v>
      </c>
      <c r="H56" s="589">
        <v>10188.5</v>
      </c>
      <c r="I56" s="589">
        <v>4073.1</v>
      </c>
      <c r="J56" s="589">
        <v>2327.6</v>
      </c>
      <c r="K56" s="589">
        <v>6400.7</v>
      </c>
      <c r="L56" s="589">
        <v>19811</v>
      </c>
      <c r="M56" s="589">
        <v>13540.1</v>
      </c>
      <c r="N56" s="589">
        <v>33351.1</v>
      </c>
    </row>
    <row r="57" spans="1:14" x14ac:dyDescent="0.35">
      <c r="A57" s="655"/>
      <c r="B57" s="509" t="s">
        <v>957</v>
      </c>
      <c r="C57" s="590">
        <v>11900</v>
      </c>
      <c r="D57" s="590">
        <v>9304</v>
      </c>
      <c r="E57" s="590">
        <v>21204</v>
      </c>
      <c r="F57" s="590">
        <v>4865</v>
      </c>
      <c r="G57" s="590">
        <v>6211</v>
      </c>
      <c r="H57" s="590">
        <v>11076</v>
      </c>
      <c r="I57" s="590">
        <v>2984</v>
      </c>
      <c r="J57" s="590">
        <v>1442</v>
      </c>
      <c r="K57" s="590">
        <v>4426</v>
      </c>
      <c r="L57" s="591">
        <v>14261</v>
      </c>
      <c r="M57" s="591">
        <v>8932</v>
      </c>
      <c r="N57" s="591">
        <v>23193</v>
      </c>
    </row>
    <row r="58" spans="1:14" x14ac:dyDescent="0.35">
      <c r="A58" s="655"/>
      <c r="B58" s="509" t="s">
        <v>956</v>
      </c>
      <c r="C58" s="590">
        <v>16168</v>
      </c>
      <c r="D58" s="590">
        <v>10307</v>
      </c>
      <c r="E58" s="590">
        <v>26475</v>
      </c>
      <c r="F58" s="590">
        <v>6191</v>
      </c>
      <c r="G58" s="590">
        <v>7797</v>
      </c>
      <c r="H58" s="590">
        <v>13988</v>
      </c>
      <c r="I58" s="590">
        <v>4850</v>
      </c>
      <c r="J58" s="590">
        <v>3412</v>
      </c>
      <c r="K58" s="590">
        <v>8262</v>
      </c>
      <c r="L58" s="589"/>
      <c r="M58" s="589"/>
      <c r="N58" s="589"/>
    </row>
    <row r="59" spans="1:14" ht="14.5" x14ac:dyDescent="0.35">
      <c r="A59" s="655">
        <v>9</v>
      </c>
      <c r="B59" s="943" t="s">
        <v>20</v>
      </c>
      <c r="C59" s="928"/>
      <c r="D59" s="928"/>
      <c r="E59" s="928"/>
      <c r="F59" s="928"/>
      <c r="G59" s="928"/>
      <c r="H59" s="928"/>
      <c r="I59" s="928"/>
      <c r="J59" s="928"/>
      <c r="K59" s="928"/>
      <c r="L59" s="928"/>
      <c r="M59" s="928"/>
      <c r="N59" s="928"/>
    </row>
    <row r="60" spans="1:14" x14ac:dyDescent="0.35">
      <c r="A60" s="655"/>
      <c r="B60" s="508" t="s">
        <v>960</v>
      </c>
      <c r="C60" s="588">
        <v>1563</v>
      </c>
      <c r="D60" s="588">
        <v>1738</v>
      </c>
      <c r="E60" s="588">
        <v>3301</v>
      </c>
      <c r="F60" s="588">
        <v>3984</v>
      </c>
      <c r="G60" s="588">
        <v>5832</v>
      </c>
      <c r="H60" s="588">
        <v>9816</v>
      </c>
      <c r="I60" s="588">
        <v>41</v>
      </c>
      <c r="J60" s="588">
        <v>19</v>
      </c>
      <c r="K60" s="588">
        <v>60</v>
      </c>
      <c r="L60" s="588">
        <v>649</v>
      </c>
      <c r="M60" s="588">
        <v>622</v>
      </c>
      <c r="N60" s="588">
        <v>1271</v>
      </c>
    </row>
    <row r="61" spans="1:14" x14ac:dyDescent="0.35">
      <c r="A61" s="655"/>
      <c r="B61" s="511" t="s">
        <v>959</v>
      </c>
      <c r="C61" s="589">
        <v>1615</v>
      </c>
      <c r="D61" s="589">
        <v>1799</v>
      </c>
      <c r="E61" s="589">
        <v>3414</v>
      </c>
      <c r="F61" s="589">
        <v>4235</v>
      </c>
      <c r="G61" s="589">
        <v>5867</v>
      </c>
      <c r="H61" s="589">
        <v>10102</v>
      </c>
      <c r="I61" s="589">
        <v>50</v>
      </c>
      <c r="J61" s="589">
        <v>17</v>
      </c>
      <c r="K61" s="589">
        <v>67</v>
      </c>
      <c r="L61" s="589">
        <v>963</v>
      </c>
      <c r="M61" s="589">
        <v>1147</v>
      </c>
      <c r="N61" s="589">
        <v>2110</v>
      </c>
    </row>
    <row r="62" spans="1:14" x14ac:dyDescent="0.35">
      <c r="A62" s="655"/>
      <c r="B62" s="509" t="s">
        <v>958</v>
      </c>
      <c r="C62" s="589">
        <v>1531</v>
      </c>
      <c r="D62" s="589">
        <v>1553</v>
      </c>
      <c r="E62" s="589">
        <v>3084</v>
      </c>
      <c r="F62" s="589">
        <v>4446</v>
      </c>
      <c r="G62" s="589">
        <v>5734</v>
      </c>
      <c r="H62" s="589">
        <v>10180</v>
      </c>
      <c r="I62" s="589">
        <v>460</v>
      </c>
      <c r="J62" s="589">
        <v>144</v>
      </c>
      <c r="K62" s="589">
        <v>604</v>
      </c>
      <c r="L62" s="589">
        <v>475</v>
      </c>
      <c r="M62" s="589">
        <v>405</v>
      </c>
      <c r="N62" s="589">
        <v>880</v>
      </c>
    </row>
    <row r="63" spans="1:14" x14ac:dyDescent="0.35">
      <c r="A63" s="655"/>
      <c r="B63" s="509" t="s">
        <v>957</v>
      </c>
      <c r="C63" s="590">
        <v>1378</v>
      </c>
      <c r="D63" s="590">
        <v>1520</v>
      </c>
      <c r="E63" s="590">
        <v>2898</v>
      </c>
      <c r="F63" s="590">
        <v>3630</v>
      </c>
      <c r="G63" s="590">
        <v>5449</v>
      </c>
      <c r="H63" s="590">
        <v>9079</v>
      </c>
      <c r="I63" s="590">
        <v>34</v>
      </c>
      <c r="J63" s="590">
        <v>13</v>
      </c>
      <c r="K63" s="590">
        <v>47</v>
      </c>
      <c r="L63" s="591">
        <v>197</v>
      </c>
      <c r="M63" s="591">
        <v>98</v>
      </c>
      <c r="N63" s="591">
        <v>295</v>
      </c>
    </row>
    <row r="64" spans="1:14" x14ac:dyDescent="0.35">
      <c r="A64" s="655"/>
      <c r="B64" s="509" t="s">
        <v>956</v>
      </c>
      <c r="C64" s="590">
        <v>1291</v>
      </c>
      <c r="D64" s="590">
        <v>1443</v>
      </c>
      <c r="E64" s="590">
        <v>2734</v>
      </c>
      <c r="F64" s="590">
        <v>3412</v>
      </c>
      <c r="G64" s="590">
        <v>5446</v>
      </c>
      <c r="H64" s="590">
        <v>8858</v>
      </c>
      <c r="I64" s="590">
        <v>33</v>
      </c>
      <c r="J64" s="590">
        <v>26</v>
      </c>
      <c r="K64" s="590">
        <v>59</v>
      </c>
      <c r="L64" s="589"/>
      <c r="M64" s="589"/>
      <c r="N64" s="589"/>
    </row>
    <row r="65" spans="1:14" ht="14.5" x14ac:dyDescent="0.35">
      <c r="A65" s="655">
        <v>10</v>
      </c>
      <c r="B65" s="943" t="s">
        <v>21</v>
      </c>
      <c r="C65" s="928"/>
      <c r="D65" s="928"/>
      <c r="E65" s="928"/>
      <c r="F65" s="928"/>
      <c r="G65" s="928"/>
      <c r="H65" s="928"/>
      <c r="I65" s="928"/>
      <c r="J65" s="928"/>
      <c r="K65" s="928"/>
      <c r="L65" s="928"/>
      <c r="M65" s="928"/>
      <c r="N65" s="928"/>
    </row>
    <row r="66" spans="1:14" x14ac:dyDescent="0.35">
      <c r="A66" s="655"/>
      <c r="B66" s="508" t="s">
        <v>960</v>
      </c>
      <c r="C66" s="588">
        <v>21981</v>
      </c>
      <c r="D66" s="588">
        <v>20243</v>
      </c>
      <c r="E66" s="588">
        <v>42224</v>
      </c>
      <c r="F66" s="588">
        <v>9045</v>
      </c>
      <c r="G66" s="588">
        <v>9178</v>
      </c>
      <c r="H66" s="588">
        <v>18223</v>
      </c>
      <c r="I66" s="588">
        <v>4097</v>
      </c>
      <c r="J66" s="588">
        <v>2970</v>
      </c>
      <c r="K66" s="588">
        <v>7067</v>
      </c>
      <c r="L66" s="588">
        <v>47694</v>
      </c>
      <c r="M66" s="588">
        <v>37403</v>
      </c>
      <c r="N66" s="588">
        <v>85097</v>
      </c>
    </row>
    <row r="67" spans="1:14" x14ac:dyDescent="0.35">
      <c r="A67" s="655"/>
      <c r="B67" s="511" t="s">
        <v>959</v>
      </c>
      <c r="C67" s="589">
        <v>22632</v>
      </c>
      <c r="D67" s="589">
        <v>20427</v>
      </c>
      <c r="E67" s="589">
        <v>43059</v>
      </c>
      <c r="F67" s="589">
        <v>8297</v>
      </c>
      <c r="G67" s="589">
        <v>8312</v>
      </c>
      <c r="H67" s="589">
        <v>16609</v>
      </c>
      <c r="I67" s="589">
        <v>1614</v>
      </c>
      <c r="J67" s="589">
        <v>977</v>
      </c>
      <c r="K67" s="589">
        <v>2591</v>
      </c>
      <c r="L67" s="589">
        <v>42819</v>
      </c>
      <c r="M67" s="589">
        <v>32124</v>
      </c>
      <c r="N67" s="589">
        <v>74943</v>
      </c>
    </row>
    <row r="68" spans="1:14" x14ac:dyDescent="0.35">
      <c r="A68" s="655"/>
      <c r="B68" s="509" t="s">
        <v>958</v>
      </c>
      <c r="C68" s="589">
        <v>19387</v>
      </c>
      <c r="D68" s="589">
        <v>16606</v>
      </c>
      <c r="E68" s="589">
        <v>35993</v>
      </c>
      <c r="F68" s="589">
        <v>6945</v>
      </c>
      <c r="G68" s="589">
        <v>7190</v>
      </c>
      <c r="H68" s="589">
        <v>14135</v>
      </c>
      <c r="I68" s="589">
        <v>2885</v>
      </c>
      <c r="J68" s="589">
        <v>2156</v>
      </c>
      <c r="K68" s="589">
        <v>5041</v>
      </c>
      <c r="L68" s="589">
        <v>35817</v>
      </c>
      <c r="M68" s="589">
        <v>24763</v>
      </c>
      <c r="N68" s="589">
        <v>60580</v>
      </c>
    </row>
    <row r="69" spans="1:14" x14ac:dyDescent="0.35">
      <c r="A69" s="655"/>
      <c r="B69" s="509" t="s">
        <v>957</v>
      </c>
      <c r="C69" s="590">
        <v>18170</v>
      </c>
      <c r="D69" s="590">
        <v>14935</v>
      </c>
      <c r="E69" s="590">
        <v>33105</v>
      </c>
      <c r="F69" s="590">
        <v>5561</v>
      </c>
      <c r="G69" s="590">
        <v>5709</v>
      </c>
      <c r="H69" s="590">
        <v>11270</v>
      </c>
      <c r="I69" s="590">
        <v>1143</v>
      </c>
      <c r="J69" s="590">
        <v>628</v>
      </c>
      <c r="K69" s="590">
        <v>1771</v>
      </c>
      <c r="L69" s="589">
        <v>23494</v>
      </c>
      <c r="M69" s="589">
        <v>16279</v>
      </c>
      <c r="N69" s="589">
        <v>39773</v>
      </c>
    </row>
    <row r="70" spans="1:14" x14ac:dyDescent="0.35">
      <c r="A70" s="655"/>
      <c r="B70" s="509" t="s">
        <v>956</v>
      </c>
      <c r="C70" s="590">
        <v>24664</v>
      </c>
      <c r="D70" s="590">
        <v>19350</v>
      </c>
      <c r="E70" s="590">
        <v>44014</v>
      </c>
      <c r="F70" s="590">
        <v>6049</v>
      </c>
      <c r="G70" s="590">
        <v>5647</v>
      </c>
      <c r="H70" s="590">
        <v>11696</v>
      </c>
      <c r="I70" s="590">
        <v>1207</v>
      </c>
      <c r="J70" s="590">
        <v>1130</v>
      </c>
      <c r="K70" s="590">
        <v>2337</v>
      </c>
      <c r="L70" s="589"/>
      <c r="M70" s="589"/>
      <c r="N70" s="589"/>
    </row>
    <row r="71" spans="1:14" ht="14.5" x14ac:dyDescent="0.35">
      <c r="A71" s="655">
        <v>11</v>
      </c>
      <c r="B71" s="943" t="s">
        <v>22</v>
      </c>
      <c r="C71" s="928"/>
      <c r="D71" s="928"/>
      <c r="E71" s="928"/>
      <c r="F71" s="928"/>
      <c r="G71" s="928"/>
      <c r="H71" s="928"/>
      <c r="I71" s="928"/>
      <c r="J71" s="928"/>
      <c r="K71" s="928"/>
      <c r="L71" s="928"/>
      <c r="M71" s="928"/>
      <c r="N71" s="928"/>
    </row>
    <row r="72" spans="1:14" x14ac:dyDescent="0.35">
      <c r="A72" s="655"/>
      <c r="B72" s="508" t="s">
        <v>960</v>
      </c>
      <c r="C72" s="588">
        <v>7121</v>
      </c>
      <c r="D72" s="588">
        <v>3821</v>
      </c>
      <c r="E72" s="588">
        <v>10942</v>
      </c>
      <c r="F72" s="588">
        <v>5884</v>
      </c>
      <c r="G72" s="588">
        <v>6877</v>
      </c>
      <c r="H72" s="588">
        <v>12761</v>
      </c>
      <c r="I72" s="588">
        <v>737</v>
      </c>
      <c r="J72" s="588">
        <v>359</v>
      </c>
      <c r="K72" s="588">
        <v>1096</v>
      </c>
      <c r="L72" s="588">
        <v>9830</v>
      </c>
      <c r="M72" s="588">
        <v>7895</v>
      </c>
      <c r="N72" s="588">
        <v>17725</v>
      </c>
    </row>
    <row r="73" spans="1:14" x14ac:dyDescent="0.35">
      <c r="A73" s="655"/>
      <c r="B73" s="511" t="s">
        <v>959</v>
      </c>
      <c r="C73" s="589">
        <v>9131</v>
      </c>
      <c r="D73" s="589">
        <v>4196</v>
      </c>
      <c r="E73" s="589">
        <v>13327</v>
      </c>
      <c r="F73" s="589">
        <v>5786</v>
      </c>
      <c r="G73" s="589">
        <v>7763</v>
      </c>
      <c r="H73" s="589">
        <v>13549</v>
      </c>
      <c r="I73" s="589">
        <v>745</v>
      </c>
      <c r="J73" s="589">
        <v>297</v>
      </c>
      <c r="K73" s="589">
        <v>1042</v>
      </c>
      <c r="L73" s="589">
        <v>9921</v>
      </c>
      <c r="M73" s="589">
        <v>7156</v>
      </c>
      <c r="N73" s="589">
        <v>17077</v>
      </c>
    </row>
    <row r="74" spans="1:14" x14ac:dyDescent="0.35">
      <c r="A74" s="655"/>
      <c r="B74" s="509" t="s">
        <v>958</v>
      </c>
      <c r="C74" s="589">
        <v>7869</v>
      </c>
      <c r="D74" s="589">
        <v>3092</v>
      </c>
      <c r="E74" s="589">
        <v>10961</v>
      </c>
      <c r="F74" s="589">
        <v>5629</v>
      </c>
      <c r="G74" s="589">
        <v>6447</v>
      </c>
      <c r="H74" s="589">
        <v>12076</v>
      </c>
      <c r="I74" s="589">
        <v>798</v>
      </c>
      <c r="J74" s="589">
        <v>483</v>
      </c>
      <c r="K74" s="589">
        <v>1281</v>
      </c>
      <c r="L74" s="589">
        <v>9445</v>
      </c>
      <c r="M74" s="589">
        <v>6252</v>
      </c>
      <c r="N74" s="589">
        <v>15697</v>
      </c>
    </row>
    <row r="75" spans="1:14" x14ac:dyDescent="0.35">
      <c r="A75" s="655"/>
      <c r="B75" s="509" t="s">
        <v>957</v>
      </c>
      <c r="C75" s="590">
        <v>7423</v>
      </c>
      <c r="D75" s="590">
        <v>3022</v>
      </c>
      <c r="E75" s="590">
        <v>10445</v>
      </c>
      <c r="F75" s="590">
        <v>4769</v>
      </c>
      <c r="G75" s="590">
        <v>6919</v>
      </c>
      <c r="H75" s="590">
        <v>11688</v>
      </c>
      <c r="I75" s="590">
        <v>646</v>
      </c>
      <c r="J75" s="590">
        <v>447</v>
      </c>
      <c r="K75" s="590">
        <v>1093</v>
      </c>
      <c r="L75" s="589">
        <v>5867</v>
      </c>
      <c r="M75" s="589">
        <v>4413</v>
      </c>
      <c r="N75" s="589">
        <v>10280</v>
      </c>
    </row>
    <row r="76" spans="1:14" x14ac:dyDescent="0.35">
      <c r="A76" s="655"/>
      <c r="B76" s="509" t="s">
        <v>956</v>
      </c>
      <c r="C76" s="590">
        <v>9317</v>
      </c>
      <c r="D76" s="590">
        <v>3560</v>
      </c>
      <c r="E76" s="590">
        <v>12877</v>
      </c>
      <c r="F76" s="590">
        <v>5012</v>
      </c>
      <c r="G76" s="590">
        <v>6921</v>
      </c>
      <c r="H76" s="590">
        <v>11933</v>
      </c>
      <c r="I76" s="590">
        <v>499</v>
      </c>
      <c r="J76" s="590">
        <v>215</v>
      </c>
      <c r="K76" s="590">
        <v>714</v>
      </c>
      <c r="L76" s="589"/>
      <c r="M76" s="589"/>
      <c r="N76" s="589"/>
    </row>
    <row r="77" spans="1:14" ht="14.5" x14ac:dyDescent="0.35">
      <c r="A77" s="655">
        <v>12</v>
      </c>
      <c r="B77" s="943" t="s">
        <v>23</v>
      </c>
      <c r="C77" s="928"/>
      <c r="D77" s="928"/>
      <c r="E77" s="928"/>
      <c r="F77" s="928"/>
      <c r="G77" s="928"/>
      <c r="H77" s="928"/>
      <c r="I77" s="928"/>
      <c r="J77" s="928"/>
      <c r="K77" s="928"/>
      <c r="L77" s="928"/>
      <c r="M77" s="928"/>
      <c r="N77" s="928"/>
    </row>
    <row r="78" spans="1:14" x14ac:dyDescent="0.35">
      <c r="A78" s="655"/>
      <c r="B78" s="508" t="s">
        <v>960</v>
      </c>
      <c r="C78" s="588">
        <v>790.52735158642167</v>
      </c>
      <c r="D78" s="588">
        <v>540.48595680234394</v>
      </c>
      <c r="E78" s="588">
        <v>1331.0133083887656</v>
      </c>
      <c r="F78" s="588">
        <v>597.31640666244311</v>
      </c>
      <c r="G78" s="588">
        <v>942.89396084098826</v>
      </c>
      <c r="H78" s="588">
        <v>1540.2103675034314</v>
      </c>
      <c r="I78" s="588">
        <v>1023.0826387789039</v>
      </c>
      <c r="J78" s="588">
        <v>451.16042227589486</v>
      </c>
      <c r="K78" s="588">
        <v>1474.2430610547988</v>
      </c>
      <c r="L78" s="588">
        <v>3540.6977226533631</v>
      </c>
      <c r="M78" s="588">
        <v>3630.0531593152778</v>
      </c>
      <c r="N78" s="588">
        <v>7170.7508819686409</v>
      </c>
    </row>
    <row r="79" spans="1:14" x14ac:dyDescent="0.35">
      <c r="A79" s="655"/>
      <c r="B79" s="511" t="s">
        <v>959</v>
      </c>
      <c r="C79" s="589">
        <v>742.87562403993854</v>
      </c>
      <c r="D79" s="589">
        <v>578.64340917818743</v>
      </c>
      <c r="E79" s="589">
        <v>1321.519033218126</v>
      </c>
      <c r="F79" s="589">
        <v>1158.2936107910909</v>
      </c>
      <c r="G79" s="589">
        <v>1056.631432411674</v>
      </c>
      <c r="H79" s="589">
        <v>2214.9250432027652</v>
      </c>
      <c r="I79" s="589">
        <v>257.76586501536099</v>
      </c>
      <c r="J79" s="589">
        <v>109.19429243471581</v>
      </c>
      <c r="K79" s="589">
        <v>366.96015745007679</v>
      </c>
      <c r="L79" s="589">
        <v>3676.3734879032259</v>
      </c>
      <c r="M79" s="589">
        <v>3360.7774097542242</v>
      </c>
      <c r="N79" s="589">
        <v>7037.1508976574496</v>
      </c>
    </row>
    <row r="80" spans="1:14" x14ac:dyDescent="0.35">
      <c r="A80" s="655"/>
      <c r="B80" s="509" t="s">
        <v>958</v>
      </c>
      <c r="C80" s="589">
        <v>746</v>
      </c>
      <c r="D80" s="589">
        <v>568</v>
      </c>
      <c r="E80" s="589">
        <v>1314</v>
      </c>
      <c r="F80" s="589">
        <v>1028</v>
      </c>
      <c r="G80" s="589">
        <v>1104</v>
      </c>
      <c r="H80" s="589">
        <v>2132</v>
      </c>
      <c r="I80" s="589">
        <v>335</v>
      </c>
      <c r="J80" s="589">
        <v>170</v>
      </c>
      <c r="K80" s="589">
        <v>505</v>
      </c>
      <c r="L80" s="589">
        <v>2551</v>
      </c>
      <c r="M80" s="589">
        <v>2085</v>
      </c>
      <c r="N80" s="589">
        <v>4636</v>
      </c>
    </row>
    <row r="81" spans="1:14" x14ac:dyDescent="0.35">
      <c r="A81" s="655"/>
      <c r="B81" s="509" t="s">
        <v>957</v>
      </c>
      <c r="C81" s="590">
        <v>616</v>
      </c>
      <c r="D81" s="590">
        <v>560</v>
      </c>
      <c r="E81" s="590">
        <v>1176</v>
      </c>
      <c r="F81" s="590">
        <v>1141</v>
      </c>
      <c r="G81" s="590">
        <v>1354</v>
      </c>
      <c r="H81" s="590">
        <v>2495</v>
      </c>
      <c r="I81" s="590">
        <v>192</v>
      </c>
      <c r="J81" s="590">
        <v>91</v>
      </c>
      <c r="K81" s="590">
        <v>283</v>
      </c>
      <c r="L81" s="589">
        <v>1196</v>
      </c>
      <c r="M81" s="589">
        <v>1203</v>
      </c>
      <c r="N81" s="589">
        <v>2399</v>
      </c>
    </row>
    <row r="82" spans="1:14" x14ac:dyDescent="0.35">
      <c r="A82" s="655"/>
      <c r="B82" s="509" t="s">
        <v>956</v>
      </c>
      <c r="C82" s="590">
        <v>1103</v>
      </c>
      <c r="D82" s="590">
        <v>661</v>
      </c>
      <c r="E82" s="590">
        <v>1764</v>
      </c>
      <c r="F82" s="590">
        <v>1753</v>
      </c>
      <c r="G82" s="590">
        <v>1531</v>
      </c>
      <c r="H82" s="590">
        <v>3284</v>
      </c>
      <c r="I82" s="590">
        <v>246</v>
      </c>
      <c r="J82" s="590">
        <v>123</v>
      </c>
      <c r="K82" s="590">
        <v>369</v>
      </c>
      <c r="L82" s="589"/>
      <c r="M82" s="589"/>
      <c r="N82" s="589"/>
    </row>
    <row r="83" spans="1:14" ht="14.5" x14ac:dyDescent="0.35">
      <c r="A83" s="655">
        <v>13</v>
      </c>
      <c r="B83" s="943" t="s">
        <v>24</v>
      </c>
      <c r="C83" s="928"/>
      <c r="D83" s="928"/>
      <c r="E83" s="928"/>
      <c r="F83" s="928"/>
      <c r="G83" s="928"/>
      <c r="H83" s="928"/>
      <c r="I83" s="928"/>
      <c r="J83" s="928"/>
      <c r="K83" s="928"/>
      <c r="L83" s="928"/>
      <c r="M83" s="928"/>
      <c r="N83" s="928"/>
    </row>
    <row r="84" spans="1:14" x14ac:dyDescent="0.35">
      <c r="A84" s="655"/>
      <c r="B84" s="508" t="s">
        <v>960</v>
      </c>
      <c r="C84" s="588">
        <v>55870</v>
      </c>
      <c r="D84" s="588">
        <v>62975</v>
      </c>
      <c r="E84" s="588">
        <v>118845</v>
      </c>
      <c r="F84" s="588">
        <v>2331</v>
      </c>
      <c r="G84" s="588">
        <v>2842</v>
      </c>
      <c r="H84" s="588">
        <v>5173</v>
      </c>
      <c r="I84" s="588">
        <v>208</v>
      </c>
      <c r="J84" s="588">
        <v>132</v>
      </c>
      <c r="K84" s="588">
        <v>340</v>
      </c>
      <c r="L84" s="588">
        <v>3158</v>
      </c>
      <c r="M84" s="588">
        <v>2410</v>
      </c>
      <c r="N84" s="588">
        <v>5568</v>
      </c>
    </row>
    <row r="85" spans="1:14" x14ac:dyDescent="0.35">
      <c r="A85" s="655"/>
      <c r="B85" s="509" t="s">
        <v>959</v>
      </c>
      <c r="C85" s="589">
        <v>69770</v>
      </c>
      <c r="D85" s="589">
        <v>72414</v>
      </c>
      <c r="E85" s="589">
        <v>142184</v>
      </c>
      <c r="F85" s="589">
        <v>2980</v>
      </c>
      <c r="G85" s="589">
        <v>2911</v>
      </c>
      <c r="H85" s="589">
        <v>5891</v>
      </c>
      <c r="I85" s="589">
        <v>395</v>
      </c>
      <c r="J85" s="589">
        <v>167</v>
      </c>
      <c r="K85" s="589">
        <v>562</v>
      </c>
      <c r="L85" s="589">
        <v>4250</v>
      </c>
      <c r="M85" s="589">
        <v>3281</v>
      </c>
      <c r="N85" s="589">
        <v>7531</v>
      </c>
    </row>
    <row r="86" spans="1:14" x14ac:dyDescent="0.35">
      <c r="A86" s="655"/>
      <c r="B86" s="509" t="s">
        <v>958</v>
      </c>
      <c r="C86" s="589">
        <v>63796</v>
      </c>
      <c r="D86" s="589">
        <v>74346</v>
      </c>
      <c r="E86" s="589">
        <v>138142</v>
      </c>
      <c r="F86" s="589">
        <v>2323</v>
      </c>
      <c r="G86" s="589">
        <v>2997</v>
      </c>
      <c r="H86" s="589">
        <v>5320</v>
      </c>
      <c r="I86" s="589">
        <v>514</v>
      </c>
      <c r="J86" s="589">
        <v>221</v>
      </c>
      <c r="K86" s="589">
        <v>735</v>
      </c>
      <c r="L86" s="589">
        <v>3604</v>
      </c>
      <c r="M86" s="589">
        <v>3970</v>
      </c>
      <c r="N86" s="589">
        <v>7574</v>
      </c>
    </row>
    <row r="87" spans="1:14" x14ac:dyDescent="0.35">
      <c r="A87" s="655"/>
      <c r="B87" s="509" t="s">
        <v>957</v>
      </c>
      <c r="C87" s="590">
        <v>65193</v>
      </c>
      <c r="D87" s="590">
        <v>66149</v>
      </c>
      <c r="E87" s="590">
        <v>131342</v>
      </c>
      <c r="F87" s="590">
        <v>2465</v>
      </c>
      <c r="G87" s="590">
        <v>3328</v>
      </c>
      <c r="H87" s="590">
        <v>5793</v>
      </c>
      <c r="I87" s="590">
        <v>297</v>
      </c>
      <c r="J87" s="590">
        <v>291</v>
      </c>
      <c r="K87" s="590">
        <v>588</v>
      </c>
      <c r="L87" s="590">
        <v>2500</v>
      </c>
      <c r="M87" s="590">
        <v>3192</v>
      </c>
      <c r="N87" s="590">
        <v>5692</v>
      </c>
    </row>
    <row r="88" spans="1:14" x14ac:dyDescent="0.35">
      <c r="A88" s="655"/>
      <c r="B88" s="509" t="s">
        <v>956</v>
      </c>
      <c r="C88" s="590">
        <v>89608</v>
      </c>
      <c r="D88" s="590">
        <v>89068</v>
      </c>
      <c r="E88" s="590">
        <v>178676</v>
      </c>
      <c r="F88" s="590">
        <v>2447</v>
      </c>
      <c r="G88" s="590">
        <v>3229</v>
      </c>
      <c r="H88" s="590">
        <v>5676</v>
      </c>
      <c r="I88" s="590">
        <v>334</v>
      </c>
      <c r="J88" s="590">
        <v>262</v>
      </c>
      <c r="K88" s="590">
        <v>596</v>
      </c>
      <c r="L88" s="589"/>
      <c r="M88" s="589"/>
      <c r="N88" s="589"/>
    </row>
    <row r="89" spans="1:14" ht="14.5" x14ac:dyDescent="0.35">
      <c r="A89" s="655">
        <v>14</v>
      </c>
      <c r="B89" s="943" t="s">
        <v>25</v>
      </c>
      <c r="C89" s="928"/>
      <c r="D89" s="928"/>
      <c r="E89" s="928"/>
      <c r="F89" s="928"/>
      <c r="G89" s="928"/>
      <c r="H89" s="928"/>
      <c r="I89" s="928"/>
      <c r="J89" s="928"/>
      <c r="K89" s="928"/>
      <c r="L89" s="928"/>
      <c r="M89" s="928"/>
      <c r="N89" s="928"/>
    </row>
    <row r="90" spans="1:14" x14ac:dyDescent="0.35">
      <c r="A90" s="655"/>
      <c r="B90" s="508" t="s">
        <v>960</v>
      </c>
      <c r="C90" s="588">
        <v>19748</v>
      </c>
      <c r="D90" s="588">
        <v>20904</v>
      </c>
      <c r="E90" s="588">
        <v>40652</v>
      </c>
      <c r="F90" s="588">
        <v>10015</v>
      </c>
      <c r="G90" s="588">
        <v>12623</v>
      </c>
      <c r="H90" s="588">
        <v>22638</v>
      </c>
      <c r="I90" s="588">
        <v>393</v>
      </c>
      <c r="J90" s="588">
        <v>272</v>
      </c>
      <c r="K90" s="588">
        <v>665</v>
      </c>
      <c r="L90" s="588">
        <v>5870</v>
      </c>
      <c r="M90" s="588">
        <v>3380</v>
      </c>
      <c r="N90" s="588">
        <v>9250</v>
      </c>
    </row>
    <row r="91" spans="1:14" x14ac:dyDescent="0.35">
      <c r="A91" s="655"/>
      <c r="B91" s="511" t="s">
        <v>959</v>
      </c>
      <c r="C91" s="589">
        <v>20451</v>
      </c>
      <c r="D91" s="589">
        <v>21653</v>
      </c>
      <c r="E91" s="589">
        <v>42104</v>
      </c>
      <c r="F91" s="589">
        <v>8998</v>
      </c>
      <c r="G91" s="589">
        <v>11147</v>
      </c>
      <c r="H91" s="589">
        <v>20145</v>
      </c>
      <c r="I91" s="589">
        <v>583</v>
      </c>
      <c r="J91" s="589">
        <v>281</v>
      </c>
      <c r="K91" s="589">
        <v>864</v>
      </c>
      <c r="L91" s="589">
        <v>6518</v>
      </c>
      <c r="M91" s="589">
        <v>3626</v>
      </c>
      <c r="N91" s="589">
        <v>10144</v>
      </c>
    </row>
    <row r="92" spans="1:14" x14ac:dyDescent="0.35">
      <c r="A92" s="655"/>
      <c r="B92" s="509" t="s">
        <v>958</v>
      </c>
      <c r="C92" s="589">
        <v>19532</v>
      </c>
      <c r="D92" s="589">
        <v>18668</v>
      </c>
      <c r="E92" s="589">
        <v>38200</v>
      </c>
      <c r="F92" s="589">
        <v>4976</v>
      </c>
      <c r="G92" s="589">
        <v>7421</v>
      </c>
      <c r="H92" s="589">
        <v>12397</v>
      </c>
      <c r="I92" s="589">
        <v>881</v>
      </c>
      <c r="J92" s="589">
        <v>294</v>
      </c>
      <c r="K92" s="589">
        <v>1175</v>
      </c>
      <c r="L92" s="589">
        <v>5837</v>
      </c>
      <c r="M92" s="589">
        <v>3365</v>
      </c>
      <c r="N92" s="589">
        <v>9202</v>
      </c>
    </row>
    <row r="93" spans="1:14" x14ac:dyDescent="0.35">
      <c r="A93" s="655"/>
      <c r="B93" s="509" t="s">
        <v>957</v>
      </c>
      <c r="C93" s="590">
        <v>17069</v>
      </c>
      <c r="D93" s="590">
        <v>17244</v>
      </c>
      <c r="E93" s="590">
        <v>34313</v>
      </c>
      <c r="F93" s="590">
        <v>4916</v>
      </c>
      <c r="G93" s="590">
        <v>6884</v>
      </c>
      <c r="H93" s="590">
        <v>11800</v>
      </c>
      <c r="I93" s="590">
        <v>546</v>
      </c>
      <c r="J93" s="590">
        <v>225</v>
      </c>
      <c r="K93" s="590">
        <v>771</v>
      </c>
      <c r="L93" s="589">
        <v>3010</v>
      </c>
      <c r="M93" s="589">
        <v>1700</v>
      </c>
      <c r="N93" s="589">
        <v>4710</v>
      </c>
    </row>
    <row r="94" spans="1:14" x14ac:dyDescent="0.35">
      <c r="A94" s="655"/>
      <c r="B94" s="509" t="s">
        <v>956</v>
      </c>
      <c r="C94" s="590">
        <v>21742</v>
      </c>
      <c r="D94" s="590">
        <v>21834</v>
      </c>
      <c r="E94" s="590">
        <v>43576</v>
      </c>
      <c r="F94" s="590">
        <v>6150</v>
      </c>
      <c r="G94" s="590">
        <v>6989</v>
      </c>
      <c r="H94" s="590">
        <v>13139</v>
      </c>
      <c r="I94" s="590">
        <v>773</v>
      </c>
      <c r="J94" s="590">
        <v>384</v>
      </c>
      <c r="K94" s="590">
        <v>1157</v>
      </c>
      <c r="L94" s="589"/>
      <c r="M94" s="589"/>
      <c r="N94" s="589"/>
    </row>
    <row r="95" spans="1:14" ht="14.5" x14ac:dyDescent="0.35">
      <c r="A95" s="655">
        <v>15</v>
      </c>
      <c r="B95" s="943" t="s">
        <v>26</v>
      </c>
      <c r="C95" s="928"/>
      <c r="D95" s="928"/>
      <c r="E95" s="928"/>
      <c r="F95" s="928"/>
      <c r="G95" s="928"/>
      <c r="H95" s="928"/>
      <c r="I95" s="928"/>
      <c r="J95" s="928"/>
      <c r="K95" s="928"/>
      <c r="L95" s="928"/>
      <c r="M95" s="928"/>
      <c r="N95" s="928"/>
    </row>
    <row r="96" spans="1:14" x14ac:dyDescent="0.35">
      <c r="A96" s="655"/>
      <c r="B96" s="508" t="s">
        <v>960</v>
      </c>
      <c r="C96" s="588">
        <v>90375.103703837842</v>
      </c>
      <c r="D96" s="588">
        <v>82887.01213100733</v>
      </c>
      <c r="E96" s="588">
        <v>173262.11583484517</v>
      </c>
      <c r="F96" s="588">
        <v>50570.24813520164</v>
      </c>
      <c r="G96" s="588">
        <v>61456.120793364076</v>
      </c>
      <c r="H96" s="588">
        <v>112026.36892856572</v>
      </c>
      <c r="I96" s="588">
        <v>7843.5762161293096</v>
      </c>
      <c r="J96" s="588">
        <v>7545.4401948594314</v>
      </c>
      <c r="K96" s="588">
        <v>15389.016410988741</v>
      </c>
      <c r="L96" s="588">
        <v>20183.918897064781</v>
      </c>
      <c r="M96" s="588">
        <v>42264.309859949084</v>
      </c>
      <c r="N96" s="588">
        <v>62448.228757013865</v>
      </c>
    </row>
    <row r="97" spans="1:14" x14ac:dyDescent="0.35">
      <c r="A97" s="655"/>
      <c r="B97" s="511" t="s">
        <v>959</v>
      </c>
      <c r="C97" s="589">
        <v>82873.292256076311</v>
      </c>
      <c r="D97" s="589">
        <v>74581.965456764607</v>
      </c>
      <c r="E97" s="589">
        <v>157455.25771284089</v>
      </c>
      <c r="F97" s="589">
        <v>43251.521448326923</v>
      </c>
      <c r="G97" s="589">
        <v>54440.594422859896</v>
      </c>
      <c r="H97" s="589">
        <v>97692.115871186834</v>
      </c>
      <c r="I97" s="589">
        <v>3147.1235923101081</v>
      </c>
      <c r="J97" s="589">
        <v>2188.6331103873258</v>
      </c>
      <c r="K97" s="589">
        <v>5335.7567026974339</v>
      </c>
      <c r="L97" s="589">
        <v>20455.11944057728</v>
      </c>
      <c r="M97" s="589">
        <v>36229.50453782297</v>
      </c>
      <c r="N97" s="589">
        <v>56684.623978400246</v>
      </c>
    </row>
    <row r="98" spans="1:14" x14ac:dyDescent="0.35">
      <c r="A98" s="655"/>
      <c r="B98" s="509" t="s">
        <v>958</v>
      </c>
      <c r="C98" s="589">
        <v>78638</v>
      </c>
      <c r="D98" s="589">
        <v>68611</v>
      </c>
      <c r="E98" s="589">
        <v>147249</v>
      </c>
      <c r="F98" s="589">
        <v>42716</v>
      </c>
      <c r="G98" s="589">
        <v>51895</v>
      </c>
      <c r="H98" s="589">
        <v>94611</v>
      </c>
      <c r="I98" s="589">
        <v>3397</v>
      </c>
      <c r="J98" s="589">
        <v>2660</v>
      </c>
      <c r="K98" s="589">
        <v>6057</v>
      </c>
      <c r="L98" s="589">
        <v>26058</v>
      </c>
      <c r="M98" s="589">
        <v>26549</v>
      </c>
      <c r="N98" s="589">
        <v>52607</v>
      </c>
    </row>
    <row r="99" spans="1:14" x14ac:dyDescent="0.35">
      <c r="A99" s="655"/>
      <c r="B99" s="509" t="s">
        <v>957</v>
      </c>
      <c r="C99" s="590">
        <v>72487</v>
      </c>
      <c r="D99" s="590">
        <v>65871</v>
      </c>
      <c r="E99" s="590">
        <v>138358</v>
      </c>
      <c r="F99" s="590">
        <v>36086</v>
      </c>
      <c r="G99" s="590">
        <v>45593</v>
      </c>
      <c r="H99" s="590">
        <v>81679</v>
      </c>
      <c r="I99" s="590">
        <v>2665</v>
      </c>
      <c r="J99" s="590">
        <v>1830</v>
      </c>
      <c r="K99" s="590">
        <v>4495</v>
      </c>
      <c r="L99" s="590">
        <v>15920</v>
      </c>
      <c r="M99" s="590">
        <v>35128</v>
      </c>
      <c r="N99" s="590">
        <v>51048</v>
      </c>
    </row>
    <row r="100" spans="1:14" x14ac:dyDescent="0.35">
      <c r="A100" s="655"/>
      <c r="B100" s="509" t="s">
        <v>956</v>
      </c>
      <c r="C100" s="590">
        <v>75198</v>
      </c>
      <c r="D100" s="590">
        <v>69313</v>
      </c>
      <c r="E100" s="590">
        <v>144511</v>
      </c>
      <c r="F100" s="590">
        <v>38600</v>
      </c>
      <c r="G100" s="590">
        <v>49170</v>
      </c>
      <c r="H100" s="590">
        <v>87770</v>
      </c>
      <c r="I100" s="590">
        <v>2398</v>
      </c>
      <c r="J100" s="590">
        <v>2204</v>
      </c>
      <c r="K100" s="590">
        <v>4602</v>
      </c>
      <c r="L100" s="589"/>
      <c r="M100" s="589"/>
      <c r="N100" s="589"/>
    </row>
    <row r="101" spans="1:14" ht="14.5" x14ac:dyDescent="0.35">
      <c r="A101" s="655">
        <v>16</v>
      </c>
      <c r="B101" s="943" t="s">
        <v>27</v>
      </c>
      <c r="C101" s="928"/>
      <c r="D101" s="928"/>
      <c r="E101" s="928"/>
      <c r="F101" s="928"/>
      <c r="G101" s="928"/>
      <c r="H101" s="928"/>
      <c r="I101" s="928"/>
      <c r="J101" s="928"/>
      <c r="K101" s="928"/>
      <c r="L101" s="928"/>
      <c r="M101" s="928"/>
      <c r="N101" s="928"/>
    </row>
    <row r="102" spans="1:14" x14ac:dyDescent="0.35">
      <c r="A102" s="655"/>
      <c r="B102" s="508" t="s">
        <v>960</v>
      </c>
      <c r="C102" s="588">
        <v>108525.87950724547</v>
      </c>
      <c r="D102" s="588">
        <v>154878.05930868725</v>
      </c>
      <c r="E102" s="588">
        <v>263403.93881593272</v>
      </c>
      <c r="F102" s="588">
        <v>57747.390348169618</v>
      </c>
      <c r="G102" s="588">
        <v>69878.162898424751</v>
      </c>
      <c r="H102" s="588">
        <v>127625.55324659437</v>
      </c>
      <c r="I102" s="588">
        <v>2699.096662595809</v>
      </c>
      <c r="J102" s="588">
        <v>2567.1330498166199</v>
      </c>
      <c r="K102" s="588">
        <v>5266.2297124124289</v>
      </c>
      <c r="L102" s="588">
        <v>11939.85757789795</v>
      </c>
      <c r="M102" s="588">
        <v>17776.79731191829</v>
      </c>
      <c r="N102" s="588">
        <v>29716.65488981624</v>
      </c>
    </row>
    <row r="103" spans="1:14" x14ac:dyDescent="0.35">
      <c r="A103" s="655"/>
      <c r="B103" s="511" t="s">
        <v>959</v>
      </c>
      <c r="C103" s="589">
        <v>82876.987938381339</v>
      </c>
      <c r="D103" s="589">
        <v>123325.0054684975</v>
      </c>
      <c r="E103" s="589">
        <v>206201.99340687881</v>
      </c>
      <c r="F103" s="589">
        <v>57948.143886589984</v>
      </c>
      <c r="G103" s="589">
        <v>74579.159683219768</v>
      </c>
      <c r="H103" s="589">
        <v>132527.30356980971</v>
      </c>
      <c r="I103" s="589">
        <v>2496.3648723817041</v>
      </c>
      <c r="J103" s="589">
        <v>2411.664834518609</v>
      </c>
      <c r="K103" s="589">
        <v>4908.0297069003136</v>
      </c>
      <c r="L103" s="589">
        <v>13478.017484954549</v>
      </c>
      <c r="M103" s="589">
        <v>21048.70753392277</v>
      </c>
      <c r="N103" s="589">
        <v>34526.725018877318</v>
      </c>
    </row>
    <row r="104" spans="1:14" x14ac:dyDescent="0.35">
      <c r="A104" s="655"/>
      <c r="B104" s="509" t="s">
        <v>958</v>
      </c>
      <c r="C104" s="589">
        <v>76375</v>
      </c>
      <c r="D104" s="589">
        <v>110983</v>
      </c>
      <c r="E104" s="589">
        <v>187358</v>
      </c>
      <c r="F104" s="589">
        <v>55951</v>
      </c>
      <c r="G104" s="589">
        <v>65238</v>
      </c>
      <c r="H104" s="589">
        <v>121189</v>
      </c>
      <c r="I104" s="589">
        <v>2843</v>
      </c>
      <c r="J104" s="589">
        <v>2472</v>
      </c>
      <c r="K104" s="589">
        <v>5315</v>
      </c>
      <c r="L104" s="589">
        <v>10383</v>
      </c>
      <c r="M104" s="589">
        <v>16815</v>
      </c>
      <c r="N104" s="589">
        <v>27198</v>
      </c>
    </row>
    <row r="105" spans="1:14" x14ac:dyDescent="0.35">
      <c r="A105" s="655"/>
      <c r="B105" s="509" t="s">
        <v>957</v>
      </c>
      <c r="C105" s="590">
        <v>68170</v>
      </c>
      <c r="D105" s="590">
        <v>102759</v>
      </c>
      <c r="E105" s="590">
        <v>170929</v>
      </c>
      <c r="F105" s="590">
        <v>51334</v>
      </c>
      <c r="G105" s="590">
        <v>63552</v>
      </c>
      <c r="H105" s="590">
        <v>114886</v>
      </c>
      <c r="I105" s="590">
        <v>2103</v>
      </c>
      <c r="J105" s="590">
        <v>1888</v>
      </c>
      <c r="K105" s="590">
        <v>3991</v>
      </c>
      <c r="L105" s="591">
        <v>6189</v>
      </c>
      <c r="M105" s="591">
        <v>10363</v>
      </c>
      <c r="N105" s="591">
        <v>16552</v>
      </c>
    </row>
    <row r="106" spans="1:14" x14ac:dyDescent="0.35">
      <c r="A106" s="655"/>
      <c r="B106" s="509" t="s">
        <v>956</v>
      </c>
      <c r="C106" s="590">
        <v>68848</v>
      </c>
      <c r="D106" s="590">
        <v>97179</v>
      </c>
      <c r="E106" s="590">
        <v>166027</v>
      </c>
      <c r="F106" s="590">
        <v>51070</v>
      </c>
      <c r="G106" s="590">
        <v>66907</v>
      </c>
      <c r="H106" s="590">
        <v>117977</v>
      </c>
      <c r="I106" s="590">
        <v>1975</v>
      </c>
      <c r="J106" s="590">
        <v>1735</v>
      </c>
      <c r="K106" s="590">
        <v>3710</v>
      </c>
      <c r="L106" s="589"/>
      <c r="M106" s="589"/>
      <c r="N106" s="589"/>
    </row>
    <row r="107" spans="1:14" ht="14.5" x14ac:dyDescent="0.35">
      <c r="A107" s="655">
        <v>17</v>
      </c>
      <c r="B107" s="943" t="s">
        <v>28</v>
      </c>
      <c r="C107" s="928"/>
      <c r="D107" s="928"/>
      <c r="E107" s="928"/>
      <c r="F107" s="928"/>
      <c r="G107" s="928"/>
      <c r="H107" s="928"/>
      <c r="I107" s="928"/>
      <c r="J107" s="928"/>
      <c r="K107" s="928"/>
      <c r="L107" s="928"/>
      <c r="M107" s="928"/>
      <c r="N107" s="928"/>
    </row>
    <row r="108" spans="1:14" x14ac:dyDescent="0.35">
      <c r="A108" s="655"/>
      <c r="B108" s="508" t="s">
        <v>960</v>
      </c>
      <c r="C108" s="588">
        <v>998</v>
      </c>
      <c r="D108" s="588">
        <v>1670.6666666666665</v>
      </c>
      <c r="E108" s="588">
        <v>2668.6666666666665</v>
      </c>
      <c r="F108" s="588">
        <v>506.33333333333303</v>
      </c>
      <c r="G108" s="588">
        <v>1023.333333333333</v>
      </c>
      <c r="H108" s="588">
        <v>1529.6666666666661</v>
      </c>
      <c r="I108" s="588">
        <v>1</v>
      </c>
      <c r="J108" s="588"/>
      <c r="K108" s="588">
        <v>1</v>
      </c>
      <c r="L108" s="588"/>
      <c r="M108" s="588"/>
      <c r="N108" s="588"/>
    </row>
    <row r="109" spans="1:14" x14ac:dyDescent="0.35">
      <c r="A109" s="655"/>
      <c r="B109" s="511" t="s">
        <v>959</v>
      </c>
      <c r="C109" s="589">
        <v>951</v>
      </c>
      <c r="D109" s="589">
        <v>1841</v>
      </c>
      <c r="E109" s="589">
        <v>2792</v>
      </c>
      <c r="F109" s="589">
        <v>641</v>
      </c>
      <c r="G109" s="589">
        <v>1032</v>
      </c>
      <c r="H109" s="589">
        <v>1673</v>
      </c>
      <c r="I109" s="589">
        <v>1</v>
      </c>
      <c r="J109" s="589"/>
      <c r="K109" s="589">
        <v>1</v>
      </c>
      <c r="L109" s="589"/>
      <c r="M109" s="589"/>
      <c r="N109" s="589"/>
    </row>
    <row r="110" spans="1:14" x14ac:dyDescent="0.35">
      <c r="A110" s="655"/>
      <c r="B110" s="509" t="s">
        <v>958</v>
      </c>
      <c r="C110" s="589">
        <v>421</v>
      </c>
      <c r="D110" s="589">
        <v>727</v>
      </c>
      <c r="E110" s="589">
        <v>1148</v>
      </c>
      <c r="F110" s="589">
        <v>451</v>
      </c>
      <c r="G110" s="589">
        <v>886</v>
      </c>
      <c r="H110" s="589">
        <v>1337</v>
      </c>
      <c r="I110" s="589">
        <v>1</v>
      </c>
      <c r="J110" s="589"/>
      <c r="K110" s="589">
        <v>1</v>
      </c>
      <c r="L110" s="591"/>
      <c r="M110" s="591"/>
      <c r="N110" s="591"/>
    </row>
    <row r="111" spans="1:14" x14ac:dyDescent="0.35">
      <c r="A111" s="655"/>
      <c r="B111" s="509" t="s">
        <v>957</v>
      </c>
      <c r="C111" s="590">
        <v>679</v>
      </c>
      <c r="D111" s="590">
        <v>1341</v>
      </c>
      <c r="E111" s="590">
        <v>2020</v>
      </c>
      <c r="F111" s="590">
        <v>226</v>
      </c>
      <c r="G111" s="590">
        <v>564</v>
      </c>
      <c r="H111" s="590">
        <v>790</v>
      </c>
      <c r="I111" s="589"/>
      <c r="J111" s="589"/>
      <c r="K111" s="589"/>
      <c r="L111" s="591"/>
      <c r="M111" s="591"/>
      <c r="N111" s="591"/>
    </row>
    <row r="112" spans="1:14" x14ac:dyDescent="0.35">
      <c r="A112" s="655"/>
      <c r="B112" s="509" t="s">
        <v>956</v>
      </c>
      <c r="C112" s="590">
        <v>652</v>
      </c>
      <c r="D112" s="590">
        <v>1302</v>
      </c>
      <c r="E112" s="590">
        <v>1954</v>
      </c>
      <c r="F112" s="590">
        <v>307</v>
      </c>
      <c r="G112" s="590">
        <v>583</v>
      </c>
      <c r="H112" s="590">
        <v>890</v>
      </c>
      <c r="I112" s="589"/>
      <c r="J112" s="589"/>
      <c r="K112" s="589"/>
      <c r="L112" s="589"/>
      <c r="M112" s="589"/>
      <c r="N112" s="589"/>
    </row>
    <row r="113" spans="1:14" ht="14.5" x14ac:dyDescent="0.35">
      <c r="A113" s="655">
        <v>18</v>
      </c>
      <c r="B113" s="943" t="s">
        <v>82</v>
      </c>
      <c r="C113" s="928"/>
      <c r="D113" s="928"/>
      <c r="E113" s="928"/>
      <c r="F113" s="928"/>
      <c r="G113" s="928"/>
      <c r="H113" s="928"/>
      <c r="I113" s="928"/>
      <c r="J113" s="928"/>
      <c r="K113" s="928"/>
      <c r="L113" s="928"/>
      <c r="M113" s="928"/>
      <c r="N113" s="928"/>
    </row>
    <row r="114" spans="1:14" x14ac:dyDescent="0.35">
      <c r="A114" s="655"/>
      <c r="B114" s="508" t="s">
        <v>960</v>
      </c>
      <c r="C114" s="588">
        <v>49</v>
      </c>
      <c r="D114" s="588">
        <v>178</v>
      </c>
      <c r="E114" s="588">
        <v>227</v>
      </c>
      <c r="F114" s="588"/>
      <c r="G114" s="588"/>
      <c r="H114" s="588"/>
      <c r="I114" s="588"/>
      <c r="J114" s="588"/>
      <c r="K114" s="588"/>
      <c r="L114" s="588"/>
      <c r="M114" s="588"/>
      <c r="N114" s="588"/>
    </row>
    <row r="115" spans="1:14" x14ac:dyDescent="0.35">
      <c r="A115" s="655"/>
      <c r="B115" s="511" t="s">
        <v>959</v>
      </c>
      <c r="C115" s="589">
        <v>52</v>
      </c>
      <c r="D115" s="589">
        <v>140</v>
      </c>
      <c r="E115" s="589">
        <v>192</v>
      </c>
      <c r="F115" s="589"/>
      <c r="G115" s="589"/>
      <c r="H115" s="589"/>
      <c r="I115" s="589">
        <v>2</v>
      </c>
      <c r="J115" s="589"/>
      <c r="K115" s="589">
        <v>2</v>
      </c>
      <c r="L115" s="589"/>
      <c r="M115" s="589"/>
      <c r="N115" s="589"/>
    </row>
    <row r="116" spans="1:14" x14ac:dyDescent="0.35">
      <c r="A116" s="655"/>
      <c r="B116" s="509" t="s">
        <v>958</v>
      </c>
      <c r="C116" s="589">
        <v>14</v>
      </c>
      <c r="D116" s="589">
        <v>74</v>
      </c>
      <c r="E116" s="589">
        <v>88</v>
      </c>
      <c r="F116" s="589"/>
      <c r="G116" s="589"/>
      <c r="H116" s="589"/>
      <c r="I116" s="589"/>
      <c r="J116" s="589"/>
      <c r="K116" s="589"/>
      <c r="L116" s="591"/>
      <c r="M116" s="591"/>
      <c r="N116" s="591"/>
    </row>
    <row r="117" spans="1:14" x14ac:dyDescent="0.35">
      <c r="A117" s="655"/>
      <c r="B117" s="509" t="s">
        <v>957</v>
      </c>
      <c r="C117" s="590">
        <v>70</v>
      </c>
      <c r="D117" s="590">
        <v>256</v>
      </c>
      <c r="E117" s="590">
        <v>326</v>
      </c>
      <c r="F117" s="589"/>
      <c r="G117" s="589"/>
      <c r="H117" s="589"/>
      <c r="I117" s="589"/>
      <c r="J117" s="589"/>
      <c r="K117" s="589"/>
      <c r="L117" s="591"/>
      <c r="M117" s="591"/>
      <c r="N117" s="591"/>
    </row>
    <row r="118" spans="1:14" x14ac:dyDescent="0.35">
      <c r="A118" s="655"/>
      <c r="B118" s="509" t="s">
        <v>956</v>
      </c>
      <c r="C118" s="590">
        <v>70</v>
      </c>
      <c r="D118" s="590">
        <v>256</v>
      </c>
      <c r="E118" s="590">
        <v>326</v>
      </c>
      <c r="F118" s="589"/>
      <c r="G118" s="589"/>
      <c r="H118" s="589"/>
      <c r="I118" s="589"/>
      <c r="J118" s="589"/>
      <c r="K118" s="589"/>
      <c r="L118" s="589"/>
      <c r="M118" s="589"/>
      <c r="N118" s="589"/>
    </row>
    <row r="119" spans="1:14" ht="14.5" x14ac:dyDescent="0.35">
      <c r="A119" s="655">
        <v>19</v>
      </c>
      <c r="B119" s="943" t="s">
        <v>29</v>
      </c>
      <c r="C119" s="928"/>
      <c r="D119" s="928"/>
      <c r="E119" s="928"/>
      <c r="F119" s="928"/>
      <c r="G119" s="928"/>
      <c r="H119" s="928"/>
      <c r="I119" s="928"/>
      <c r="J119" s="928"/>
      <c r="K119" s="928"/>
      <c r="L119" s="928"/>
      <c r="M119" s="928"/>
      <c r="N119" s="928"/>
    </row>
    <row r="120" spans="1:14" x14ac:dyDescent="0.35">
      <c r="A120" s="655"/>
      <c r="B120" s="508" t="s">
        <v>960</v>
      </c>
      <c r="C120" s="588">
        <v>23510.470874263479</v>
      </c>
      <c r="D120" s="588">
        <v>18191.16490509464</v>
      </c>
      <c r="E120" s="588">
        <v>41701.635779358119</v>
      </c>
      <c r="F120" s="588">
        <v>9910.4846828923655</v>
      </c>
      <c r="G120" s="588">
        <v>8804.5053455767084</v>
      </c>
      <c r="H120" s="588">
        <v>18714.990028469074</v>
      </c>
      <c r="I120" s="588">
        <v>2440.5439252208512</v>
      </c>
      <c r="J120" s="588">
        <v>2157.1216388622665</v>
      </c>
      <c r="K120" s="588">
        <v>4597.6655640831177</v>
      </c>
      <c r="L120" s="588">
        <v>16789.619194051051</v>
      </c>
      <c r="M120" s="588">
        <v>11748.853448360343</v>
      </c>
      <c r="N120" s="588">
        <v>28538.472642411394</v>
      </c>
    </row>
    <row r="121" spans="1:14" x14ac:dyDescent="0.35">
      <c r="A121" s="655"/>
      <c r="B121" s="511" t="s">
        <v>959</v>
      </c>
      <c r="C121" s="589">
        <v>23574.367213905261</v>
      </c>
      <c r="D121" s="589">
        <v>17302.36230999275</v>
      </c>
      <c r="E121" s="589">
        <v>40876.729523898</v>
      </c>
      <c r="F121" s="589">
        <v>10099.600307019869</v>
      </c>
      <c r="G121" s="589">
        <v>9111.4740377979506</v>
      </c>
      <c r="H121" s="589">
        <v>19211.074344817818</v>
      </c>
      <c r="I121" s="589">
        <v>1762.8326432022079</v>
      </c>
      <c r="J121" s="589">
        <v>1591.526742581091</v>
      </c>
      <c r="K121" s="589">
        <v>3354.3593857832989</v>
      </c>
      <c r="L121" s="589">
        <v>15052.99292173205</v>
      </c>
      <c r="M121" s="589">
        <v>10337.48878315726</v>
      </c>
      <c r="N121" s="589">
        <v>25390.481704889309</v>
      </c>
    </row>
    <row r="122" spans="1:14" x14ac:dyDescent="0.35">
      <c r="A122" s="655"/>
      <c r="B122" s="509" t="s">
        <v>958</v>
      </c>
      <c r="C122" s="589">
        <v>22617</v>
      </c>
      <c r="D122" s="589">
        <v>16588</v>
      </c>
      <c r="E122" s="589">
        <v>39205</v>
      </c>
      <c r="F122" s="589">
        <v>10826</v>
      </c>
      <c r="G122" s="589">
        <v>9856</v>
      </c>
      <c r="H122" s="589">
        <v>20682</v>
      </c>
      <c r="I122" s="589">
        <v>2277</v>
      </c>
      <c r="J122" s="589">
        <v>1778</v>
      </c>
      <c r="K122" s="589">
        <v>4055</v>
      </c>
      <c r="L122" s="589">
        <v>11964</v>
      </c>
      <c r="M122" s="589">
        <v>6875</v>
      </c>
      <c r="N122" s="589">
        <v>18839</v>
      </c>
    </row>
    <row r="123" spans="1:14" x14ac:dyDescent="0.35">
      <c r="A123" s="655"/>
      <c r="B123" s="509" t="s">
        <v>957</v>
      </c>
      <c r="C123" s="590">
        <v>20995</v>
      </c>
      <c r="D123" s="590">
        <v>20432</v>
      </c>
      <c r="E123" s="590">
        <v>41427</v>
      </c>
      <c r="F123" s="590">
        <v>8968</v>
      </c>
      <c r="G123" s="590">
        <v>9814</v>
      </c>
      <c r="H123" s="590">
        <v>18782</v>
      </c>
      <c r="I123" s="590">
        <v>1886</v>
      </c>
      <c r="J123" s="590">
        <v>708</v>
      </c>
      <c r="K123" s="590">
        <v>2594</v>
      </c>
      <c r="L123" s="591">
        <v>7293</v>
      </c>
      <c r="M123" s="591">
        <v>5162</v>
      </c>
      <c r="N123" s="591">
        <v>12455</v>
      </c>
    </row>
    <row r="124" spans="1:14" x14ac:dyDescent="0.35">
      <c r="A124" s="655"/>
      <c r="B124" s="509" t="s">
        <v>956</v>
      </c>
      <c r="C124" s="590">
        <v>24366</v>
      </c>
      <c r="D124" s="590">
        <v>19923</v>
      </c>
      <c r="E124" s="590">
        <v>44289</v>
      </c>
      <c r="F124" s="590">
        <v>12788</v>
      </c>
      <c r="G124" s="590">
        <v>12749</v>
      </c>
      <c r="H124" s="590">
        <v>25537</v>
      </c>
      <c r="I124" s="590">
        <v>1403</v>
      </c>
      <c r="J124" s="590">
        <v>1039</v>
      </c>
      <c r="K124" s="590">
        <v>2442</v>
      </c>
      <c r="L124" s="589"/>
      <c r="M124" s="589"/>
      <c r="N124" s="589"/>
    </row>
    <row r="125" spans="1:14" ht="14.5" x14ac:dyDescent="0.35">
      <c r="A125" s="655">
        <v>20</v>
      </c>
      <c r="B125" s="943" t="s">
        <v>30</v>
      </c>
      <c r="C125" s="928"/>
      <c r="D125" s="928"/>
      <c r="E125" s="928"/>
      <c r="F125" s="928"/>
      <c r="G125" s="928"/>
      <c r="H125" s="928"/>
      <c r="I125" s="928"/>
      <c r="J125" s="928"/>
      <c r="K125" s="928"/>
      <c r="L125" s="928"/>
      <c r="M125" s="928"/>
      <c r="N125" s="928"/>
    </row>
    <row r="126" spans="1:14" x14ac:dyDescent="0.35">
      <c r="A126" s="655"/>
      <c r="B126" s="508" t="s">
        <v>960</v>
      </c>
      <c r="C126" s="588">
        <v>79994.781801058809</v>
      </c>
      <c r="D126" s="588">
        <v>79937.987628914983</v>
      </c>
      <c r="E126" s="588">
        <v>159932.76942997379</v>
      </c>
      <c r="F126" s="588">
        <v>62434.469089299935</v>
      </c>
      <c r="G126" s="588">
        <v>66520.229852306584</v>
      </c>
      <c r="H126" s="588">
        <v>128954.69894160652</v>
      </c>
      <c r="I126" s="588">
        <v>4379.1218451840423</v>
      </c>
      <c r="J126" s="588">
        <v>3026.8026144072865</v>
      </c>
      <c r="K126" s="588">
        <v>7405.9244595913287</v>
      </c>
      <c r="L126" s="588">
        <v>64512.719162376656</v>
      </c>
      <c r="M126" s="588">
        <v>52819.500580267282</v>
      </c>
      <c r="N126" s="588">
        <v>117332.21974264394</v>
      </c>
    </row>
    <row r="127" spans="1:14" x14ac:dyDescent="0.35">
      <c r="A127" s="655"/>
      <c r="B127" s="511" t="s">
        <v>959</v>
      </c>
      <c r="C127" s="589">
        <v>88186.35654110281</v>
      </c>
      <c r="D127" s="589">
        <v>82063.335111681692</v>
      </c>
      <c r="E127" s="589">
        <v>170249.6916527845</v>
      </c>
      <c r="F127" s="589">
        <v>72725.088937678505</v>
      </c>
      <c r="G127" s="589">
        <v>71731.118949704076</v>
      </c>
      <c r="H127" s="589">
        <v>144456.2078873826</v>
      </c>
      <c r="I127" s="589">
        <v>5239.7123256706764</v>
      </c>
      <c r="J127" s="589">
        <v>3379.1961164234199</v>
      </c>
      <c r="K127" s="589">
        <v>8618.9084420940962</v>
      </c>
      <c r="L127" s="589">
        <v>60277.615598640397</v>
      </c>
      <c r="M127" s="589">
        <v>48066.454795088859</v>
      </c>
      <c r="N127" s="589">
        <v>108344.0703937293</v>
      </c>
    </row>
    <row r="128" spans="1:14" x14ac:dyDescent="0.35">
      <c r="A128" s="655"/>
      <c r="B128" s="509" t="s">
        <v>958</v>
      </c>
      <c r="C128" s="589">
        <v>79193</v>
      </c>
      <c r="D128" s="589">
        <v>75322</v>
      </c>
      <c r="E128" s="589">
        <v>154515</v>
      </c>
      <c r="F128" s="589">
        <v>54185</v>
      </c>
      <c r="G128" s="589">
        <v>52601</v>
      </c>
      <c r="H128" s="589">
        <v>106786</v>
      </c>
      <c r="I128" s="589">
        <v>4955</v>
      </c>
      <c r="J128" s="589">
        <v>3216</v>
      </c>
      <c r="K128" s="589">
        <v>8171</v>
      </c>
      <c r="L128" s="589">
        <v>45510</v>
      </c>
      <c r="M128" s="589">
        <v>32387</v>
      </c>
      <c r="N128" s="589">
        <v>77897</v>
      </c>
    </row>
    <row r="129" spans="1:14" x14ac:dyDescent="0.35">
      <c r="A129" s="655"/>
      <c r="B129" s="509" t="s">
        <v>957</v>
      </c>
      <c r="C129" s="590">
        <v>79148</v>
      </c>
      <c r="D129" s="590">
        <v>71656</v>
      </c>
      <c r="E129" s="590">
        <v>150804</v>
      </c>
      <c r="F129" s="590">
        <v>42054</v>
      </c>
      <c r="G129" s="590">
        <v>39620</v>
      </c>
      <c r="H129" s="590">
        <v>81674</v>
      </c>
      <c r="I129" s="590">
        <v>3949</v>
      </c>
      <c r="J129" s="590">
        <v>2214</v>
      </c>
      <c r="K129" s="590">
        <v>6163</v>
      </c>
      <c r="L129" s="591">
        <v>29953</v>
      </c>
      <c r="M129" s="591">
        <v>21698</v>
      </c>
      <c r="N129" s="591">
        <v>51651</v>
      </c>
    </row>
    <row r="130" spans="1:14" x14ac:dyDescent="0.35">
      <c r="A130" s="655"/>
      <c r="B130" s="509" t="s">
        <v>956</v>
      </c>
      <c r="C130" s="590">
        <v>83037</v>
      </c>
      <c r="D130" s="590">
        <v>83191</v>
      </c>
      <c r="E130" s="590">
        <v>166228</v>
      </c>
      <c r="F130" s="590">
        <v>46074</v>
      </c>
      <c r="G130" s="590">
        <v>49948</v>
      </c>
      <c r="H130" s="590">
        <v>96022</v>
      </c>
      <c r="I130" s="590">
        <v>4714</v>
      </c>
      <c r="J130" s="590">
        <v>3083</v>
      </c>
      <c r="K130" s="590">
        <v>7797</v>
      </c>
      <c r="L130" s="589"/>
      <c r="M130" s="589"/>
      <c r="N130" s="589"/>
    </row>
    <row r="131" spans="1:14" ht="14.5" x14ac:dyDescent="0.35">
      <c r="A131" s="655">
        <v>21</v>
      </c>
      <c r="B131" s="943" t="s">
        <v>31</v>
      </c>
      <c r="C131" s="928"/>
      <c r="D131" s="928"/>
      <c r="E131" s="928"/>
      <c r="F131" s="928"/>
      <c r="G131" s="928"/>
      <c r="H131" s="928"/>
      <c r="I131" s="928"/>
      <c r="J131" s="928"/>
      <c r="K131" s="928"/>
      <c r="L131" s="928"/>
      <c r="M131" s="928"/>
      <c r="N131" s="928"/>
    </row>
    <row r="132" spans="1:14" x14ac:dyDescent="0.35">
      <c r="A132" s="655"/>
      <c r="B132" s="508" t="s">
        <v>960</v>
      </c>
      <c r="C132" s="588">
        <v>2491</v>
      </c>
      <c r="D132" s="588">
        <v>2044</v>
      </c>
      <c r="E132" s="588">
        <v>4535</v>
      </c>
      <c r="F132" s="588">
        <v>1691</v>
      </c>
      <c r="G132" s="588">
        <v>1820</v>
      </c>
      <c r="H132" s="588">
        <v>3511</v>
      </c>
      <c r="I132" s="588">
        <v>30</v>
      </c>
      <c r="J132" s="588">
        <v>23</v>
      </c>
      <c r="K132" s="588">
        <v>53</v>
      </c>
      <c r="L132" s="588">
        <v>487</v>
      </c>
      <c r="M132" s="588">
        <v>201</v>
      </c>
      <c r="N132" s="588">
        <v>688</v>
      </c>
    </row>
    <row r="133" spans="1:14" x14ac:dyDescent="0.35">
      <c r="A133" s="655"/>
      <c r="B133" s="511" t="s">
        <v>959</v>
      </c>
      <c r="C133" s="589">
        <v>2853.383478750352</v>
      </c>
      <c r="D133" s="589">
        <v>2219.1687306501549</v>
      </c>
      <c r="E133" s="589">
        <v>5072.5522094005064</v>
      </c>
      <c r="F133" s="589">
        <v>5028.971432592175</v>
      </c>
      <c r="G133" s="589">
        <v>4288.3647621728114</v>
      </c>
      <c r="H133" s="589">
        <v>9317.3361947649864</v>
      </c>
      <c r="I133" s="589">
        <v>47.464396284829718</v>
      </c>
      <c r="J133" s="589">
        <v>31.294117647058819</v>
      </c>
      <c r="K133" s="589">
        <v>78.758513931888544</v>
      </c>
      <c r="L133" s="589">
        <v>669.29862088376012</v>
      </c>
      <c r="M133" s="589">
        <v>438.24866310160428</v>
      </c>
      <c r="N133" s="589">
        <v>1107.5472839853639</v>
      </c>
    </row>
    <row r="134" spans="1:14" x14ac:dyDescent="0.35">
      <c r="A134" s="655"/>
      <c r="B134" s="509" t="s">
        <v>958</v>
      </c>
      <c r="C134" s="589">
        <v>964</v>
      </c>
      <c r="D134" s="589">
        <v>1000</v>
      </c>
      <c r="E134" s="589">
        <v>1964</v>
      </c>
      <c r="F134" s="589">
        <v>1080</v>
      </c>
      <c r="G134" s="589">
        <v>2702</v>
      </c>
      <c r="H134" s="589">
        <v>3782</v>
      </c>
      <c r="I134" s="589">
        <v>85</v>
      </c>
      <c r="J134" s="589">
        <v>91</v>
      </c>
      <c r="K134" s="589">
        <v>176</v>
      </c>
      <c r="L134" s="589">
        <v>133</v>
      </c>
      <c r="M134" s="589">
        <v>62</v>
      </c>
      <c r="N134" s="589">
        <v>195</v>
      </c>
    </row>
    <row r="135" spans="1:14" x14ac:dyDescent="0.35">
      <c r="A135" s="655"/>
      <c r="B135" s="509" t="s">
        <v>957</v>
      </c>
      <c r="C135" s="590">
        <v>1904</v>
      </c>
      <c r="D135" s="590">
        <v>2526</v>
      </c>
      <c r="E135" s="590">
        <v>4430</v>
      </c>
      <c r="F135" s="590">
        <v>2519</v>
      </c>
      <c r="G135" s="590">
        <v>2630</v>
      </c>
      <c r="H135" s="590">
        <v>5149</v>
      </c>
      <c r="I135" s="590">
        <v>123</v>
      </c>
      <c r="J135" s="590">
        <v>110</v>
      </c>
      <c r="K135" s="590">
        <v>233</v>
      </c>
      <c r="L135" s="589">
        <v>115</v>
      </c>
      <c r="M135" s="589">
        <v>59</v>
      </c>
      <c r="N135" s="589">
        <v>174</v>
      </c>
    </row>
    <row r="136" spans="1:14" x14ac:dyDescent="0.35">
      <c r="A136" s="655"/>
      <c r="B136" s="509" t="s">
        <v>956</v>
      </c>
      <c r="C136" s="590">
        <v>3380</v>
      </c>
      <c r="D136" s="590">
        <v>3099</v>
      </c>
      <c r="E136" s="590">
        <v>6479</v>
      </c>
      <c r="F136" s="590">
        <v>1977</v>
      </c>
      <c r="G136" s="590">
        <v>2409</v>
      </c>
      <c r="H136" s="590">
        <v>4386</v>
      </c>
      <c r="I136" s="590">
        <v>88</v>
      </c>
      <c r="J136" s="590">
        <v>80</v>
      </c>
      <c r="K136" s="590">
        <v>168</v>
      </c>
      <c r="L136" s="589"/>
      <c r="M136" s="589"/>
      <c r="N136" s="589"/>
    </row>
    <row r="137" spans="1:14" ht="14.5" x14ac:dyDescent="0.35">
      <c r="A137" s="655">
        <v>22</v>
      </c>
      <c r="B137" s="943" t="s">
        <v>32</v>
      </c>
      <c r="C137" s="928"/>
      <c r="D137" s="928"/>
      <c r="E137" s="928"/>
      <c r="F137" s="928"/>
      <c r="G137" s="928"/>
      <c r="H137" s="928"/>
      <c r="I137" s="928"/>
      <c r="J137" s="928"/>
      <c r="K137" s="928"/>
      <c r="L137" s="928"/>
      <c r="M137" s="928"/>
      <c r="N137" s="928"/>
    </row>
    <row r="138" spans="1:14" x14ac:dyDescent="0.35">
      <c r="A138" s="655"/>
      <c r="B138" s="508" t="s">
        <v>960</v>
      </c>
      <c r="C138" s="588">
        <v>3538.420454545454</v>
      </c>
      <c r="D138" s="588">
        <v>2730.784090909091</v>
      </c>
      <c r="E138" s="588">
        <v>6269.204545454545</v>
      </c>
      <c r="F138" s="588">
        <v>14321.920454545456</v>
      </c>
      <c r="G138" s="588">
        <v>18582.991477272728</v>
      </c>
      <c r="H138" s="588">
        <v>32904.911931818184</v>
      </c>
      <c r="I138" s="588">
        <v>2757.4573863636365</v>
      </c>
      <c r="J138" s="588">
        <v>2363.0397727272725</v>
      </c>
      <c r="K138" s="588">
        <v>5120.497159090909</v>
      </c>
      <c r="L138" s="588">
        <v>2298.636363636364</v>
      </c>
      <c r="M138" s="588">
        <v>2012.215909090909</v>
      </c>
      <c r="N138" s="588">
        <v>4310.852272727273</v>
      </c>
    </row>
    <row r="139" spans="1:14" x14ac:dyDescent="0.35">
      <c r="A139" s="655"/>
      <c r="B139" s="511" t="s">
        <v>959</v>
      </c>
      <c r="C139" s="589">
        <v>1716.393939393939</v>
      </c>
      <c r="D139" s="589">
        <v>1239.787878787879</v>
      </c>
      <c r="E139" s="589">
        <v>2956.181818181818</v>
      </c>
      <c r="F139" s="589">
        <v>12180.45454545455</v>
      </c>
      <c r="G139" s="589">
        <v>15986.21212121212</v>
      </c>
      <c r="H139" s="589">
        <v>28166.666666666672</v>
      </c>
      <c r="I139" s="589">
        <v>567.27272727272725</v>
      </c>
      <c r="J139" s="589">
        <v>529.030303030303</v>
      </c>
      <c r="K139" s="589">
        <v>1096.30303030303</v>
      </c>
      <c r="L139" s="589">
        <v>599.12121212121212</v>
      </c>
      <c r="M139" s="589">
        <v>506.36363636363637</v>
      </c>
      <c r="N139" s="589">
        <v>1105.484848484848</v>
      </c>
    </row>
    <row r="140" spans="1:14" x14ac:dyDescent="0.35">
      <c r="A140" s="655"/>
      <c r="B140" s="509" t="s">
        <v>958</v>
      </c>
      <c r="C140" s="589">
        <v>1324</v>
      </c>
      <c r="D140" s="589">
        <v>795</v>
      </c>
      <c r="E140" s="589">
        <v>2119</v>
      </c>
      <c r="F140" s="589">
        <v>6253</v>
      </c>
      <c r="G140" s="589">
        <v>8492</v>
      </c>
      <c r="H140" s="589">
        <v>14745</v>
      </c>
      <c r="I140" s="589">
        <v>477</v>
      </c>
      <c r="J140" s="589">
        <v>588</v>
      </c>
      <c r="K140" s="589">
        <v>1065</v>
      </c>
      <c r="L140" s="589">
        <v>240</v>
      </c>
      <c r="M140" s="589">
        <v>214</v>
      </c>
      <c r="N140" s="589">
        <v>454</v>
      </c>
    </row>
    <row r="141" spans="1:14" x14ac:dyDescent="0.35">
      <c r="A141" s="655"/>
      <c r="B141" s="509" t="s">
        <v>957</v>
      </c>
      <c r="C141" s="590">
        <v>1150</v>
      </c>
      <c r="D141" s="590">
        <v>912</v>
      </c>
      <c r="E141" s="590">
        <v>2062</v>
      </c>
      <c r="F141" s="590">
        <v>13119</v>
      </c>
      <c r="G141" s="590">
        <v>17005</v>
      </c>
      <c r="H141" s="590">
        <v>30124</v>
      </c>
      <c r="I141" s="590">
        <v>188</v>
      </c>
      <c r="J141" s="590">
        <v>139</v>
      </c>
      <c r="K141" s="590">
        <v>327</v>
      </c>
      <c r="L141" s="589">
        <v>207</v>
      </c>
      <c r="M141" s="589">
        <v>136</v>
      </c>
      <c r="N141" s="589">
        <v>343</v>
      </c>
    </row>
    <row r="142" spans="1:14" x14ac:dyDescent="0.35">
      <c r="A142" s="655"/>
      <c r="B142" s="509" t="s">
        <v>956</v>
      </c>
      <c r="C142" s="590">
        <v>1177</v>
      </c>
      <c r="D142" s="590">
        <v>901</v>
      </c>
      <c r="E142" s="590">
        <v>2078</v>
      </c>
      <c r="F142" s="590">
        <v>10928</v>
      </c>
      <c r="G142" s="590">
        <v>13402</v>
      </c>
      <c r="H142" s="590">
        <v>24330</v>
      </c>
      <c r="I142" s="590">
        <v>204</v>
      </c>
      <c r="J142" s="590">
        <v>163</v>
      </c>
      <c r="K142" s="590">
        <v>367</v>
      </c>
      <c r="L142" s="589"/>
      <c r="M142" s="589"/>
      <c r="N142" s="589"/>
    </row>
    <row r="143" spans="1:14" ht="14.5" x14ac:dyDescent="0.35">
      <c r="A143" s="655">
        <v>23</v>
      </c>
      <c r="B143" s="943" t="s">
        <v>33</v>
      </c>
      <c r="C143" s="928"/>
      <c r="D143" s="928"/>
      <c r="E143" s="928"/>
      <c r="F143" s="928"/>
      <c r="G143" s="928"/>
      <c r="H143" s="928"/>
      <c r="I143" s="928"/>
      <c r="J143" s="928"/>
      <c r="K143" s="928"/>
      <c r="L143" s="928"/>
      <c r="M143" s="928"/>
      <c r="N143" s="928"/>
    </row>
    <row r="144" spans="1:14" x14ac:dyDescent="0.35">
      <c r="A144" s="655"/>
      <c r="B144" s="508" t="s">
        <v>960</v>
      </c>
      <c r="C144" s="588">
        <v>65</v>
      </c>
      <c r="D144" s="588">
        <v>25</v>
      </c>
      <c r="E144" s="588">
        <v>90</v>
      </c>
      <c r="F144" s="588">
        <v>5852</v>
      </c>
      <c r="G144" s="588">
        <v>5356</v>
      </c>
      <c r="H144" s="588">
        <v>11208</v>
      </c>
      <c r="I144" s="588">
        <v>14</v>
      </c>
      <c r="J144" s="588">
        <v>9</v>
      </c>
      <c r="K144" s="588">
        <v>23</v>
      </c>
      <c r="L144" s="588">
        <v>66</v>
      </c>
      <c r="M144" s="588">
        <v>36</v>
      </c>
      <c r="N144" s="588">
        <v>102</v>
      </c>
    </row>
    <row r="145" spans="1:14" x14ac:dyDescent="0.35">
      <c r="A145" s="655"/>
      <c r="B145" s="511" t="s">
        <v>959</v>
      </c>
      <c r="C145" s="589">
        <v>54</v>
      </c>
      <c r="D145" s="589">
        <v>26</v>
      </c>
      <c r="E145" s="589">
        <v>80</v>
      </c>
      <c r="F145" s="589">
        <v>12251</v>
      </c>
      <c r="G145" s="589">
        <v>12379</v>
      </c>
      <c r="H145" s="589">
        <v>24630</v>
      </c>
      <c r="I145" s="589">
        <v>39</v>
      </c>
      <c r="J145" s="589">
        <v>44</v>
      </c>
      <c r="K145" s="589">
        <v>83</v>
      </c>
      <c r="L145" s="589">
        <v>59</v>
      </c>
      <c r="M145" s="589">
        <v>51</v>
      </c>
      <c r="N145" s="589">
        <v>110</v>
      </c>
    </row>
    <row r="146" spans="1:14" x14ac:dyDescent="0.35">
      <c r="A146" s="655"/>
      <c r="B146" s="509" t="s">
        <v>958</v>
      </c>
      <c r="C146" s="589">
        <v>77</v>
      </c>
      <c r="D146" s="589">
        <v>53</v>
      </c>
      <c r="E146" s="589">
        <v>130</v>
      </c>
      <c r="F146" s="589">
        <v>9504</v>
      </c>
      <c r="G146" s="589">
        <v>9709</v>
      </c>
      <c r="H146" s="589">
        <v>19213</v>
      </c>
      <c r="I146" s="589">
        <v>14</v>
      </c>
      <c r="J146" s="589">
        <v>17</v>
      </c>
      <c r="K146" s="589">
        <v>31</v>
      </c>
      <c r="L146" s="589">
        <v>62</v>
      </c>
      <c r="M146" s="589">
        <v>37</v>
      </c>
      <c r="N146" s="589">
        <v>99</v>
      </c>
    </row>
    <row r="147" spans="1:14" x14ac:dyDescent="0.35">
      <c r="A147" s="655"/>
      <c r="B147" s="509" t="s">
        <v>957</v>
      </c>
      <c r="C147" s="590">
        <v>50</v>
      </c>
      <c r="D147" s="590">
        <v>28</v>
      </c>
      <c r="E147" s="590">
        <v>78</v>
      </c>
      <c r="F147" s="590">
        <v>9747</v>
      </c>
      <c r="G147" s="590">
        <v>10304</v>
      </c>
      <c r="H147" s="590">
        <v>20051</v>
      </c>
      <c r="I147" s="590">
        <v>14</v>
      </c>
      <c r="J147" s="590">
        <v>13</v>
      </c>
      <c r="K147" s="590">
        <v>27</v>
      </c>
      <c r="L147" s="589">
        <v>18</v>
      </c>
      <c r="M147" s="589">
        <v>8</v>
      </c>
      <c r="N147" s="589">
        <v>26</v>
      </c>
    </row>
    <row r="148" spans="1:14" x14ac:dyDescent="0.35">
      <c r="A148" s="655"/>
      <c r="B148" s="509" t="s">
        <v>956</v>
      </c>
      <c r="C148" s="590">
        <v>48</v>
      </c>
      <c r="D148" s="590">
        <v>22</v>
      </c>
      <c r="E148" s="590">
        <v>70</v>
      </c>
      <c r="F148" s="590">
        <v>8560</v>
      </c>
      <c r="G148" s="590">
        <v>8270</v>
      </c>
      <c r="H148" s="590">
        <v>16830</v>
      </c>
      <c r="I148" s="590">
        <v>15</v>
      </c>
      <c r="J148" s="590">
        <v>8</v>
      </c>
      <c r="K148" s="590">
        <v>23</v>
      </c>
      <c r="L148" s="589"/>
      <c r="M148" s="589"/>
      <c r="N148" s="589"/>
    </row>
    <row r="149" spans="1:14" ht="14.5" x14ac:dyDescent="0.35">
      <c r="A149" s="655">
        <v>24</v>
      </c>
      <c r="B149" s="943" t="s">
        <v>34</v>
      </c>
      <c r="C149" s="928"/>
      <c r="D149" s="928"/>
      <c r="E149" s="928"/>
      <c r="F149" s="928"/>
      <c r="G149" s="928"/>
      <c r="H149" s="928"/>
      <c r="I149" s="928"/>
      <c r="J149" s="928"/>
      <c r="K149" s="928"/>
      <c r="L149" s="928"/>
      <c r="M149" s="928"/>
      <c r="N149" s="928"/>
    </row>
    <row r="150" spans="1:14" x14ac:dyDescent="0.35">
      <c r="A150" s="655"/>
      <c r="B150" s="508" t="s">
        <v>960</v>
      </c>
      <c r="C150" s="588">
        <v>74</v>
      </c>
      <c r="D150" s="588">
        <v>136</v>
      </c>
      <c r="E150" s="588">
        <v>210</v>
      </c>
      <c r="F150" s="588">
        <v>10559</v>
      </c>
      <c r="G150" s="588">
        <v>12333</v>
      </c>
      <c r="H150" s="588">
        <v>22892</v>
      </c>
      <c r="I150" s="588">
        <v>2</v>
      </c>
      <c r="J150" s="588">
        <v>3</v>
      </c>
      <c r="K150" s="588">
        <v>5</v>
      </c>
      <c r="L150" s="588">
        <v>89</v>
      </c>
      <c r="M150" s="588">
        <v>74</v>
      </c>
      <c r="N150" s="588">
        <v>163</v>
      </c>
    </row>
    <row r="151" spans="1:14" x14ac:dyDescent="0.35">
      <c r="A151" s="655"/>
      <c r="B151" s="511" t="s">
        <v>959</v>
      </c>
      <c r="C151" s="589">
        <v>107</v>
      </c>
      <c r="D151" s="589">
        <v>134</v>
      </c>
      <c r="E151" s="589">
        <v>241</v>
      </c>
      <c r="F151" s="589">
        <v>10265</v>
      </c>
      <c r="G151" s="589">
        <v>12548</v>
      </c>
      <c r="H151" s="589">
        <v>22813</v>
      </c>
      <c r="I151" s="589">
        <v>11</v>
      </c>
      <c r="J151" s="589">
        <v>4</v>
      </c>
      <c r="K151" s="589">
        <v>15</v>
      </c>
      <c r="L151" s="589">
        <v>93</v>
      </c>
      <c r="M151" s="589">
        <v>256</v>
      </c>
      <c r="N151" s="589">
        <v>349</v>
      </c>
    </row>
    <row r="152" spans="1:14" x14ac:dyDescent="0.35">
      <c r="A152" s="655"/>
      <c r="B152" s="509" t="s">
        <v>958</v>
      </c>
      <c r="C152" s="589">
        <v>112</v>
      </c>
      <c r="D152" s="589">
        <v>141</v>
      </c>
      <c r="E152" s="589">
        <v>253</v>
      </c>
      <c r="F152" s="589">
        <v>8303</v>
      </c>
      <c r="G152" s="589">
        <v>9698</v>
      </c>
      <c r="H152" s="589">
        <v>18001</v>
      </c>
      <c r="I152" s="589">
        <v>14</v>
      </c>
      <c r="J152" s="589">
        <v>7</v>
      </c>
      <c r="K152" s="589">
        <v>21</v>
      </c>
      <c r="L152" s="589">
        <v>43</v>
      </c>
      <c r="M152" s="589">
        <v>260</v>
      </c>
      <c r="N152" s="589">
        <v>303</v>
      </c>
    </row>
    <row r="153" spans="1:14" x14ac:dyDescent="0.35">
      <c r="A153" s="655"/>
      <c r="B153" s="509" t="s">
        <v>957</v>
      </c>
      <c r="C153" s="590">
        <v>113</v>
      </c>
      <c r="D153" s="590">
        <v>144</v>
      </c>
      <c r="E153" s="590">
        <v>257</v>
      </c>
      <c r="F153" s="590">
        <v>4719</v>
      </c>
      <c r="G153" s="590">
        <v>6615</v>
      </c>
      <c r="H153" s="590">
        <v>11334</v>
      </c>
      <c r="I153" s="590">
        <v>3</v>
      </c>
      <c r="J153" s="590">
        <v>5</v>
      </c>
      <c r="K153" s="590">
        <v>8</v>
      </c>
      <c r="L153" s="590">
        <v>173</v>
      </c>
      <c r="M153" s="590">
        <v>60</v>
      </c>
      <c r="N153" s="590">
        <v>233</v>
      </c>
    </row>
    <row r="154" spans="1:14" x14ac:dyDescent="0.35">
      <c r="A154" s="655"/>
      <c r="B154" s="509" t="s">
        <v>956</v>
      </c>
      <c r="C154" s="590">
        <v>100</v>
      </c>
      <c r="D154" s="590">
        <v>112</v>
      </c>
      <c r="E154" s="590">
        <v>212</v>
      </c>
      <c r="F154" s="590">
        <v>7118</v>
      </c>
      <c r="G154" s="590">
        <v>8878</v>
      </c>
      <c r="H154" s="590">
        <v>15996</v>
      </c>
      <c r="I154" s="590">
        <v>17</v>
      </c>
      <c r="J154" s="590">
        <v>19</v>
      </c>
      <c r="K154" s="590">
        <v>36</v>
      </c>
      <c r="L154" s="589"/>
      <c r="M154" s="589"/>
      <c r="N154" s="589"/>
    </row>
    <row r="155" spans="1:14" ht="14.5" x14ac:dyDescent="0.35">
      <c r="A155" s="655">
        <v>25</v>
      </c>
      <c r="B155" s="943" t="s">
        <v>35</v>
      </c>
      <c r="C155" s="928"/>
      <c r="D155" s="928"/>
      <c r="E155" s="928"/>
      <c r="F155" s="928"/>
      <c r="G155" s="928"/>
      <c r="H155" s="928"/>
      <c r="I155" s="928"/>
      <c r="J155" s="928"/>
      <c r="K155" s="928"/>
      <c r="L155" s="928"/>
      <c r="M155" s="928"/>
      <c r="N155" s="928"/>
    </row>
    <row r="156" spans="1:14" x14ac:dyDescent="0.35">
      <c r="A156" s="655"/>
      <c r="B156" s="508" t="s">
        <v>960</v>
      </c>
      <c r="C156" s="588">
        <v>4876</v>
      </c>
      <c r="D156" s="588">
        <v>4406</v>
      </c>
      <c r="E156" s="588">
        <v>9282</v>
      </c>
      <c r="F156" s="588">
        <v>2497</v>
      </c>
      <c r="G156" s="588">
        <v>2788</v>
      </c>
      <c r="H156" s="588">
        <v>5285</v>
      </c>
      <c r="I156" s="588">
        <v>1528</v>
      </c>
      <c r="J156" s="588">
        <v>898</v>
      </c>
      <c r="K156" s="588">
        <v>2426</v>
      </c>
      <c r="L156" s="588">
        <v>8562</v>
      </c>
      <c r="M156" s="588">
        <v>6864</v>
      </c>
      <c r="N156" s="588">
        <v>15426</v>
      </c>
    </row>
    <row r="157" spans="1:14" x14ac:dyDescent="0.35">
      <c r="A157" s="655"/>
      <c r="B157" s="511" t="s">
        <v>959</v>
      </c>
      <c r="C157" s="589">
        <v>4742</v>
      </c>
      <c r="D157" s="589">
        <v>4477</v>
      </c>
      <c r="E157" s="589">
        <v>9219</v>
      </c>
      <c r="F157" s="589">
        <v>1753</v>
      </c>
      <c r="G157" s="589">
        <v>2376</v>
      </c>
      <c r="H157" s="589">
        <v>4129</v>
      </c>
      <c r="I157" s="589">
        <v>1065</v>
      </c>
      <c r="J157" s="589">
        <v>815</v>
      </c>
      <c r="K157" s="589">
        <v>1880</v>
      </c>
      <c r="L157" s="589">
        <v>9254</v>
      </c>
      <c r="M157" s="589">
        <v>8049</v>
      </c>
      <c r="N157" s="589">
        <v>17303</v>
      </c>
    </row>
    <row r="158" spans="1:14" x14ac:dyDescent="0.35">
      <c r="A158" s="655"/>
      <c r="B158" s="509" t="s">
        <v>958</v>
      </c>
      <c r="C158" s="589">
        <v>4412</v>
      </c>
      <c r="D158" s="589">
        <v>4097</v>
      </c>
      <c r="E158" s="589">
        <v>8509</v>
      </c>
      <c r="F158" s="589">
        <v>2468</v>
      </c>
      <c r="G158" s="589">
        <v>2478</v>
      </c>
      <c r="H158" s="589">
        <v>4946</v>
      </c>
      <c r="I158" s="589">
        <v>1214</v>
      </c>
      <c r="J158" s="589">
        <v>806</v>
      </c>
      <c r="K158" s="589">
        <v>2020</v>
      </c>
      <c r="L158" s="589">
        <v>13816</v>
      </c>
      <c r="M158" s="589">
        <v>9796</v>
      </c>
      <c r="N158" s="589">
        <v>23612</v>
      </c>
    </row>
    <row r="159" spans="1:14" x14ac:dyDescent="0.35">
      <c r="A159" s="655"/>
      <c r="B159" s="509" t="s">
        <v>957</v>
      </c>
      <c r="C159" s="590">
        <v>4728</v>
      </c>
      <c r="D159" s="590">
        <v>3759</v>
      </c>
      <c r="E159" s="590">
        <v>8487</v>
      </c>
      <c r="F159" s="590">
        <v>1562</v>
      </c>
      <c r="G159" s="590">
        <v>1548</v>
      </c>
      <c r="H159" s="590">
        <v>3110</v>
      </c>
      <c r="I159" s="590">
        <v>1041</v>
      </c>
      <c r="J159" s="590">
        <v>693</v>
      </c>
      <c r="K159" s="590">
        <v>1734</v>
      </c>
      <c r="L159" s="589">
        <v>7257</v>
      </c>
      <c r="M159" s="589">
        <v>7991</v>
      </c>
      <c r="N159" s="589">
        <v>15248</v>
      </c>
    </row>
    <row r="160" spans="1:14" x14ac:dyDescent="0.35">
      <c r="A160" s="655"/>
      <c r="B160" s="509" t="s">
        <v>956</v>
      </c>
      <c r="C160" s="590">
        <v>5614</v>
      </c>
      <c r="D160" s="590">
        <v>4232</v>
      </c>
      <c r="E160" s="590">
        <v>9846</v>
      </c>
      <c r="F160" s="590">
        <v>1641</v>
      </c>
      <c r="G160" s="590">
        <v>1918</v>
      </c>
      <c r="H160" s="590">
        <v>3559</v>
      </c>
      <c r="I160" s="590">
        <v>1358</v>
      </c>
      <c r="J160" s="590">
        <v>736</v>
      </c>
      <c r="K160" s="590">
        <v>2094</v>
      </c>
      <c r="L160" s="589"/>
      <c r="M160" s="589"/>
      <c r="N160" s="589"/>
    </row>
    <row r="161" spans="1:14" ht="14.5" x14ac:dyDescent="0.35">
      <c r="A161" s="655">
        <v>26</v>
      </c>
      <c r="B161" s="943" t="s">
        <v>36</v>
      </c>
      <c r="C161" s="928"/>
      <c r="D161" s="928"/>
      <c r="E161" s="928"/>
      <c r="F161" s="928"/>
      <c r="G161" s="928"/>
      <c r="H161" s="928"/>
      <c r="I161" s="928"/>
      <c r="J161" s="928"/>
      <c r="K161" s="928"/>
      <c r="L161" s="928"/>
      <c r="M161" s="928"/>
      <c r="N161" s="928"/>
    </row>
    <row r="162" spans="1:14" x14ac:dyDescent="0.35">
      <c r="A162" s="655"/>
      <c r="B162" s="508" t="s">
        <v>960</v>
      </c>
      <c r="C162" s="588">
        <v>2210.0040322580635</v>
      </c>
      <c r="D162" s="588">
        <v>2568.0967741935483</v>
      </c>
      <c r="E162" s="588">
        <v>4778.1008064516118</v>
      </c>
      <c r="F162" s="588">
        <v>1591.8669354838703</v>
      </c>
      <c r="G162" s="588">
        <v>2473.6330645161288</v>
      </c>
      <c r="H162" s="588">
        <v>4065.4999999999991</v>
      </c>
      <c r="I162" s="588">
        <v>137.30645161290323</v>
      </c>
      <c r="J162" s="588">
        <v>70.879032258064512</v>
      </c>
      <c r="K162" s="588">
        <v>208.18548387096774</v>
      </c>
      <c r="L162" s="588">
        <v>749.24193548387086</v>
      </c>
      <c r="M162" s="588">
        <v>530.19354838709671</v>
      </c>
      <c r="N162" s="588">
        <v>1279.4354838709676</v>
      </c>
    </row>
    <row r="163" spans="1:14" x14ac:dyDescent="0.35">
      <c r="A163" s="655"/>
      <c r="B163" s="511" t="s">
        <v>959</v>
      </c>
      <c r="C163" s="589">
        <v>1554.435964912281</v>
      </c>
      <c r="D163" s="589">
        <v>1853.863157894737</v>
      </c>
      <c r="E163" s="589">
        <v>3408.2991228070182</v>
      </c>
      <c r="F163" s="589">
        <v>822.70701754385959</v>
      </c>
      <c r="G163" s="589">
        <v>1891.4552631578949</v>
      </c>
      <c r="H163" s="589">
        <v>2714.1622807017538</v>
      </c>
      <c r="I163" s="589">
        <v>126.65526315789469</v>
      </c>
      <c r="J163" s="589">
        <v>147.11315789473679</v>
      </c>
      <c r="K163" s="589">
        <v>273.7684210526316</v>
      </c>
      <c r="L163" s="589">
        <v>450.65614035087719</v>
      </c>
      <c r="M163" s="589">
        <v>350.54035087719302</v>
      </c>
      <c r="N163" s="589">
        <v>801.19649122807016</v>
      </c>
    </row>
    <row r="164" spans="1:14" x14ac:dyDescent="0.35">
      <c r="A164" s="655"/>
      <c r="B164" s="509" t="s">
        <v>958</v>
      </c>
      <c r="C164" s="589">
        <v>1565</v>
      </c>
      <c r="D164" s="589">
        <v>1705</v>
      </c>
      <c r="E164" s="589">
        <v>3270</v>
      </c>
      <c r="F164" s="589">
        <v>1035</v>
      </c>
      <c r="G164" s="589">
        <v>2012</v>
      </c>
      <c r="H164" s="589">
        <v>3047</v>
      </c>
      <c r="I164" s="589">
        <v>94</v>
      </c>
      <c r="J164" s="589">
        <v>193</v>
      </c>
      <c r="K164" s="589">
        <v>287</v>
      </c>
      <c r="L164" s="589">
        <v>233</v>
      </c>
      <c r="M164" s="589">
        <v>150</v>
      </c>
      <c r="N164" s="589">
        <v>383</v>
      </c>
    </row>
    <row r="165" spans="1:14" x14ac:dyDescent="0.35">
      <c r="A165" s="655"/>
      <c r="B165" s="509" t="s">
        <v>957</v>
      </c>
      <c r="C165" s="590">
        <v>1202</v>
      </c>
      <c r="D165" s="590">
        <v>1139</v>
      </c>
      <c r="E165" s="590">
        <v>2341</v>
      </c>
      <c r="F165" s="590">
        <v>851</v>
      </c>
      <c r="G165" s="590">
        <v>1866</v>
      </c>
      <c r="H165" s="590">
        <v>2717</v>
      </c>
      <c r="I165" s="590">
        <v>120</v>
      </c>
      <c r="J165" s="590">
        <v>202</v>
      </c>
      <c r="K165" s="590">
        <v>322</v>
      </c>
      <c r="L165" s="590">
        <v>176</v>
      </c>
      <c r="M165" s="590">
        <v>122</v>
      </c>
      <c r="N165" s="590">
        <v>298</v>
      </c>
    </row>
    <row r="166" spans="1:14" x14ac:dyDescent="0.35">
      <c r="A166" s="655"/>
      <c r="B166" s="509" t="s">
        <v>956</v>
      </c>
      <c r="C166" s="590">
        <v>1637</v>
      </c>
      <c r="D166" s="590">
        <v>1489</v>
      </c>
      <c r="E166" s="590">
        <v>3126</v>
      </c>
      <c r="F166" s="590">
        <v>1013</v>
      </c>
      <c r="G166" s="590">
        <v>2025</v>
      </c>
      <c r="H166" s="590">
        <v>3038</v>
      </c>
      <c r="I166" s="590">
        <v>131</v>
      </c>
      <c r="J166" s="590">
        <v>154</v>
      </c>
      <c r="K166" s="590">
        <v>285</v>
      </c>
      <c r="L166" s="589"/>
      <c r="M166" s="589"/>
      <c r="N166" s="589"/>
    </row>
    <row r="167" spans="1:14" ht="14.5" x14ac:dyDescent="0.35">
      <c r="A167" s="655">
        <v>27</v>
      </c>
      <c r="B167" s="943" t="s">
        <v>37</v>
      </c>
      <c r="C167" s="928"/>
      <c r="D167" s="928"/>
      <c r="E167" s="928"/>
      <c r="F167" s="928"/>
      <c r="G167" s="928"/>
      <c r="H167" s="928"/>
      <c r="I167" s="928"/>
      <c r="J167" s="928"/>
      <c r="K167" s="928"/>
      <c r="L167" s="928"/>
      <c r="M167" s="928"/>
      <c r="N167" s="928"/>
    </row>
    <row r="168" spans="1:14" x14ac:dyDescent="0.35">
      <c r="A168" s="655"/>
      <c r="B168" s="508" t="s">
        <v>960</v>
      </c>
      <c r="C168" s="588">
        <v>12613</v>
      </c>
      <c r="D168" s="588">
        <v>6072</v>
      </c>
      <c r="E168" s="588">
        <v>18685</v>
      </c>
      <c r="F168" s="588">
        <v>58539</v>
      </c>
      <c r="G168" s="588">
        <v>64550</v>
      </c>
      <c r="H168" s="588">
        <v>123089</v>
      </c>
      <c r="I168" s="588">
        <v>545</v>
      </c>
      <c r="J168" s="588">
        <v>296</v>
      </c>
      <c r="K168" s="588">
        <v>841</v>
      </c>
      <c r="L168" s="588">
        <v>5797</v>
      </c>
      <c r="M168" s="588">
        <v>6985</v>
      </c>
      <c r="N168" s="588">
        <v>12782</v>
      </c>
    </row>
    <row r="169" spans="1:14" x14ac:dyDescent="0.35">
      <c r="A169" s="655"/>
      <c r="B169" s="511" t="s">
        <v>959</v>
      </c>
      <c r="C169" s="589">
        <v>14102.04347826087</v>
      </c>
      <c r="D169" s="589">
        <v>6640.086956521739</v>
      </c>
      <c r="E169" s="589">
        <v>20742.130434782612</v>
      </c>
      <c r="F169" s="589">
        <v>65424.72463768116</v>
      </c>
      <c r="G169" s="589">
        <v>77176.268115942032</v>
      </c>
      <c r="H169" s="589">
        <v>142600.9927536232</v>
      </c>
      <c r="I169" s="589">
        <v>759.04347826086962</v>
      </c>
      <c r="J169" s="589">
        <v>397.04347826086962</v>
      </c>
      <c r="K169" s="589">
        <v>1156.086956521739</v>
      </c>
      <c r="L169" s="589">
        <v>8171.130434782609</v>
      </c>
      <c r="M169" s="589">
        <v>6279.130434782609</v>
      </c>
      <c r="N169" s="589">
        <v>14450.26086956522</v>
      </c>
    </row>
    <row r="170" spans="1:14" x14ac:dyDescent="0.35">
      <c r="A170" s="655"/>
      <c r="B170" s="509" t="s">
        <v>958</v>
      </c>
      <c r="C170" s="589">
        <v>14277</v>
      </c>
      <c r="D170" s="589">
        <v>5640</v>
      </c>
      <c r="E170" s="589">
        <v>19917</v>
      </c>
      <c r="F170" s="589">
        <v>60736</v>
      </c>
      <c r="G170" s="589">
        <v>69745</v>
      </c>
      <c r="H170" s="589">
        <v>130481</v>
      </c>
      <c r="I170" s="589">
        <v>599</v>
      </c>
      <c r="J170" s="589">
        <v>468</v>
      </c>
      <c r="K170" s="589">
        <v>1067</v>
      </c>
      <c r="L170" s="589">
        <v>6712</v>
      </c>
      <c r="M170" s="589">
        <v>5732</v>
      </c>
      <c r="N170" s="589">
        <v>12444</v>
      </c>
    </row>
    <row r="171" spans="1:14" x14ac:dyDescent="0.35">
      <c r="A171" s="655"/>
      <c r="B171" s="509" t="s">
        <v>957</v>
      </c>
      <c r="C171" s="590">
        <v>11803</v>
      </c>
      <c r="D171" s="590">
        <v>4682</v>
      </c>
      <c r="E171" s="590">
        <v>16485</v>
      </c>
      <c r="F171" s="590">
        <v>53417</v>
      </c>
      <c r="G171" s="590">
        <v>65836</v>
      </c>
      <c r="H171" s="590">
        <v>119253</v>
      </c>
      <c r="I171" s="590">
        <v>318</v>
      </c>
      <c r="J171" s="590">
        <v>255</v>
      </c>
      <c r="K171" s="590">
        <v>573</v>
      </c>
      <c r="L171" s="591">
        <v>5937</v>
      </c>
      <c r="M171" s="591">
        <v>3337</v>
      </c>
      <c r="N171" s="591">
        <v>9274</v>
      </c>
    </row>
    <row r="172" spans="1:14" x14ac:dyDescent="0.35">
      <c r="A172" s="655"/>
      <c r="B172" s="509" t="s">
        <v>956</v>
      </c>
      <c r="C172" s="590">
        <v>9558</v>
      </c>
      <c r="D172" s="590">
        <v>4226</v>
      </c>
      <c r="E172" s="590">
        <v>13784</v>
      </c>
      <c r="F172" s="590">
        <v>65018</v>
      </c>
      <c r="G172" s="590">
        <v>77450</v>
      </c>
      <c r="H172" s="590">
        <v>142468</v>
      </c>
      <c r="I172" s="590">
        <v>427</v>
      </c>
      <c r="J172" s="590">
        <v>311</v>
      </c>
      <c r="K172" s="590">
        <v>738</v>
      </c>
      <c r="L172" s="589"/>
      <c r="M172" s="589"/>
      <c r="N172" s="589"/>
    </row>
    <row r="173" spans="1:14" ht="14.5" x14ac:dyDescent="0.35">
      <c r="A173" s="655">
        <v>28</v>
      </c>
      <c r="B173" s="943" t="s">
        <v>38</v>
      </c>
      <c r="C173" s="928"/>
      <c r="D173" s="928"/>
      <c r="E173" s="928"/>
      <c r="F173" s="928"/>
      <c r="G173" s="928"/>
      <c r="H173" s="928"/>
      <c r="I173" s="928"/>
      <c r="J173" s="928"/>
      <c r="K173" s="928"/>
      <c r="L173" s="928"/>
      <c r="M173" s="928"/>
      <c r="N173" s="928"/>
    </row>
    <row r="174" spans="1:14" x14ac:dyDescent="0.35">
      <c r="A174" s="655"/>
      <c r="B174" s="508" t="s">
        <v>960</v>
      </c>
      <c r="C174" s="588">
        <v>26136.083806331495</v>
      </c>
      <c r="D174" s="588">
        <v>23587.525568866964</v>
      </c>
      <c r="E174" s="588">
        <v>49723.609375198459</v>
      </c>
      <c r="F174" s="588">
        <v>10529.187600011745</v>
      </c>
      <c r="G174" s="588">
        <v>9940.8542989072848</v>
      </c>
      <c r="H174" s="588">
        <v>20470.041898919029</v>
      </c>
      <c r="I174" s="588">
        <v>3017.4228481660393</v>
      </c>
      <c r="J174" s="588">
        <v>1679.0407692716401</v>
      </c>
      <c r="K174" s="588">
        <v>4696.4636174376792</v>
      </c>
      <c r="L174" s="588">
        <v>52365.192480995247</v>
      </c>
      <c r="M174" s="588">
        <v>51949.617957163573</v>
      </c>
      <c r="N174" s="588">
        <v>104314.81043815882</v>
      </c>
    </row>
    <row r="175" spans="1:14" x14ac:dyDescent="0.35">
      <c r="A175" s="655"/>
      <c r="B175" s="511" t="s">
        <v>959</v>
      </c>
      <c r="C175" s="589">
        <v>24939.602585027889</v>
      </c>
      <c r="D175" s="589">
        <v>20684.07973312938</v>
      </c>
      <c r="E175" s="589">
        <v>45623.682318157269</v>
      </c>
      <c r="F175" s="589">
        <v>12334.270878827479</v>
      </c>
      <c r="G175" s="589">
        <v>11531.61566333987</v>
      </c>
      <c r="H175" s="589">
        <v>23865.886542167362</v>
      </c>
      <c r="I175" s="589">
        <v>3479.7929601983128</v>
      </c>
      <c r="J175" s="589">
        <v>1336.081797760839</v>
      </c>
      <c r="K175" s="589">
        <v>4815.8747579591518</v>
      </c>
      <c r="L175" s="589">
        <v>42712.897217835118</v>
      </c>
      <c r="M175" s="589">
        <v>41684.727387631603</v>
      </c>
      <c r="N175" s="589">
        <v>84397.624605466714</v>
      </c>
    </row>
    <row r="176" spans="1:14" x14ac:dyDescent="0.35">
      <c r="A176" s="655"/>
      <c r="B176" s="509" t="s">
        <v>958</v>
      </c>
      <c r="C176" s="589">
        <v>26212</v>
      </c>
      <c r="D176" s="589">
        <v>20199</v>
      </c>
      <c r="E176" s="589">
        <v>46411</v>
      </c>
      <c r="F176" s="589">
        <v>9186</v>
      </c>
      <c r="G176" s="589">
        <v>10366</v>
      </c>
      <c r="H176" s="589">
        <v>19552</v>
      </c>
      <c r="I176" s="589">
        <v>3563</v>
      </c>
      <c r="J176" s="589">
        <v>1661</v>
      </c>
      <c r="K176" s="589">
        <v>5224</v>
      </c>
      <c r="L176" s="589">
        <v>24977</v>
      </c>
      <c r="M176" s="589">
        <v>25717</v>
      </c>
      <c r="N176" s="589">
        <v>50694</v>
      </c>
    </row>
    <row r="177" spans="1:14" x14ac:dyDescent="0.35">
      <c r="A177" s="655"/>
      <c r="B177" s="509" t="s">
        <v>957</v>
      </c>
      <c r="C177" s="590">
        <v>24356</v>
      </c>
      <c r="D177" s="590">
        <v>18634</v>
      </c>
      <c r="E177" s="590">
        <v>42990</v>
      </c>
      <c r="F177" s="590">
        <v>8595</v>
      </c>
      <c r="G177" s="590">
        <v>11274</v>
      </c>
      <c r="H177" s="590">
        <v>19869</v>
      </c>
      <c r="I177" s="590">
        <v>4579</v>
      </c>
      <c r="J177" s="590">
        <v>1729</v>
      </c>
      <c r="K177" s="590">
        <v>6308</v>
      </c>
      <c r="L177" s="591">
        <v>14756</v>
      </c>
      <c r="M177" s="591">
        <v>13941</v>
      </c>
      <c r="N177" s="591">
        <v>28697</v>
      </c>
    </row>
    <row r="178" spans="1:14" x14ac:dyDescent="0.35">
      <c r="A178" s="655"/>
      <c r="B178" s="509" t="s">
        <v>956</v>
      </c>
      <c r="C178" s="590">
        <v>25128</v>
      </c>
      <c r="D178" s="590">
        <v>19055</v>
      </c>
      <c r="E178" s="590">
        <v>44183</v>
      </c>
      <c r="F178" s="590">
        <v>8366</v>
      </c>
      <c r="G178" s="590">
        <v>10998</v>
      </c>
      <c r="H178" s="590">
        <v>19364</v>
      </c>
      <c r="I178" s="590">
        <v>3442</v>
      </c>
      <c r="J178" s="590">
        <v>6519</v>
      </c>
      <c r="K178" s="590">
        <v>9961</v>
      </c>
      <c r="L178" s="589"/>
      <c r="M178" s="589"/>
      <c r="N178" s="589"/>
    </row>
    <row r="179" spans="1:14" ht="14.5" x14ac:dyDescent="0.35">
      <c r="A179" s="655">
        <v>29</v>
      </c>
      <c r="B179" s="943" t="s">
        <v>39</v>
      </c>
      <c r="C179" s="928"/>
      <c r="D179" s="928"/>
      <c r="E179" s="928"/>
      <c r="F179" s="928"/>
      <c r="G179" s="928"/>
      <c r="H179" s="928"/>
      <c r="I179" s="928"/>
      <c r="J179" s="928"/>
      <c r="K179" s="928"/>
      <c r="L179" s="928"/>
      <c r="M179" s="928"/>
      <c r="N179" s="928"/>
    </row>
    <row r="180" spans="1:14" x14ac:dyDescent="0.35">
      <c r="A180" s="655"/>
      <c r="B180" s="508" t="s">
        <v>960</v>
      </c>
      <c r="C180" s="588">
        <v>46</v>
      </c>
      <c r="D180" s="588">
        <v>36</v>
      </c>
      <c r="E180" s="588">
        <v>82</v>
      </c>
      <c r="F180" s="588">
        <v>538</v>
      </c>
      <c r="G180" s="588">
        <v>571</v>
      </c>
      <c r="H180" s="588">
        <v>1109</v>
      </c>
      <c r="I180" s="588">
        <v>21</v>
      </c>
      <c r="J180" s="588">
        <v>13</v>
      </c>
      <c r="K180" s="588">
        <v>34</v>
      </c>
      <c r="L180" s="588">
        <v>124</v>
      </c>
      <c r="M180" s="588">
        <v>124</v>
      </c>
      <c r="N180" s="588">
        <v>248</v>
      </c>
    </row>
    <row r="181" spans="1:14" x14ac:dyDescent="0.35">
      <c r="A181" s="655"/>
      <c r="B181" s="511" t="s">
        <v>959</v>
      </c>
      <c r="C181" s="589">
        <v>108</v>
      </c>
      <c r="D181" s="589">
        <v>60.333333333333343</v>
      </c>
      <c r="E181" s="589">
        <v>168.33333333333329</v>
      </c>
      <c r="F181" s="589">
        <v>1019.444444444444</v>
      </c>
      <c r="G181" s="589">
        <v>1394.8888888888889</v>
      </c>
      <c r="H181" s="589">
        <v>2414.333333333333</v>
      </c>
      <c r="I181" s="589">
        <v>17</v>
      </c>
      <c r="J181" s="589">
        <v>7</v>
      </c>
      <c r="K181" s="589">
        <v>24</v>
      </c>
      <c r="L181" s="589">
        <v>135</v>
      </c>
      <c r="M181" s="589">
        <v>88</v>
      </c>
      <c r="N181" s="589">
        <v>223</v>
      </c>
    </row>
    <row r="182" spans="1:14" x14ac:dyDescent="0.35">
      <c r="A182" s="655"/>
      <c r="B182" s="509" t="s">
        <v>958</v>
      </c>
      <c r="C182" s="589">
        <v>111</v>
      </c>
      <c r="D182" s="589">
        <v>51</v>
      </c>
      <c r="E182" s="589">
        <v>162</v>
      </c>
      <c r="F182" s="589">
        <v>889</v>
      </c>
      <c r="G182" s="589">
        <v>1368</v>
      </c>
      <c r="H182" s="589">
        <v>2257</v>
      </c>
      <c r="I182" s="589">
        <v>17</v>
      </c>
      <c r="J182" s="589">
        <v>3</v>
      </c>
      <c r="K182" s="589">
        <v>20</v>
      </c>
      <c r="L182" s="589">
        <v>140</v>
      </c>
      <c r="M182" s="589">
        <v>139</v>
      </c>
      <c r="N182" s="589">
        <v>279</v>
      </c>
    </row>
    <row r="183" spans="1:14" x14ac:dyDescent="0.35">
      <c r="A183" s="655"/>
      <c r="B183" s="509" t="s">
        <v>957</v>
      </c>
      <c r="C183" s="590">
        <v>102</v>
      </c>
      <c r="D183" s="590">
        <v>45</v>
      </c>
      <c r="E183" s="590">
        <v>147</v>
      </c>
      <c r="F183" s="590">
        <v>572</v>
      </c>
      <c r="G183" s="590">
        <v>784</v>
      </c>
      <c r="H183" s="590">
        <v>1356</v>
      </c>
      <c r="I183" s="590">
        <v>7</v>
      </c>
      <c r="J183" s="590">
        <v>1</v>
      </c>
      <c r="K183" s="590">
        <v>8</v>
      </c>
      <c r="L183" s="591">
        <v>46</v>
      </c>
      <c r="M183" s="591">
        <v>41</v>
      </c>
      <c r="N183" s="591">
        <v>87</v>
      </c>
    </row>
    <row r="184" spans="1:14" x14ac:dyDescent="0.35">
      <c r="A184" s="655"/>
      <c r="B184" s="509" t="s">
        <v>956</v>
      </c>
      <c r="C184" s="590">
        <v>96</v>
      </c>
      <c r="D184" s="590">
        <v>50</v>
      </c>
      <c r="E184" s="590">
        <v>146</v>
      </c>
      <c r="F184" s="590">
        <v>223</v>
      </c>
      <c r="G184" s="590">
        <v>502</v>
      </c>
      <c r="H184" s="590">
        <v>725</v>
      </c>
      <c r="I184" s="590">
        <v>8</v>
      </c>
      <c r="J184" s="590">
        <v>4</v>
      </c>
      <c r="K184" s="590">
        <v>12</v>
      </c>
      <c r="L184" s="589"/>
      <c r="M184" s="589"/>
      <c r="N184" s="589"/>
    </row>
    <row r="185" spans="1:14" ht="14.5" x14ac:dyDescent="0.35">
      <c r="A185" s="655">
        <v>30</v>
      </c>
      <c r="B185" s="943" t="s">
        <v>40</v>
      </c>
      <c r="C185" s="928"/>
      <c r="D185" s="928"/>
      <c r="E185" s="928"/>
      <c r="F185" s="928"/>
      <c r="G185" s="928"/>
      <c r="H185" s="928"/>
      <c r="I185" s="928"/>
      <c r="J185" s="928"/>
      <c r="K185" s="928"/>
      <c r="L185" s="928"/>
      <c r="M185" s="928"/>
      <c r="N185" s="928"/>
    </row>
    <row r="186" spans="1:14" x14ac:dyDescent="0.35">
      <c r="A186" s="655"/>
      <c r="B186" s="508" t="s">
        <v>960</v>
      </c>
      <c r="C186" s="588">
        <v>76986.194710788201</v>
      </c>
      <c r="D186" s="588">
        <v>64905.7652578005</v>
      </c>
      <c r="E186" s="588">
        <v>141891.95996858869</v>
      </c>
      <c r="F186" s="588">
        <v>114657.22557432459</v>
      </c>
      <c r="G186" s="588">
        <v>126664.69746260658</v>
      </c>
      <c r="H186" s="588">
        <v>241321.92303693117</v>
      </c>
      <c r="I186" s="588">
        <v>6426.8851602269806</v>
      </c>
      <c r="J186" s="588">
        <v>6869.8440474336585</v>
      </c>
      <c r="K186" s="588">
        <v>13296.729207660639</v>
      </c>
      <c r="L186" s="588">
        <v>20906.287914435179</v>
      </c>
      <c r="M186" s="588">
        <v>15378.144666478856</v>
      </c>
      <c r="N186" s="588">
        <v>36284.432580914035</v>
      </c>
    </row>
    <row r="187" spans="1:14" x14ac:dyDescent="0.35">
      <c r="A187" s="655"/>
      <c r="B187" s="511" t="s">
        <v>959</v>
      </c>
      <c r="C187" s="589">
        <v>73836.922702221491</v>
      </c>
      <c r="D187" s="589">
        <v>58283.221086406636</v>
      </c>
      <c r="E187" s="589">
        <v>132120.14378862811</v>
      </c>
      <c r="F187" s="589">
        <v>88871.926079449913</v>
      </c>
      <c r="G187" s="589">
        <v>98186.638239805601</v>
      </c>
      <c r="H187" s="589">
        <v>187058.5643192555</v>
      </c>
      <c r="I187" s="589">
        <v>5241.5835822219406</v>
      </c>
      <c r="J187" s="589">
        <v>5389.8641324714208</v>
      </c>
      <c r="K187" s="589">
        <v>10631.44771469336</v>
      </c>
      <c r="L187" s="589">
        <v>17761.111193141882</v>
      </c>
      <c r="M187" s="589">
        <v>13056.00413353711</v>
      </c>
      <c r="N187" s="589">
        <v>30817.115326678981</v>
      </c>
    </row>
    <row r="188" spans="1:14" x14ac:dyDescent="0.35">
      <c r="A188" s="655"/>
      <c r="B188" s="509" t="s">
        <v>958</v>
      </c>
      <c r="C188" s="589">
        <v>64355</v>
      </c>
      <c r="D188" s="589">
        <v>51335</v>
      </c>
      <c r="E188" s="589">
        <v>115690</v>
      </c>
      <c r="F188" s="589">
        <v>82102</v>
      </c>
      <c r="G188" s="589">
        <v>86618</v>
      </c>
      <c r="H188" s="589">
        <v>168720</v>
      </c>
      <c r="I188" s="589">
        <v>4141</v>
      </c>
      <c r="J188" s="589">
        <v>4670</v>
      </c>
      <c r="K188" s="589">
        <v>8811</v>
      </c>
      <c r="L188" s="589">
        <v>15193</v>
      </c>
      <c r="M188" s="589">
        <v>14612</v>
      </c>
      <c r="N188" s="589">
        <v>29805</v>
      </c>
    </row>
    <row r="189" spans="1:14" x14ac:dyDescent="0.35">
      <c r="A189" s="655"/>
      <c r="B189" s="509" t="s">
        <v>957</v>
      </c>
      <c r="C189" s="590">
        <v>65103</v>
      </c>
      <c r="D189" s="590">
        <v>49869</v>
      </c>
      <c r="E189" s="590">
        <v>114972</v>
      </c>
      <c r="F189" s="590">
        <v>76594</v>
      </c>
      <c r="G189" s="590">
        <v>85648</v>
      </c>
      <c r="H189" s="590">
        <v>162242</v>
      </c>
      <c r="I189" s="590">
        <v>2831</v>
      </c>
      <c r="J189" s="590">
        <v>2038</v>
      </c>
      <c r="K189" s="590">
        <v>4869</v>
      </c>
      <c r="L189" s="591">
        <v>20557</v>
      </c>
      <c r="M189" s="591">
        <v>18667</v>
      </c>
      <c r="N189" s="591">
        <v>39224</v>
      </c>
    </row>
    <row r="190" spans="1:14" x14ac:dyDescent="0.35">
      <c r="A190" s="655"/>
      <c r="B190" s="509" t="s">
        <v>956</v>
      </c>
      <c r="C190" s="590">
        <v>72794</v>
      </c>
      <c r="D190" s="590">
        <v>56771</v>
      </c>
      <c r="E190" s="590">
        <v>129565</v>
      </c>
      <c r="F190" s="590">
        <v>76670</v>
      </c>
      <c r="G190" s="590">
        <v>87694</v>
      </c>
      <c r="H190" s="590">
        <v>164364</v>
      </c>
      <c r="I190" s="590">
        <v>3464</v>
      </c>
      <c r="J190" s="590">
        <v>7437</v>
      </c>
      <c r="K190" s="590">
        <v>10901</v>
      </c>
      <c r="L190" s="589"/>
      <c r="M190" s="589"/>
      <c r="N190" s="589"/>
    </row>
    <row r="191" spans="1:14" x14ac:dyDescent="0.35">
      <c r="A191" s="655">
        <v>31</v>
      </c>
      <c r="B191" s="508" t="s">
        <v>41</v>
      </c>
      <c r="C191" s="588"/>
      <c r="D191" s="588"/>
      <c r="E191" s="588"/>
      <c r="F191" s="588"/>
      <c r="G191" s="588"/>
      <c r="H191" s="588"/>
      <c r="I191" s="588"/>
      <c r="J191" s="588"/>
      <c r="K191" s="588"/>
      <c r="L191" s="588"/>
      <c r="M191" s="588"/>
      <c r="N191" s="588"/>
    </row>
    <row r="192" spans="1:14" x14ac:dyDescent="0.35">
      <c r="A192" s="655"/>
      <c r="B192" s="508" t="s">
        <v>960</v>
      </c>
      <c r="C192" s="588">
        <v>82430.305003772271</v>
      </c>
      <c r="D192" s="588">
        <v>81036.096708236772</v>
      </c>
      <c r="E192" s="588">
        <v>163466.40171200904</v>
      </c>
      <c r="F192" s="588">
        <v>4440.535234590654</v>
      </c>
      <c r="G192" s="588">
        <v>7491.1106683315775</v>
      </c>
      <c r="H192" s="588">
        <v>11931.645902922231</v>
      </c>
      <c r="I192" s="588">
        <v>3367.6277280919626</v>
      </c>
      <c r="J192" s="588">
        <v>1918.6797311479827</v>
      </c>
      <c r="K192" s="588">
        <v>5286.3074592399453</v>
      </c>
      <c r="L192" s="588">
        <v>14925.409031476007</v>
      </c>
      <c r="M192" s="588">
        <v>14396.042842297618</v>
      </c>
      <c r="N192" s="588">
        <v>29321.451873773625</v>
      </c>
    </row>
    <row r="193" spans="1:14" x14ac:dyDescent="0.35">
      <c r="A193" s="655"/>
      <c r="B193" s="511" t="s">
        <v>959</v>
      </c>
      <c r="C193" s="589">
        <v>76602.082872730476</v>
      </c>
      <c r="D193" s="589">
        <v>66549.514660938847</v>
      </c>
      <c r="E193" s="589">
        <v>143151.59753366929</v>
      </c>
      <c r="F193" s="589">
        <v>4960.3106350553207</v>
      </c>
      <c r="G193" s="589">
        <v>9566.8534900354298</v>
      </c>
      <c r="H193" s="589">
        <v>14527.164125090751</v>
      </c>
      <c r="I193" s="589">
        <v>3888.7901680634441</v>
      </c>
      <c r="J193" s="589">
        <v>2241.6949924900368</v>
      </c>
      <c r="K193" s="589">
        <v>6130.4851605534814</v>
      </c>
      <c r="L193" s="589">
        <v>13650.553224743689</v>
      </c>
      <c r="M193" s="589">
        <v>13847.292060055859</v>
      </c>
      <c r="N193" s="589">
        <v>27497.84528479955</v>
      </c>
    </row>
    <row r="194" spans="1:14" x14ac:dyDescent="0.35">
      <c r="A194" s="655"/>
      <c r="B194" s="509" t="s">
        <v>958</v>
      </c>
      <c r="C194" s="589">
        <v>64775</v>
      </c>
      <c r="D194" s="589">
        <v>56543</v>
      </c>
      <c r="E194" s="589">
        <v>121318</v>
      </c>
      <c r="F194" s="589">
        <v>4036</v>
      </c>
      <c r="G194" s="589">
        <v>5531</v>
      </c>
      <c r="H194" s="589">
        <v>9567</v>
      </c>
      <c r="I194" s="589">
        <v>2371</v>
      </c>
      <c r="J194" s="589">
        <v>1618</v>
      </c>
      <c r="K194" s="589">
        <v>3989</v>
      </c>
      <c r="L194" s="589">
        <v>10800</v>
      </c>
      <c r="M194" s="589">
        <v>10724</v>
      </c>
      <c r="N194" s="589">
        <v>21524</v>
      </c>
    </row>
    <row r="195" spans="1:14" x14ac:dyDescent="0.35">
      <c r="A195" s="655"/>
      <c r="B195" s="509" t="s">
        <v>957</v>
      </c>
      <c r="C195" s="590">
        <v>65893</v>
      </c>
      <c r="D195" s="590">
        <v>63061</v>
      </c>
      <c r="E195" s="590">
        <v>128954</v>
      </c>
      <c r="F195" s="590">
        <v>3769</v>
      </c>
      <c r="G195" s="590">
        <v>5896</v>
      </c>
      <c r="H195" s="590">
        <v>9665</v>
      </c>
      <c r="I195" s="590">
        <v>1761</v>
      </c>
      <c r="J195" s="590">
        <v>1343</v>
      </c>
      <c r="K195" s="590">
        <v>3104</v>
      </c>
      <c r="L195" s="591">
        <v>7201</v>
      </c>
      <c r="M195" s="591">
        <v>7214</v>
      </c>
      <c r="N195" s="591">
        <v>14415</v>
      </c>
    </row>
    <row r="196" spans="1:14" x14ac:dyDescent="0.35">
      <c r="A196" s="655"/>
      <c r="B196" s="509" t="s">
        <v>956</v>
      </c>
      <c r="C196" s="590">
        <v>62229</v>
      </c>
      <c r="D196" s="590">
        <v>59689</v>
      </c>
      <c r="E196" s="590">
        <v>121918</v>
      </c>
      <c r="F196" s="590">
        <v>3744</v>
      </c>
      <c r="G196" s="590">
        <v>5161</v>
      </c>
      <c r="H196" s="590">
        <v>8905</v>
      </c>
      <c r="I196" s="590">
        <v>1468</v>
      </c>
      <c r="J196" s="590">
        <v>1472</v>
      </c>
      <c r="K196" s="590">
        <v>2940</v>
      </c>
      <c r="L196" s="589"/>
      <c r="M196" s="589"/>
      <c r="N196" s="589"/>
    </row>
    <row r="197" spans="1:14" ht="14.5" x14ac:dyDescent="0.35">
      <c r="A197" s="655">
        <v>32</v>
      </c>
      <c r="B197" s="944" t="s">
        <v>58</v>
      </c>
      <c r="C197" s="928"/>
      <c r="D197" s="928"/>
      <c r="E197" s="928"/>
      <c r="F197" s="928"/>
      <c r="G197" s="928"/>
      <c r="H197" s="928"/>
      <c r="I197" s="928"/>
      <c r="J197" s="928"/>
      <c r="K197" s="928"/>
      <c r="L197" s="928"/>
      <c r="M197" s="928"/>
      <c r="N197" s="928"/>
    </row>
    <row r="198" spans="1:14" x14ac:dyDescent="0.35">
      <c r="A198" s="655"/>
      <c r="B198" s="508" t="s">
        <v>960</v>
      </c>
      <c r="C198" s="630">
        <v>128</v>
      </c>
      <c r="D198" s="630">
        <v>121</v>
      </c>
      <c r="E198" s="630">
        <v>249</v>
      </c>
      <c r="F198" s="630">
        <v>24</v>
      </c>
      <c r="G198" s="630">
        <v>64</v>
      </c>
      <c r="H198" s="630">
        <v>88</v>
      </c>
      <c r="I198" s="630">
        <v>7</v>
      </c>
      <c r="J198" s="630">
        <v>4</v>
      </c>
      <c r="K198" s="630">
        <v>11</v>
      </c>
      <c r="L198" s="630">
        <v>82</v>
      </c>
      <c r="M198" s="630">
        <v>47</v>
      </c>
      <c r="N198" s="630">
        <v>129</v>
      </c>
    </row>
    <row r="199" spans="1:14" x14ac:dyDescent="0.35">
      <c r="A199" s="655"/>
      <c r="B199" s="511" t="s">
        <v>959</v>
      </c>
      <c r="C199" s="631">
        <v>103</v>
      </c>
      <c r="D199" s="631">
        <v>109</v>
      </c>
      <c r="E199" s="631">
        <v>212</v>
      </c>
      <c r="F199" s="631">
        <v>18</v>
      </c>
      <c r="G199" s="631">
        <v>17</v>
      </c>
      <c r="H199" s="631">
        <v>35</v>
      </c>
      <c r="I199" s="631">
        <v>7</v>
      </c>
      <c r="J199" s="631">
        <v>7</v>
      </c>
      <c r="K199" s="631">
        <v>14</v>
      </c>
      <c r="L199" s="631">
        <v>82</v>
      </c>
      <c r="M199" s="631">
        <v>58</v>
      </c>
      <c r="N199" s="631">
        <v>140</v>
      </c>
    </row>
    <row r="200" spans="1:14" x14ac:dyDescent="0.35">
      <c r="A200" s="655"/>
      <c r="B200" s="509" t="s">
        <v>958</v>
      </c>
      <c r="C200" s="591">
        <v>108</v>
      </c>
      <c r="D200" s="591">
        <v>120</v>
      </c>
      <c r="E200" s="591">
        <v>228</v>
      </c>
      <c r="F200" s="591">
        <v>19</v>
      </c>
      <c r="G200" s="591">
        <v>333</v>
      </c>
      <c r="H200" s="591">
        <v>352</v>
      </c>
      <c r="I200" s="591">
        <v>12</v>
      </c>
      <c r="J200" s="591">
        <v>8</v>
      </c>
      <c r="K200" s="591">
        <v>20</v>
      </c>
      <c r="L200" s="591">
        <v>74</v>
      </c>
      <c r="M200" s="591">
        <v>79</v>
      </c>
      <c r="N200" s="591">
        <v>153</v>
      </c>
    </row>
    <row r="201" spans="1:14" x14ac:dyDescent="0.35">
      <c r="A201" s="655"/>
      <c r="B201" s="509" t="s">
        <v>957</v>
      </c>
      <c r="C201" s="591">
        <v>135</v>
      </c>
      <c r="D201" s="591">
        <v>132</v>
      </c>
      <c r="E201" s="591">
        <v>267</v>
      </c>
      <c r="F201" s="591">
        <v>10</v>
      </c>
      <c r="G201" s="591">
        <v>297</v>
      </c>
      <c r="H201" s="591">
        <v>307</v>
      </c>
      <c r="I201" s="591">
        <v>10</v>
      </c>
      <c r="J201" s="591">
        <v>10</v>
      </c>
      <c r="K201" s="591">
        <v>20</v>
      </c>
      <c r="L201" s="589">
        <v>45</v>
      </c>
      <c r="M201" s="589">
        <v>39</v>
      </c>
      <c r="N201" s="589">
        <v>84</v>
      </c>
    </row>
    <row r="202" spans="1:14" x14ac:dyDescent="0.35">
      <c r="A202" s="655"/>
      <c r="B202" s="509" t="s">
        <v>956</v>
      </c>
      <c r="C202" s="591">
        <v>129</v>
      </c>
      <c r="D202" s="591">
        <v>102</v>
      </c>
      <c r="E202" s="591">
        <v>231</v>
      </c>
      <c r="F202" s="591">
        <v>12</v>
      </c>
      <c r="G202" s="591">
        <v>302</v>
      </c>
      <c r="H202" s="591">
        <v>314</v>
      </c>
      <c r="I202" s="591">
        <v>15</v>
      </c>
      <c r="J202" s="591">
        <v>10</v>
      </c>
      <c r="K202" s="591">
        <v>25</v>
      </c>
      <c r="L202" s="589"/>
      <c r="M202" s="589"/>
      <c r="N202" s="589"/>
    </row>
    <row r="203" spans="1:14" ht="14.5" x14ac:dyDescent="0.35">
      <c r="A203" s="655">
        <v>33</v>
      </c>
      <c r="B203" s="943" t="s">
        <v>42</v>
      </c>
      <c r="C203" s="928"/>
      <c r="D203" s="928"/>
      <c r="E203" s="928"/>
      <c r="F203" s="928"/>
      <c r="G203" s="928"/>
      <c r="H203" s="928"/>
      <c r="I203" s="928"/>
      <c r="J203" s="928"/>
      <c r="K203" s="928"/>
      <c r="L203" s="928"/>
      <c r="M203" s="928"/>
      <c r="N203" s="928"/>
    </row>
    <row r="204" spans="1:14" x14ac:dyDescent="0.35">
      <c r="A204" s="655"/>
      <c r="B204" s="508" t="s">
        <v>960</v>
      </c>
      <c r="C204" s="588">
        <v>578</v>
      </c>
      <c r="D204" s="588">
        <v>611</v>
      </c>
      <c r="E204" s="588">
        <v>1189</v>
      </c>
      <c r="F204" s="588">
        <v>468</v>
      </c>
      <c r="G204" s="588">
        <v>349</v>
      </c>
      <c r="H204" s="588">
        <v>817</v>
      </c>
      <c r="I204" s="588">
        <v>69</v>
      </c>
      <c r="J204" s="588">
        <v>32</v>
      </c>
      <c r="K204" s="588">
        <v>101</v>
      </c>
      <c r="L204" s="588">
        <v>546</v>
      </c>
      <c r="M204" s="588">
        <v>288</v>
      </c>
      <c r="N204" s="588">
        <v>834</v>
      </c>
    </row>
    <row r="205" spans="1:14" x14ac:dyDescent="0.35">
      <c r="A205" s="655"/>
      <c r="B205" s="511" t="s">
        <v>959</v>
      </c>
      <c r="C205" s="589">
        <v>1335</v>
      </c>
      <c r="D205" s="589">
        <v>1159</v>
      </c>
      <c r="E205" s="589">
        <v>2494</v>
      </c>
      <c r="F205" s="589">
        <v>370</v>
      </c>
      <c r="G205" s="589">
        <v>348</v>
      </c>
      <c r="H205" s="589">
        <v>718</v>
      </c>
      <c r="I205" s="589">
        <v>79</v>
      </c>
      <c r="J205" s="589">
        <v>27</v>
      </c>
      <c r="K205" s="589">
        <v>106</v>
      </c>
      <c r="L205" s="589">
        <v>708</v>
      </c>
      <c r="M205" s="589">
        <v>360</v>
      </c>
      <c r="N205" s="589">
        <v>1068</v>
      </c>
    </row>
    <row r="206" spans="1:14" x14ac:dyDescent="0.35">
      <c r="A206" s="655"/>
      <c r="B206" s="509" t="s">
        <v>958</v>
      </c>
      <c r="C206" s="589">
        <v>1796</v>
      </c>
      <c r="D206" s="589">
        <v>1206</v>
      </c>
      <c r="E206" s="589">
        <v>3002</v>
      </c>
      <c r="F206" s="589">
        <v>219</v>
      </c>
      <c r="G206" s="589">
        <v>227</v>
      </c>
      <c r="H206" s="589">
        <v>446</v>
      </c>
      <c r="I206" s="589">
        <v>157</v>
      </c>
      <c r="J206" s="589">
        <v>54</v>
      </c>
      <c r="K206" s="589">
        <v>211</v>
      </c>
      <c r="L206" s="589">
        <v>445</v>
      </c>
      <c r="M206" s="589">
        <v>227</v>
      </c>
      <c r="N206" s="589">
        <v>672</v>
      </c>
    </row>
    <row r="207" spans="1:14" x14ac:dyDescent="0.35">
      <c r="A207" s="655"/>
      <c r="B207" s="509" t="s">
        <v>957</v>
      </c>
      <c r="C207" s="590">
        <v>656</v>
      </c>
      <c r="D207" s="590">
        <v>691</v>
      </c>
      <c r="E207" s="590">
        <v>1347</v>
      </c>
      <c r="F207" s="590">
        <v>333</v>
      </c>
      <c r="G207" s="590">
        <v>295</v>
      </c>
      <c r="H207" s="590">
        <v>628</v>
      </c>
      <c r="I207" s="590">
        <v>90</v>
      </c>
      <c r="J207" s="590">
        <v>47</v>
      </c>
      <c r="K207" s="590">
        <v>137</v>
      </c>
      <c r="L207" s="589">
        <v>355</v>
      </c>
      <c r="M207" s="589">
        <v>166</v>
      </c>
      <c r="N207" s="589">
        <v>521</v>
      </c>
    </row>
    <row r="208" spans="1:14" x14ac:dyDescent="0.35">
      <c r="A208" s="655"/>
      <c r="B208" s="509" t="s">
        <v>956</v>
      </c>
      <c r="C208" s="590">
        <v>1233</v>
      </c>
      <c r="D208" s="590">
        <v>882</v>
      </c>
      <c r="E208" s="590">
        <v>2115</v>
      </c>
      <c r="F208" s="590">
        <v>300</v>
      </c>
      <c r="G208" s="590">
        <v>188</v>
      </c>
      <c r="H208" s="590">
        <v>488</v>
      </c>
      <c r="I208" s="590">
        <v>290</v>
      </c>
      <c r="J208" s="590">
        <v>74</v>
      </c>
      <c r="K208" s="590">
        <v>364</v>
      </c>
      <c r="L208" s="589"/>
      <c r="M208" s="589"/>
      <c r="N208" s="589"/>
    </row>
    <row r="209" spans="1:14" ht="14.5" x14ac:dyDescent="0.35">
      <c r="A209" s="655">
        <v>34</v>
      </c>
      <c r="B209" s="943" t="s">
        <v>43</v>
      </c>
      <c r="C209" s="928"/>
      <c r="D209" s="928"/>
      <c r="E209" s="928"/>
      <c r="F209" s="928"/>
      <c r="G209" s="928"/>
      <c r="H209" s="928"/>
      <c r="I209" s="928"/>
      <c r="J209" s="928"/>
      <c r="K209" s="928"/>
      <c r="L209" s="928"/>
      <c r="M209" s="928"/>
      <c r="N209" s="928"/>
    </row>
    <row r="210" spans="1:14" x14ac:dyDescent="0.35">
      <c r="A210" s="655"/>
      <c r="B210" s="508" t="s">
        <v>960</v>
      </c>
      <c r="C210" s="588">
        <v>163211.573834977</v>
      </c>
      <c r="D210" s="588">
        <v>187949.40399503201</v>
      </c>
      <c r="E210" s="588">
        <v>351160.97783000901</v>
      </c>
      <c r="F210" s="588">
        <v>14780.611295742776</v>
      </c>
      <c r="G210" s="588">
        <v>13299.212093772621</v>
      </c>
      <c r="H210" s="588">
        <v>28079.823389515397</v>
      </c>
      <c r="I210" s="588">
        <v>5518.1139430329267</v>
      </c>
      <c r="J210" s="588">
        <v>4186.9011959840836</v>
      </c>
      <c r="K210" s="588">
        <v>9705.0151390170104</v>
      </c>
      <c r="L210" s="588">
        <v>56894.679065708893</v>
      </c>
      <c r="M210" s="588">
        <v>42522.485944301494</v>
      </c>
      <c r="N210" s="588">
        <v>99417.165010010387</v>
      </c>
    </row>
    <row r="211" spans="1:14" x14ac:dyDescent="0.35">
      <c r="A211" s="655"/>
      <c r="B211" s="511" t="s">
        <v>959</v>
      </c>
      <c r="C211" s="589">
        <v>165915.69263114809</v>
      </c>
      <c r="D211" s="589">
        <v>180538.1715788079</v>
      </c>
      <c r="E211" s="589">
        <v>346453.86420995608</v>
      </c>
      <c r="F211" s="589">
        <v>12055.478008537561</v>
      </c>
      <c r="G211" s="589">
        <v>14757.919311509409</v>
      </c>
      <c r="H211" s="589">
        <v>26813.39732004697</v>
      </c>
      <c r="I211" s="589">
        <v>6225.385965329875</v>
      </c>
      <c r="J211" s="589">
        <v>3883.6352282288308</v>
      </c>
      <c r="K211" s="589">
        <v>10109.02119355871</v>
      </c>
      <c r="L211" s="589">
        <v>55355.927736797923</v>
      </c>
      <c r="M211" s="589">
        <v>40174.147139488327</v>
      </c>
      <c r="N211" s="589">
        <v>95530.074876286235</v>
      </c>
    </row>
    <row r="212" spans="1:14" x14ac:dyDescent="0.35">
      <c r="A212" s="655"/>
      <c r="B212" s="509" t="s">
        <v>958</v>
      </c>
      <c r="C212" s="589">
        <v>157372</v>
      </c>
      <c r="D212" s="589">
        <v>169447</v>
      </c>
      <c r="E212" s="589">
        <v>326819</v>
      </c>
      <c r="F212" s="589">
        <v>13717</v>
      </c>
      <c r="G212" s="589">
        <v>15277</v>
      </c>
      <c r="H212" s="589">
        <v>28994</v>
      </c>
      <c r="I212" s="589">
        <v>6006</v>
      </c>
      <c r="J212" s="589">
        <v>5858</v>
      </c>
      <c r="K212" s="589">
        <v>11864</v>
      </c>
      <c r="L212" s="589">
        <v>33485</v>
      </c>
      <c r="M212" s="589">
        <v>24019</v>
      </c>
      <c r="N212" s="589">
        <v>57504</v>
      </c>
    </row>
    <row r="213" spans="1:14" x14ac:dyDescent="0.35">
      <c r="A213" s="655"/>
      <c r="B213" s="509" t="s">
        <v>957</v>
      </c>
      <c r="C213" s="590">
        <v>137654</v>
      </c>
      <c r="D213" s="590">
        <v>161657</v>
      </c>
      <c r="E213" s="590">
        <v>299311</v>
      </c>
      <c r="F213" s="590">
        <v>10725</v>
      </c>
      <c r="G213" s="590">
        <v>12255</v>
      </c>
      <c r="H213" s="590">
        <v>22980</v>
      </c>
      <c r="I213" s="590">
        <v>9484</v>
      </c>
      <c r="J213" s="590">
        <v>5519</v>
      </c>
      <c r="K213" s="590">
        <v>15003</v>
      </c>
      <c r="L213" s="589">
        <v>23733</v>
      </c>
      <c r="M213" s="589">
        <v>16288</v>
      </c>
      <c r="N213" s="589">
        <v>40021</v>
      </c>
    </row>
    <row r="214" spans="1:14" x14ac:dyDescent="0.35">
      <c r="A214" s="655"/>
      <c r="B214" s="509" t="s">
        <v>956</v>
      </c>
      <c r="C214" s="590">
        <v>158790</v>
      </c>
      <c r="D214" s="590">
        <v>198886</v>
      </c>
      <c r="E214" s="590">
        <v>357676</v>
      </c>
      <c r="F214" s="590">
        <v>13009</v>
      </c>
      <c r="G214" s="590">
        <v>14124</v>
      </c>
      <c r="H214" s="590">
        <v>27133</v>
      </c>
      <c r="I214" s="590">
        <v>9356</v>
      </c>
      <c r="J214" s="590">
        <v>8694</v>
      </c>
      <c r="K214" s="590">
        <v>18050</v>
      </c>
      <c r="L214" s="589"/>
      <c r="M214" s="589"/>
      <c r="N214" s="589"/>
    </row>
    <row r="215" spans="1:14" ht="14.5" x14ac:dyDescent="0.35">
      <c r="A215" s="655">
        <v>35</v>
      </c>
      <c r="B215" s="943" t="s">
        <v>44</v>
      </c>
      <c r="C215" s="928"/>
      <c r="D215" s="928"/>
      <c r="E215" s="928"/>
      <c r="F215" s="928"/>
      <c r="G215" s="928"/>
      <c r="H215" s="928"/>
      <c r="I215" s="928"/>
      <c r="J215" s="928"/>
      <c r="K215" s="928"/>
      <c r="L215" s="928"/>
      <c r="M215" s="928"/>
      <c r="N215" s="928"/>
    </row>
    <row r="216" spans="1:14" x14ac:dyDescent="0.35">
      <c r="A216" s="655"/>
      <c r="B216" s="508" t="s">
        <v>960</v>
      </c>
      <c r="C216" s="588">
        <v>8539.405297341902</v>
      </c>
      <c r="D216" s="588">
        <v>10890.230079443856</v>
      </c>
      <c r="E216" s="588">
        <v>19429.635376785758</v>
      </c>
      <c r="F216" s="588">
        <v>1761.5077392059484</v>
      </c>
      <c r="G216" s="588">
        <v>2250.6228692591858</v>
      </c>
      <c r="H216" s="588">
        <v>4012.1306084651342</v>
      </c>
      <c r="I216" s="588">
        <v>433.04656534854735</v>
      </c>
      <c r="J216" s="588">
        <v>242.14293041073731</v>
      </c>
      <c r="K216" s="588">
        <v>675.18949575928468</v>
      </c>
      <c r="L216" s="588">
        <v>4987.1404318472087</v>
      </c>
      <c r="M216" s="588">
        <v>3329.2959958022934</v>
      </c>
      <c r="N216" s="588">
        <v>8316.4364276495016</v>
      </c>
    </row>
    <row r="217" spans="1:14" x14ac:dyDescent="0.35">
      <c r="A217" s="655"/>
      <c r="B217" s="511" t="s">
        <v>959</v>
      </c>
      <c r="C217" s="589">
        <v>8197.1484774859218</v>
      </c>
      <c r="D217" s="589">
        <v>10349.273414818839</v>
      </c>
      <c r="E217" s="589">
        <v>18546.421892304759</v>
      </c>
      <c r="F217" s="589">
        <v>1572.7862497322769</v>
      </c>
      <c r="G217" s="589">
        <v>2001.8571697667651</v>
      </c>
      <c r="H217" s="589">
        <v>3574.643419499042</v>
      </c>
      <c r="I217" s="589">
        <v>529.86427662237259</v>
      </c>
      <c r="J217" s="589">
        <v>275.48320946364419</v>
      </c>
      <c r="K217" s="589">
        <v>805.34748608601683</v>
      </c>
      <c r="L217" s="589">
        <v>4934.1733593215604</v>
      </c>
      <c r="M217" s="589">
        <v>3159.1774963250982</v>
      </c>
      <c r="N217" s="589">
        <v>8093.3508556466577</v>
      </c>
    </row>
    <row r="218" spans="1:14" x14ac:dyDescent="0.35">
      <c r="A218" s="655"/>
      <c r="B218" s="509" t="s">
        <v>958</v>
      </c>
      <c r="C218" s="589">
        <v>7998</v>
      </c>
      <c r="D218" s="589">
        <v>8838</v>
      </c>
      <c r="E218" s="589">
        <v>16836</v>
      </c>
      <c r="F218" s="589">
        <v>1998</v>
      </c>
      <c r="G218" s="589">
        <v>2169</v>
      </c>
      <c r="H218" s="589">
        <v>4167</v>
      </c>
      <c r="I218" s="589">
        <v>934</v>
      </c>
      <c r="J218" s="589">
        <v>730</v>
      </c>
      <c r="K218" s="589">
        <v>1664</v>
      </c>
      <c r="L218" s="589">
        <v>3750</v>
      </c>
      <c r="M218" s="589">
        <v>2644</v>
      </c>
      <c r="N218" s="589">
        <v>6394</v>
      </c>
    </row>
    <row r="219" spans="1:14" x14ac:dyDescent="0.35">
      <c r="A219" s="655"/>
      <c r="B219" s="509" t="s">
        <v>957</v>
      </c>
      <c r="C219" s="590">
        <v>11100</v>
      </c>
      <c r="D219" s="590">
        <v>12540</v>
      </c>
      <c r="E219" s="590">
        <v>23640</v>
      </c>
      <c r="F219" s="590">
        <v>1889</v>
      </c>
      <c r="G219" s="590">
        <v>2369</v>
      </c>
      <c r="H219" s="590">
        <v>4258</v>
      </c>
      <c r="I219" s="590">
        <v>1497</v>
      </c>
      <c r="J219" s="590">
        <v>1458</v>
      </c>
      <c r="K219" s="590">
        <v>2955</v>
      </c>
      <c r="L219" s="590">
        <v>1970</v>
      </c>
      <c r="M219" s="590">
        <v>1234</v>
      </c>
      <c r="N219" s="590">
        <v>3204</v>
      </c>
    </row>
    <row r="220" spans="1:14" x14ac:dyDescent="0.35">
      <c r="A220" s="655"/>
      <c r="B220" s="509" t="s">
        <v>956</v>
      </c>
      <c r="C220" s="590">
        <v>8380</v>
      </c>
      <c r="D220" s="590">
        <v>6979</v>
      </c>
      <c r="E220" s="590">
        <v>15359</v>
      </c>
      <c r="F220" s="590">
        <v>1864</v>
      </c>
      <c r="G220" s="590">
        <v>1927</v>
      </c>
      <c r="H220" s="590">
        <v>3791</v>
      </c>
      <c r="I220" s="590">
        <v>2009</v>
      </c>
      <c r="J220" s="590">
        <v>2200</v>
      </c>
      <c r="K220" s="590">
        <v>4209</v>
      </c>
      <c r="L220" s="589"/>
      <c r="M220" s="589"/>
      <c r="N220" s="589"/>
    </row>
    <row r="221" spans="1:14" ht="14.5" x14ac:dyDescent="0.35">
      <c r="A221" s="655">
        <v>36</v>
      </c>
      <c r="B221" s="943" t="s">
        <v>45</v>
      </c>
      <c r="C221" s="928"/>
      <c r="D221" s="928"/>
      <c r="E221" s="928"/>
      <c r="F221" s="928"/>
      <c r="G221" s="928"/>
      <c r="H221" s="928"/>
      <c r="I221" s="928"/>
      <c r="J221" s="928"/>
      <c r="K221" s="928"/>
      <c r="L221" s="928"/>
      <c r="M221" s="928"/>
      <c r="N221" s="928"/>
    </row>
    <row r="222" spans="1:14" x14ac:dyDescent="0.35">
      <c r="A222" s="655"/>
      <c r="B222" s="508" t="s">
        <v>960</v>
      </c>
      <c r="C222" s="588">
        <v>134053.4655067155</v>
      </c>
      <c r="D222" s="588">
        <v>153840.48073434501</v>
      </c>
      <c r="E222" s="588">
        <v>287893.9462410605</v>
      </c>
      <c r="F222" s="588">
        <v>10948.692621664048</v>
      </c>
      <c r="G222" s="588">
        <v>12994.931292517007</v>
      </c>
      <c r="H222" s="588">
        <v>23943.623914181055</v>
      </c>
      <c r="I222" s="588">
        <v>2967.9949502878076</v>
      </c>
      <c r="J222" s="588">
        <v>1718.0218210361068</v>
      </c>
      <c r="K222" s="588">
        <v>4686.0167713239143</v>
      </c>
      <c r="L222" s="588">
        <v>9413.0146781789645</v>
      </c>
      <c r="M222" s="588">
        <v>7905.3927742892029</v>
      </c>
      <c r="N222" s="588">
        <v>17318.407452468167</v>
      </c>
    </row>
    <row r="223" spans="1:14" x14ac:dyDescent="0.35">
      <c r="A223" s="655"/>
      <c r="B223" s="511" t="s">
        <v>959</v>
      </c>
      <c r="C223" s="589">
        <v>155340.41666666669</v>
      </c>
      <c r="D223" s="589">
        <v>165345.66666666669</v>
      </c>
      <c r="E223" s="589">
        <v>320686.08333333331</v>
      </c>
      <c r="F223" s="589">
        <v>10479</v>
      </c>
      <c r="G223" s="589">
        <v>11887.66666666667</v>
      </c>
      <c r="H223" s="589">
        <v>22366.666666666672</v>
      </c>
      <c r="I223" s="589">
        <v>4905</v>
      </c>
      <c r="J223" s="589">
        <v>2896.166666666667</v>
      </c>
      <c r="K223" s="589">
        <v>7801.166666666667</v>
      </c>
      <c r="L223" s="589">
        <v>8588</v>
      </c>
      <c r="M223" s="589">
        <v>8290</v>
      </c>
      <c r="N223" s="589">
        <v>16878</v>
      </c>
    </row>
    <row r="224" spans="1:14" x14ac:dyDescent="0.35">
      <c r="A224" s="655"/>
      <c r="B224" s="509" t="s">
        <v>958</v>
      </c>
      <c r="C224" s="589">
        <v>164066</v>
      </c>
      <c r="D224" s="589">
        <v>171346</v>
      </c>
      <c r="E224" s="589">
        <v>335412</v>
      </c>
      <c r="F224" s="589">
        <v>9901</v>
      </c>
      <c r="G224" s="589">
        <v>10437</v>
      </c>
      <c r="H224" s="589">
        <v>20338</v>
      </c>
      <c r="I224" s="589">
        <v>2597</v>
      </c>
      <c r="J224" s="589">
        <v>1364</v>
      </c>
      <c r="K224" s="589">
        <v>3961</v>
      </c>
      <c r="L224" s="589">
        <v>11202</v>
      </c>
      <c r="M224" s="589">
        <v>14421</v>
      </c>
      <c r="N224" s="589">
        <v>25623</v>
      </c>
    </row>
    <row r="225" spans="1:14" x14ac:dyDescent="0.35">
      <c r="A225" s="655"/>
      <c r="B225" s="509" t="s">
        <v>957</v>
      </c>
      <c r="C225" s="590">
        <v>110860</v>
      </c>
      <c r="D225" s="590">
        <v>127310</v>
      </c>
      <c r="E225" s="590">
        <v>238170</v>
      </c>
      <c r="F225" s="590">
        <v>7381</v>
      </c>
      <c r="G225" s="590">
        <v>7702</v>
      </c>
      <c r="H225" s="590">
        <v>15083</v>
      </c>
      <c r="I225" s="590">
        <v>4491</v>
      </c>
      <c r="J225" s="590">
        <v>2591</v>
      </c>
      <c r="K225" s="590">
        <v>7082</v>
      </c>
      <c r="L225" s="589">
        <v>8753</v>
      </c>
      <c r="M225" s="589">
        <v>8574</v>
      </c>
      <c r="N225" s="589">
        <v>17327</v>
      </c>
    </row>
    <row r="226" spans="1:14" x14ac:dyDescent="0.35">
      <c r="A226" s="655"/>
      <c r="B226" s="509" t="s">
        <v>956</v>
      </c>
      <c r="C226" s="590">
        <v>111879</v>
      </c>
      <c r="D226" s="590">
        <v>123454</v>
      </c>
      <c r="E226" s="590">
        <v>235333</v>
      </c>
      <c r="F226" s="590">
        <v>5575</v>
      </c>
      <c r="G226" s="590">
        <v>10201</v>
      </c>
      <c r="H226" s="590">
        <v>15776</v>
      </c>
      <c r="I226" s="590">
        <v>2408</v>
      </c>
      <c r="J226" s="590">
        <v>1181</v>
      </c>
      <c r="K226" s="590">
        <v>3589</v>
      </c>
      <c r="L226" s="589"/>
      <c r="M226" s="589"/>
      <c r="N226" s="589"/>
    </row>
  </sheetData>
  <mergeCells count="80">
    <mergeCell ref="A35:A40"/>
    <mergeCell ref="C1:N1"/>
    <mergeCell ref="A2:A3"/>
    <mergeCell ref="B2:B3"/>
    <mergeCell ref="C2:E2"/>
    <mergeCell ref="F2:H2"/>
    <mergeCell ref="I2:K2"/>
    <mergeCell ref="L2:N2"/>
    <mergeCell ref="A5:A10"/>
    <mergeCell ref="A11:A16"/>
    <mergeCell ref="A17:A22"/>
    <mergeCell ref="A23:A28"/>
    <mergeCell ref="A29:A34"/>
    <mergeCell ref="B5:N5"/>
    <mergeCell ref="B11:N11"/>
    <mergeCell ref="B17:N17"/>
    <mergeCell ref="A107:A112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79:A184"/>
    <mergeCell ref="A113:A118"/>
    <mergeCell ref="A119:A124"/>
    <mergeCell ref="A125:A130"/>
    <mergeCell ref="A131:A136"/>
    <mergeCell ref="A137:A142"/>
    <mergeCell ref="A143:A148"/>
    <mergeCell ref="A149:A154"/>
    <mergeCell ref="A155:A160"/>
    <mergeCell ref="A161:A166"/>
    <mergeCell ref="A167:A172"/>
    <mergeCell ref="A173:A178"/>
    <mergeCell ref="A221:A226"/>
    <mergeCell ref="A185:A190"/>
    <mergeCell ref="A191:A196"/>
    <mergeCell ref="A197:A202"/>
    <mergeCell ref="A203:A208"/>
    <mergeCell ref="A209:A214"/>
    <mergeCell ref="A215:A220"/>
    <mergeCell ref="B23:N23"/>
    <mergeCell ref="B29:N29"/>
    <mergeCell ref="B35:N35"/>
    <mergeCell ref="B41:N41"/>
    <mergeCell ref="B47:N47"/>
    <mergeCell ref="B53:N53"/>
    <mergeCell ref="B59:N59"/>
    <mergeCell ref="B65:N65"/>
    <mergeCell ref="B71:N71"/>
    <mergeCell ref="B77:N77"/>
    <mergeCell ref="B83:N83"/>
    <mergeCell ref="B89:N89"/>
    <mergeCell ref="B95:N95"/>
    <mergeCell ref="B101:N101"/>
    <mergeCell ref="B107:N107"/>
    <mergeCell ref="B113:N113"/>
    <mergeCell ref="B119:N119"/>
    <mergeCell ref="B125:N125"/>
    <mergeCell ref="B131:N131"/>
    <mergeCell ref="B137:N137"/>
    <mergeCell ref="B143:N143"/>
    <mergeCell ref="B149:N149"/>
    <mergeCell ref="B155:N155"/>
    <mergeCell ref="B161:N161"/>
    <mergeCell ref="B167:N167"/>
    <mergeCell ref="B209:N209"/>
    <mergeCell ref="B215:N215"/>
    <mergeCell ref="B221:N221"/>
    <mergeCell ref="B173:N173"/>
    <mergeCell ref="B179:N179"/>
    <mergeCell ref="B185:N185"/>
    <mergeCell ref="B197:N197"/>
    <mergeCell ref="B203:N203"/>
  </mergeCells>
  <pageMargins left="0.47244094488188981" right="0.23622047244094491" top="0.39370078740157483" bottom="0.39370078740157483" header="0.31496062992125984" footer="0.19685039370078741"/>
  <pageSetup paperSize="9" scale="55" firstPageNumber="2" orientation="portrait" r:id="rId1"/>
  <headerFooter>
    <oddFooter>&amp;L&amp;"Arial,Italic"&amp;9AISHE 2023-24&amp;RT-46</oddFooter>
  </headerFooter>
  <rowBreaks count="2" manualBreakCount="2">
    <brk id="94" max="13" man="1"/>
    <brk id="184" max="1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0646-8D0A-40CF-A153-17D4E8F5B5CA}">
  <dimension ref="A1:K226"/>
  <sheetViews>
    <sheetView showZeros="0" view="pageBreakPreview" topLeftCell="A199" zoomScale="96" zoomScaleSheetLayoutView="96" workbookViewId="0">
      <selection activeCell="H18" sqref="H18"/>
    </sheetView>
  </sheetViews>
  <sheetFormatPr defaultColWidth="9.1796875" defaultRowHeight="14" x14ac:dyDescent="0.35"/>
  <cols>
    <col min="1" max="1" width="6" style="470" customWidth="1"/>
    <col min="2" max="2" width="31" style="469" customWidth="1"/>
    <col min="3" max="3" width="9" style="469" customWidth="1"/>
    <col min="4" max="11" width="10.7265625" style="469" customWidth="1"/>
    <col min="12" max="16384" width="9.1796875" style="469"/>
  </cols>
  <sheetData>
    <row r="1" spans="1:11" s="467" customFormat="1" ht="26.25" customHeight="1" x14ac:dyDescent="0.35">
      <c r="A1" s="466"/>
      <c r="B1" s="643" t="s">
        <v>1025</v>
      </c>
      <c r="C1" s="643"/>
      <c r="D1" s="643"/>
      <c r="E1" s="643"/>
      <c r="F1" s="643"/>
      <c r="G1" s="643"/>
      <c r="H1" s="643"/>
      <c r="I1" s="643"/>
      <c r="J1" s="643"/>
      <c r="K1" s="643"/>
    </row>
    <row r="2" spans="1:11" s="467" customFormat="1" ht="16.5" customHeight="1" x14ac:dyDescent="0.35">
      <c r="A2" s="957" t="s">
        <v>84</v>
      </c>
      <c r="B2" s="959" t="s">
        <v>1</v>
      </c>
      <c r="C2" s="951" t="s">
        <v>125</v>
      </c>
      <c r="D2" s="952"/>
      <c r="E2" s="953"/>
      <c r="F2" s="951" t="s">
        <v>883</v>
      </c>
      <c r="G2" s="952"/>
      <c r="H2" s="953"/>
      <c r="I2" s="951" t="s">
        <v>884</v>
      </c>
      <c r="J2" s="952"/>
      <c r="K2" s="953"/>
    </row>
    <row r="3" spans="1:11" s="467" customFormat="1" ht="16.5" customHeight="1" x14ac:dyDescent="0.35">
      <c r="A3" s="958"/>
      <c r="B3" s="960"/>
      <c r="C3" s="632" t="s">
        <v>103</v>
      </c>
      <c r="D3" s="632" t="s">
        <v>104</v>
      </c>
      <c r="E3" s="632" t="s">
        <v>965</v>
      </c>
      <c r="F3" s="632" t="s">
        <v>103</v>
      </c>
      <c r="G3" s="632" t="s">
        <v>104</v>
      </c>
      <c r="H3" s="632" t="s">
        <v>965</v>
      </c>
      <c r="I3" s="632" t="s">
        <v>103</v>
      </c>
      <c r="J3" s="632" t="s">
        <v>104</v>
      </c>
      <c r="K3" s="632" t="s">
        <v>965</v>
      </c>
    </row>
    <row r="4" spans="1:11" s="539" customFormat="1" ht="12" customHeight="1" x14ac:dyDescent="0.35">
      <c r="A4" s="538">
        <v>1</v>
      </c>
      <c r="B4" s="538">
        <v>2</v>
      </c>
      <c r="C4" s="538">
        <v>3</v>
      </c>
      <c r="D4" s="538">
        <v>4</v>
      </c>
      <c r="E4" s="538">
        <v>5</v>
      </c>
      <c r="F4" s="538">
        <v>6</v>
      </c>
      <c r="G4" s="538">
        <v>7</v>
      </c>
      <c r="H4" s="538">
        <v>8</v>
      </c>
      <c r="I4" s="538">
        <v>9</v>
      </c>
      <c r="J4" s="538">
        <v>10</v>
      </c>
      <c r="K4" s="538">
        <v>11</v>
      </c>
    </row>
    <row r="5" spans="1:11" ht="15" x14ac:dyDescent="0.35">
      <c r="A5" s="950"/>
      <c r="B5" s="954" t="s">
        <v>46</v>
      </c>
      <c r="C5" s="955"/>
      <c r="D5" s="955"/>
      <c r="E5" s="955"/>
      <c r="F5" s="955"/>
      <c r="G5" s="955"/>
      <c r="H5" s="955"/>
      <c r="I5" s="955"/>
      <c r="J5" s="955"/>
      <c r="K5" s="956"/>
    </row>
    <row r="6" spans="1:11" ht="15" x14ac:dyDescent="0.35">
      <c r="A6" s="950"/>
      <c r="B6" s="633" t="s">
        <v>960</v>
      </c>
      <c r="C6" s="612">
        <v>28.907585839644234</v>
      </c>
      <c r="D6" s="612">
        <v>31.240665797949706</v>
      </c>
      <c r="E6" s="612">
        <v>30.021237551991447</v>
      </c>
      <c r="F6" s="612">
        <v>26.44276507889856</v>
      </c>
      <c r="G6" s="612">
        <v>29.282283780261174</v>
      </c>
      <c r="H6" s="612">
        <v>27.799350791996218</v>
      </c>
      <c r="I6" s="612">
        <v>21.871752730776347</v>
      </c>
      <c r="J6" s="612">
        <v>23.689613565325075</v>
      </c>
      <c r="K6" s="612">
        <v>22.786105251432762</v>
      </c>
    </row>
    <row r="7" spans="1:11" ht="15.5" x14ac:dyDescent="0.35">
      <c r="A7" s="950"/>
      <c r="B7" s="468" t="s">
        <v>959</v>
      </c>
      <c r="C7" s="593">
        <v>28.917920332109947</v>
      </c>
      <c r="D7" s="593">
        <v>30.193904860004</v>
      </c>
      <c r="E7" s="593">
        <v>29.526307209319114</v>
      </c>
      <c r="F7" s="593">
        <v>26.596313249824345</v>
      </c>
      <c r="G7" s="593">
        <v>28.04894922045284</v>
      </c>
      <c r="H7" s="593">
        <v>27.289210145207054</v>
      </c>
      <c r="I7" s="593">
        <v>22.182341401547777</v>
      </c>
      <c r="J7" s="593">
        <v>22.919681905519724</v>
      </c>
      <c r="K7" s="593">
        <v>22.55290977022284</v>
      </c>
    </row>
    <row r="8" spans="1:11" ht="15.5" x14ac:dyDescent="0.35">
      <c r="A8" s="950"/>
      <c r="B8" s="468" t="s">
        <v>958</v>
      </c>
      <c r="C8" s="592">
        <v>28.3</v>
      </c>
      <c r="D8" s="592">
        <v>28.5</v>
      </c>
      <c r="E8" s="592">
        <v>28.4</v>
      </c>
      <c r="F8" s="592">
        <v>25.8</v>
      </c>
      <c r="G8" s="592">
        <v>26</v>
      </c>
      <c r="H8" s="592">
        <v>25.9</v>
      </c>
      <c r="I8" s="592">
        <v>21.4</v>
      </c>
      <c r="J8" s="592">
        <v>20.9</v>
      </c>
      <c r="K8" s="592">
        <v>21.2</v>
      </c>
    </row>
    <row r="9" spans="1:11" ht="15.5" x14ac:dyDescent="0.35">
      <c r="A9" s="950"/>
      <c r="B9" s="468" t="s">
        <v>957</v>
      </c>
      <c r="C9" s="594">
        <v>26.711725716227374</v>
      </c>
      <c r="D9" s="594">
        <v>27.930727845029608</v>
      </c>
      <c r="E9" s="594">
        <v>27.291517192729735</v>
      </c>
      <c r="F9" s="594">
        <v>22.420931288622658</v>
      </c>
      <c r="G9" s="594">
        <v>23.931475240287789</v>
      </c>
      <c r="H9" s="594">
        <v>23.139777334943947</v>
      </c>
      <c r="I9" s="594">
        <v>18.760653940481273</v>
      </c>
      <c r="J9" s="594">
        <v>19.081669122527202</v>
      </c>
      <c r="K9" s="594">
        <v>18.921795991063082</v>
      </c>
    </row>
    <row r="10" spans="1:11" ht="15.5" x14ac:dyDescent="0.35">
      <c r="A10" s="950"/>
      <c r="B10" s="468" t="s">
        <v>956</v>
      </c>
      <c r="C10" s="594">
        <v>24.82445858882231</v>
      </c>
      <c r="D10" s="594">
        <v>26.358719218695505</v>
      </c>
      <c r="E10" s="594">
        <v>25.553663067826331</v>
      </c>
      <c r="F10" s="594">
        <v>21.455807049406612</v>
      </c>
      <c r="G10" s="594">
        <v>23.24252663573311</v>
      </c>
      <c r="H10" s="594">
        <v>22.305427578400455</v>
      </c>
      <c r="I10" s="594">
        <v>16.979428166374795</v>
      </c>
      <c r="J10" s="594">
        <v>17.02898704479696</v>
      </c>
      <c r="K10" s="594">
        <v>17.004294471415182</v>
      </c>
    </row>
    <row r="11" spans="1:11" ht="15.5" x14ac:dyDescent="0.35">
      <c r="A11" s="950">
        <v>1</v>
      </c>
      <c r="B11" s="350" t="s">
        <v>56</v>
      </c>
      <c r="C11" s="646"/>
      <c r="D11" s="646"/>
      <c r="E11" s="646"/>
      <c r="F11" s="646"/>
      <c r="G11" s="646"/>
      <c r="H11" s="646"/>
      <c r="I11" s="646"/>
      <c r="J11" s="646"/>
      <c r="K11" s="646"/>
    </row>
    <row r="12" spans="1:11" ht="15" x14ac:dyDescent="0.35">
      <c r="A12" s="950"/>
      <c r="B12" s="633" t="s">
        <v>960</v>
      </c>
      <c r="C12" s="613">
        <v>12.622207792064829</v>
      </c>
      <c r="D12" s="614">
        <v>14.513190649307733</v>
      </c>
      <c r="E12" s="614">
        <v>13.516875669087483</v>
      </c>
      <c r="F12" s="614"/>
      <c r="G12" s="614"/>
      <c r="H12" s="614"/>
      <c r="I12" s="614">
        <v>3.3846953374375142</v>
      </c>
      <c r="J12" s="614">
        <v>6.438816090573547</v>
      </c>
      <c r="K12" s="614">
        <v>4.8579021487213305</v>
      </c>
    </row>
    <row r="13" spans="1:11" ht="15.5" x14ac:dyDescent="0.35">
      <c r="A13" s="950"/>
      <c r="B13" s="468" t="s">
        <v>959</v>
      </c>
      <c r="C13" s="594">
        <v>14.24213424610414</v>
      </c>
      <c r="D13" s="594">
        <v>14.600303739227044</v>
      </c>
      <c r="E13" s="594">
        <v>14.412621061966785</v>
      </c>
      <c r="F13" s="594"/>
      <c r="G13" s="594"/>
      <c r="H13" s="594"/>
      <c r="I13" s="594">
        <v>4.5821722066359083</v>
      </c>
      <c r="J13" s="594">
        <v>5.2519803610722278</v>
      </c>
      <c r="K13" s="594">
        <v>4.9071918849963527</v>
      </c>
    </row>
    <row r="14" spans="1:11" ht="15.5" x14ac:dyDescent="0.35">
      <c r="A14" s="950"/>
      <c r="B14" s="468" t="s">
        <v>958</v>
      </c>
      <c r="C14" s="594">
        <v>19.8</v>
      </c>
      <c r="D14" s="594">
        <v>25.7</v>
      </c>
      <c r="E14" s="594">
        <v>22.6</v>
      </c>
      <c r="F14" s="594"/>
      <c r="G14" s="594"/>
      <c r="H14" s="594"/>
      <c r="I14" s="594">
        <v>10.4</v>
      </c>
      <c r="J14" s="594">
        <v>16.100000000000001</v>
      </c>
      <c r="K14" s="594">
        <v>13.2</v>
      </c>
    </row>
    <row r="15" spans="1:11" ht="15.5" x14ac:dyDescent="0.35">
      <c r="A15" s="950"/>
      <c r="B15" s="468" t="s">
        <v>957</v>
      </c>
      <c r="C15" s="594">
        <v>21.606215593643853</v>
      </c>
      <c r="D15" s="594">
        <v>27.131586718980721</v>
      </c>
      <c r="E15" s="594">
        <v>24.261902830724306</v>
      </c>
      <c r="F15" s="594"/>
      <c r="G15" s="594"/>
      <c r="H15" s="594"/>
      <c r="I15" s="594">
        <v>10.344827586206897</v>
      </c>
      <c r="J15" s="594">
        <v>15.990730011587488</v>
      </c>
      <c r="K15" s="594">
        <v>13.110102156640183</v>
      </c>
    </row>
    <row r="16" spans="1:11" ht="15.5" x14ac:dyDescent="0.35">
      <c r="A16" s="950"/>
      <c r="B16" s="468" t="s">
        <v>956</v>
      </c>
      <c r="C16" s="594">
        <v>18.198610609163556</v>
      </c>
      <c r="D16" s="594">
        <v>24.127380849780231</v>
      </c>
      <c r="E16" s="594">
        <v>21.058429815627015</v>
      </c>
      <c r="F16" s="594"/>
      <c r="G16" s="594"/>
      <c r="H16" s="594"/>
      <c r="I16" s="594">
        <v>8.6384439359267731</v>
      </c>
      <c r="J16" s="594">
        <v>16.923076923076923</v>
      </c>
      <c r="K16" s="594">
        <v>12.7108784176847</v>
      </c>
    </row>
    <row r="17" spans="1:11" ht="15" x14ac:dyDescent="0.35">
      <c r="A17" s="950">
        <v>2</v>
      </c>
      <c r="B17" s="644" t="s">
        <v>13</v>
      </c>
      <c r="C17" s="645"/>
      <c r="D17" s="645"/>
      <c r="E17" s="645"/>
      <c r="F17" s="645"/>
      <c r="G17" s="645"/>
      <c r="H17" s="645"/>
      <c r="I17" s="645"/>
      <c r="J17" s="645"/>
      <c r="K17" s="645"/>
    </row>
    <row r="18" spans="1:11" ht="15" x14ac:dyDescent="0.35">
      <c r="A18" s="950"/>
      <c r="B18" s="633" t="s">
        <v>960</v>
      </c>
      <c r="C18" s="614">
        <v>35.502674818494462</v>
      </c>
      <c r="D18" s="614">
        <v>35.568229843953183</v>
      </c>
      <c r="E18" s="614">
        <v>35.537243471067868</v>
      </c>
      <c r="F18" s="614">
        <v>32.443181275628319</v>
      </c>
      <c r="G18" s="614">
        <v>33.910877228776407</v>
      </c>
      <c r="H18" s="614">
        <v>33.161291672015125</v>
      </c>
      <c r="I18" s="614">
        <v>33.296621287102838</v>
      </c>
      <c r="J18" s="614">
        <v>32.013756854170559</v>
      </c>
      <c r="K18" s="614">
        <v>32.636805596311625</v>
      </c>
    </row>
    <row r="19" spans="1:11" ht="15.5" x14ac:dyDescent="0.35">
      <c r="A19" s="950"/>
      <c r="B19" s="468" t="s">
        <v>959</v>
      </c>
      <c r="C19" s="594">
        <v>35.958282728811625</v>
      </c>
      <c r="D19" s="594">
        <v>35.049431663882693</v>
      </c>
      <c r="E19" s="594">
        <v>35.519664193583878</v>
      </c>
      <c r="F19" s="594">
        <v>33.245269125286065</v>
      </c>
      <c r="G19" s="594">
        <v>33.471230152140748</v>
      </c>
      <c r="H19" s="594">
        <v>33.355713010565054</v>
      </c>
      <c r="I19" s="594">
        <v>35.076660305675865</v>
      </c>
      <c r="J19" s="594">
        <v>32.495073601362797</v>
      </c>
      <c r="K19" s="594">
        <v>33.750171698155626</v>
      </c>
    </row>
    <row r="20" spans="1:11" ht="15.5" x14ac:dyDescent="0.35">
      <c r="A20" s="950"/>
      <c r="B20" s="468" t="s">
        <v>958</v>
      </c>
      <c r="C20" s="594">
        <v>37.700000000000003</v>
      </c>
      <c r="D20" s="594">
        <v>35.200000000000003</v>
      </c>
      <c r="E20" s="594">
        <v>36.5</v>
      </c>
      <c r="F20" s="594">
        <v>35</v>
      </c>
      <c r="G20" s="594">
        <v>33.9</v>
      </c>
      <c r="H20" s="594">
        <v>34.5</v>
      </c>
      <c r="I20" s="594">
        <v>35.700000000000003</v>
      </c>
      <c r="J20" s="594">
        <v>31.5</v>
      </c>
      <c r="K20" s="594">
        <v>33.6</v>
      </c>
    </row>
    <row r="21" spans="1:11" ht="15.5" x14ac:dyDescent="0.35">
      <c r="A21" s="950"/>
      <c r="B21" s="468" t="s">
        <v>957</v>
      </c>
      <c r="C21" s="594">
        <v>38.290971718636698</v>
      </c>
      <c r="D21" s="594">
        <v>36.03407860126876</v>
      </c>
      <c r="E21" s="594">
        <v>37.199019314268604</v>
      </c>
      <c r="F21" s="594">
        <v>33.990284195202229</v>
      </c>
      <c r="G21" s="594">
        <v>33.196219638740629</v>
      </c>
      <c r="H21" s="594">
        <v>33.602393413862494</v>
      </c>
      <c r="I21" s="594">
        <v>34.134920076050982</v>
      </c>
      <c r="J21" s="594">
        <v>29.596104459193544</v>
      </c>
      <c r="K21" s="594">
        <v>31.804059261796695</v>
      </c>
    </row>
    <row r="22" spans="1:11" ht="15.5" x14ac:dyDescent="0.35">
      <c r="A22" s="950"/>
      <c r="B22" s="468" t="s">
        <v>956</v>
      </c>
      <c r="C22" s="594">
        <v>36.638894869034807</v>
      </c>
      <c r="D22" s="594">
        <v>33.50761168910649</v>
      </c>
      <c r="E22" s="594">
        <v>35.123282852593775</v>
      </c>
      <c r="F22" s="594">
        <v>32.758512695641279</v>
      </c>
      <c r="G22" s="594">
        <v>30.56031163468943</v>
      </c>
      <c r="H22" s="594">
        <v>31.684263308075174</v>
      </c>
      <c r="I22" s="594">
        <v>32.955408597729665</v>
      </c>
      <c r="J22" s="594">
        <v>27.003192443670521</v>
      </c>
      <c r="K22" s="594">
        <v>29.897563967456314</v>
      </c>
    </row>
    <row r="23" spans="1:11" ht="15" x14ac:dyDescent="0.35">
      <c r="A23" s="950">
        <v>3</v>
      </c>
      <c r="B23" s="644" t="s">
        <v>14</v>
      </c>
      <c r="C23" s="645"/>
      <c r="D23" s="645"/>
      <c r="E23" s="645"/>
      <c r="F23" s="645"/>
      <c r="G23" s="645"/>
      <c r="H23" s="645"/>
      <c r="I23" s="645"/>
      <c r="J23" s="645"/>
      <c r="K23" s="645"/>
    </row>
    <row r="24" spans="1:11" ht="15" x14ac:dyDescent="0.35">
      <c r="A24" s="950"/>
      <c r="B24" s="633" t="s">
        <v>960</v>
      </c>
      <c r="C24" s="614">
        <v>34.665848478864291</v>
      </c>
      <c r="D24" s="614">
        <v>33.824867242546453</v>
      </c>
      <c r="E24" s="614">
        <v>34.256380171467782</v>
      </c>
      <c r="F24" s="614"/>
      <c r="G24" s="614"/>
      <c r="H24" s="614"/>
      <c r="I24" s="614">
        <v>37.889839935395933</v>
      </c>
      <c r="J24" s="614">
        <v>37.143911631128596</v>
      </c>
      <c r="K24" s="614">
        <v>37.506180126885951</v>
      </c>
    </row>
    <row r="25" spans="1:11" ht="15.5" x14ac:dyDescent="0.35">
      <c r="A25" s="950"/>
      <c r="B25" s="468" t="s">
        <v>959</v>
      </c>
      <c r="C25" s="594">
        <v>37.106188422825184</v>
      </c>
      <c r="D25" s="594">
        <v>34.564488832476009</v>
      </c>
      <c r="E25" s="594">
        <v>35.868539701117349</v>
      </c>
      <c r="F25" s="594"/>
      <c r="G25" s="594"/>
      <c r="H25" s="594"/>
      <c r="I25" s="594">
        <v>40.850396807540434</v>
      </c>
      <c r="J25" s="594">
        <v>38.317772176270331</v>
      </c>
      <c r="K25" s="594">
        <v>39.547658630687444</v>
      </c>
    </row>
    <row r="26" spans="1:11" ht="15.5" x14ac:dyDescent="0.35">
      <c r="A26" s="950"/>
      <c r="B26" s="468" t="s">
        <v>958</v>
      </c>
      <c r="C26" s="594">
        <v>38.4</v>
      </c>
      <c r="D26" s="594">
        <v>34.5</v>
      </c>
      <c r="E26" s="594">
        <v>36.5</v>
      </c>
      <c r="F26" s="594"/>
      <c r="G26" s="594"/>
      <c r="H26" s="594"/>
      <c r="I26" s="594">
        <v>42.2</v>
      </c>
      <c r="J26" s="594">
        <v>37.799999999999997</v>
      </c>
      <c r="K26" s="594">
        <v>39.9</v>
      </c>
    </row>
    <row r="27" spans="1:11" ht="15.5" x14ac:dyDescent="0.35">
      <c r="A27" s="950"/>
      <c r="B27" s="468" t="s">
        <v>957</v>
      </c>
      <c r="C27" s="594">
        <v>34.685553657057817</v>
      </c>
      <c r="D27" s="594">
        <v>32.753267216609508</v>
      </c>
      <c r="E27" s="594">
        <v>33.743440266174083</v>
      </c>
      <c r="F27" s="594"/>
      <c r="G27" s="594"/>
      <c r="H27" s="594"/>
      <c r="I27" s="594">
        <v>35.176257393920743</v>
      </c>
      <c r="J27" s="594">
        <v>33.971407412177605</v>
      </c>
      <c r="K27" s="594">
        <v>34.555750862297693</v>
      </c>
    </row>
    <row r="28" spans="1:11" ht="15.5" x14ac:dyDescent="0.35">
      <c r="A28" s="950"/>
      <c r="B28" s="468" t="s">
        <v>956</v>
      </c>
      <c r="C28" s="594">
        <v>31.903274402942088</v>
      </c>
      <c r="D28" s="594">
        <v>31.377399909404506</v>
      </c>
      <c r="E28" s="594">
        <v>31.646567218338404</v>
      </c>
      <c r="F28" s="594"/>
      <c r="G28" s="594"/>
      <c r="H28" s="594"/>
      <c r="I28" s="594">
        <v>32.773874353644501</v>
      </c>
      <c r="J28" s="594">
        <v>31.091026468689474</v>
      </c>
      <c r="K28" s="594">
        <v>31.906200331194711</v>
      </c>
    </row>
    <row r="29" spans="1:11" ht="15" x14ac:dyDescent="0.35">
      <c r="A29" s="950">
        <v>4</v>
      </c>
      <c r="B29" s="644" t="s">
        <v>15</v>
      </c>
      <c r="C29" s="645"/>
      <c r="D29" s="645"/>
      <c r="E29" s="645"/>
      <c r="F29" s="645"/>
      <c r="G29" s="645"/>
      <c r="H29" s="645"/>
      <c r="I29" s="645"/>
      <c r="J29" s="645"/>
      <c r="K29" s="645"/>
    </row>
    <row r="30" spans="1:11" ht="15" x14ac:dyDescent="0.35">
      <c r="A30" s="950"/>
      <c r="B30" s="633" t="s">
        <v>960</v>
      </c>
      <c r="C30" s="614">
        <v>17.925532950452645</v>
      </c>
      <c r="D30" s="614">
        <v>21.698581198326021</v>
      </c>
      <c r="E30" s="614">
        <v>19.768299367183218</v>
      </c>
      <c r="F30" s="614">
        <v>21.927152579943453</v>
      </c>
      <c r="G30" s="614">
        <v>27.1972514324057</v>
      </c>
      <c r="H30" s="614">
        <v>24.409153606735131</v>
      </c>
      <c r="I30" s="614">
        <v>26.557422948236013</v>
      </c>
      <c r="J30" s="614">
        <v>30.514085678460617</v>
      </c>
      <c r="K30" s="614">
        <v>28.541039809603959</v>
      </c>
    </row>
    <row r="31" spans="1:11" ht="15.5" x14ac:dyDescent="0.35">
      <c r="A31" s="950"/>
      <c r="B31" s="468" t="s">
        <v>959</v>
      </c>
      <c r="C31" s="594">
        <v>17.540925365677644</v>
      </c>
      <c r="D31" s="594">
        <v>19.933604128346616</v>
      </c>
      <c r="E31" s="594">
        <v>18.705135729224466</v>
      </c>
      <c r="F31" s="594">
        <v>19.301785311716472</v>
      </c>
      <c r="G31" s="594">
        <v>21.432957455618229</v>
      </c>
      <c r="H31" s="594">
        <v>20.303799505301562</v>
      </c>
      <c r="I31" s="594">
        <v>26.297208505277748</v>
      </c>
      <c r="J31" s="594">
        <v>28.435133149579535</v>
      </c>
      <c r="K31" s="594">
        <v>27.367442217633169</v>
      </c>
    </row>
    <row r="32" spans="1:11" ht="15.5" x14ac:dyDescent="0.35">
      <c r="A32" s="950"/>
      <c r="B32" s="468" t="s">
        <v>958</v>
      </c>
      <c r="C32" s="594">
        <v>16.2</v>
      </c>
      <c r="D32" s="594">
        <v>17.600000000000001</v>
      </c>
      <c r="E32" s="594">
        <v>16.899999999999999</v>
      </c>
      <c r="F32" s="594">
        <v>18.2</v>
      </c>
      <c r="G32" s="594">
        <v>19.5</v>
      </c>
      <c r="H32" s="594">
        <v>18.8</v>
      </c>
      <c r="I32" s="594">
        <v>25.4</v>
      </c>
      <c r="J32" s="594">
        <v>26.3</v>
      </c>
      <c r="K32" s="594">
        <v>25.8</v>
      </c>
    </row>
    <row r="33" spans="1:11" ht="15.5" x14ac:dyDescent="0.35">
      <c r="A33" s="950"/>
      <c r="B33" s="468" t="s">
        <v>957</v>
      </c>
      <c r="C33" s="594">
        <v>16.760684179572632</v>
      </c>
      <c r="D33" s="594">
        <v>18.351834625322997</v>
      </c>
      <c r="E33" s="594">
        <v>17.535166272576344</v>
      </c>
      <c r="F33" s="594">
        <v>17.041863148389684</v>
      </c>
      <c r="G33" s="594">
        <v>18.966225597143911</v>
      </c>
      <c r="H33" s="594">
        <v>17.945477042615185</v>
      </c>
      <c r="I33" s="594">
        <v>23.783384694401644</v>
      </c>
      <c r="J33" s="594">
        <v>25.567509219391422</v>
      </c>
      <c r="K33" s="594">
        <v>24.67542368970685</v>
      </c>
    </row>
    <row r="34" spans="1:11" ht="15.5" x14ac:dyDescent="0.35">
      <c r="A34" s="950"/>
      <c r="B34" s="468" t="s">
        <v>956</v>
      </c>
      <c r="C34" s="594">
        <v>15.705619982158787</v>
      </c>
      <c r="D34" s="594">
        <v>17.42522193211488</v>
      </c>
      <c r="E34" s="594">
        <v>16.542946501220506</v>
      </c>
      <c r="F34" s="594">
        <v>17.527551266280295</v>
      </c>
      <c r="G34" s="594">
        <v>18.981054017879508</v>
      </c>
      <c r="H34" s="594">
        <v>18.2103974877109</v>
      </c>
      <c r="I34" s="594">
        <v>20.389440711526603</v>
      </c>
      <c r="J34" s="594">
        <v>22.344989214525519</v>
      </c>
      <c r="K34" s="594">
        <v>21.367599369680153</v>
      </c>
    </row>
    <row r="35" spans="1:11" ht="15" x14ac:dyDescent="0.35">
      <c r="A35" s="950">
        <v>5</v>
      </c>
      <c r="B35" s="644" t="s">
        <v>16</v>
      </c>
      <c r="C35" s="645"/>
      <c r="D35" s="645"/>
      <c r="E35" s="645"/>
      <c r="F35" s="645"/>
      <c r="G35" s="645"/>
      <c r="H35" s="645"/>
      <c r="I35" s="645"/>
      <c r="J35" s="645"/>
      <c r="K35" s="645"/>
    </row>
    <row r="36" spans="1:11" ht="15" x14ac:dyDescent="0.35">
      <c r="A36" s="950"/>
      <c r="B36" s="633" t="s">
        <v>960</v>
      </c>
      <c r="C36" s="614">
        <v>16.643545279383432</v>
      </c>
      <c r="D36" s="614">
        <v>18.777134704425542</v>
      </c>
      <c r="E36" s="614">
        <v>17.657969493781032</v>
      </c>
      <c r="F36" s="614">
        <v>17.60361651207192</v>
      </c>
      <c r="G36" s="614">
        <v>16.031612184760359</v>
      </c>
      <c r="H36" s="614">
        <v>16.825311993919449</v>
      </c>
      <c r="I36" s="614">
        <v>25.310111579899868</v>
      </c>
      <c r="J36" s="614">
        <v>26.222677678002515</v>
      </c>
      <c r="K36" s="614">
        <v>25.76073223000289</v>
      </c>
    </row>
    <row r="37" spans="1:11" ht="15.5" x14ac:dyDescent="0.35">
      <c r="A37" s="950"/>
      <c r="B37" s="468" t="s">
        <v>959</v>
      </c>
      <c r="C37" s="594">
        <v>16.61686348102921</v>
      </c>
      <c r="D37" s="594">
        <v>17.324545830065912</v>
      </c>
      <c r="E37" s="594">
        <v>16.952169566929356</v>
      </c>
      <c r="F37" s="594">
        <v>17.190880084949612</v>
      </c>
      <c r="G37" s="594">
        <v>14.49421858229994</v>
      </c>
      <c r="H37" s="594">
        <v>15.862422971427655</v>
      </c>
      <c r="I37" s="594">
        <v>31.213781605972329</v>
      </c>
      <c r="J37" s="594">
        <v>29.619180195462587</v>
      </c>
      <c r="K37" s="594">
        <v>30.430318461233043</v>
      </c>
    </row>
    <row r="38" spans="1:11" ht="15.5" x14ac:dyDescent="0.35">
      <c r="A38" s="950"/>
      <c r="B38" s="468" t="s">
        <v>958</v>
      </c>
      <c r="C38" s="594">
        <v>17.8</v>
      </c>
      <c r="D38" s="594">
        <v>16.3</v>
      </c>
      <c r="E38" s="594">
        <v>17.100000000000001</v>
      </c>
      <c r="F38" s="594">
        <v>19</v>
      </c>
      <c r="G38" s="594">
        <v>13.6</v>
      </c>
      <c r="H38" s="594">
        <v>16.399999999999999</v>
      </c>
      <c r="I38" s="594">
        <v>38</v>
      </c>
      <c r="J38" s="594">
        <v>31</v>
      </c>
      <c r="K38" s="594">
        <v>34.6</v>
      </c>
    </row>
    <row r="39" spans="1:11" ht="15.5" x14ac:dyDescent="0.35">
      <c r="A39" s="950"/>
      <c r="B39" s="468" t="s">
        <v>957</v>
      </c>
      <c r="C39" s="594">
        <v>16.567159269193784</v>
      </c>
      <c r="D39" s="594">
        <v>15.107450721222918</v>
      </c>
      <c r="E39" s="594">
        <v>15.883618137782562</v>
      </c>
      <c r="F39" s="594">
        <v>13.330785056015451</v>
      </c>
      <c r="G39" s="594">
        <v>9.6545275012480545</v>
      </c>
      <c r="H39" s="594">
        <v>11.536745975730781</v>
      </c>
      <c r="I39" s="594">
        <v>21.977165194544426</v>
      </c>
      <c r="J39" s="594">
        <v>17.370490104418938</v>
      </c>
      <c r="K39" s="594">
        <v>19.735096433231362</v>
      </c>
    </row>
    <row r="40" spans="1:11" ht="15.5" x14ac:dyDescent="0.35">
      <c r="A40" s="950"/>
      <c r="B40" s="468" t="s">
        <v>956</v>
      </c>
      <c r="C40" s="594">
        <v>12.654967250332716</v>
      </c>
      <c r="D40" s="594">
        <v>11.489803851213971</v>
      </c>
      <c r="E40" s="594">
        <v>12.111976590259877</v>
      </c>
      <c r="F40" s="594">
        <v>11.153165131284011</v>
      </c>
      <c r="G40" s="594">
        <v>7.1208728245040227</v>
      </c>
      <c r="H40" s="594">
        <v>9.1944900320159277</v>
      </c>
      <c r="I40" s="594">
        <v>18.983842366702277</v>
      </c>
      <c r="J40" s="594">
        <v>15.573242061584988</v>
      </c>
      <c r="K40" s="594">
        <v>17.331607100269157</v>
      </c>
    </row>
    <row r="41" spans="1:11" ht="15" x14ac:dyDescent="0.35">
      <c r="A41" s="950">
        <v>6</v>
      </c>
      <c r="B41" s="644" t="s">
        <v>17</v>
      </c>
      <c r="C41" s="645"/>
      <c r="D41" s="645"/>
      <c r="E41" s="645"/>
      <c r="F41" s="645"/>
      <c r="G41" s="645"/>
      <c r="H41" s="645"/>
      <c r="I41" s="645"/>
      <c r="J41" s="645"/>
      <c r="K41" s="645"/>
    </row>
    <row r="42" spans="1:11" ht="15" x14ac:dyDescent="0.35">
      <c r="A42" s="950"/>
      <c r="B42" s="633" t="s">
        <v>960</v>
      </c>
      <c r="C42" s="614">
        <v>49.109383048214973</v>
      </c>
      <c r="D42" s="614">
        <v>71.166375360900147</v>
      </c>
      <c r="E42" s="614">
        <v>58.491752645023546</v>
      </c>
      <c r="F42" s="614">
        <v>41.114972200172225</v>
      </c>
      <c r="G42" s="614">
        <v>46.096073213216236</v>
      </c>
      <c r="H42" s="614">
        <v>43.376492299331098</v>
      </c>
      <c r="I42" s="614"/>
      <c r="J42" s="614"/>
      <c r="K42" s="614"/>
    </row>
    <row r="43" spans="1:11" ht="15.5" x14ac:dyDescent="0.35">
      <c r="A43" s="950"/>
      <c r="B43" s="468" t="s">
        <v>959</v>
      </c>
      <c r="C43" s="594">
        <v>54.000814585859345</v>
      </c>
      <c r="D43" s="594">
        <v>72.035386022459519</v>
      </c>
      <c r="E43" s="594">
        <v>61.723972981951562</v>
      </c>
      <c r="F43" s="594">
        <v>46.597538676608231</v>
      </c>
      <c r="G43" s="594">
        <v>48.295254962810517</v>
      </c>
      <c r="H43" s="594">
        <v>47.373279932133698</v>
      </c>
      <c r="I43" s="594"/>
      <c r="J43" s="594"/>
      <c r="K43" s="594"/>
    </row>
    <row r="44" spans="1:11" ht="15.5" x14ac:dyDescent="0.35">
      <c r="A44" s="950"/>
      <c r="B44" s="468" t="s">
        <v>958</v>
      </c>
      <c r="C44" s="594">
        <v>56.8</v>
      </c>
      <c r="D44" s="594">
        <v>75.400000000000006</v>
      </c>
      <c r="E44" s="594">
        <v>64.8</v>
      </c>
      <c r="F44" s="594">
        <v>53.7</v>
      </c>
      <c r="G44" s="594">
        <v>52.9</v>
      </c>
      <c r="H44" s="594">
        <v>53.4</v>
      </c>
      <c r="I44" s="594"/>
      <c r="J44" s="594"/>
      <c r="K44" s="594"/>
    </row>
    <row r="45" spans="1:11" ht="15.5" x14ac:dyDescent="0.35">
      <c r="A45" s="950"/>
      <c r="B45" s="468" t="s">
        <v>957</v>
      </c>
      <c r="C45" s="594">
        <v>57.815400843881861</v>
      </c>
      <c r="D45" s="594">
        <v>76.952644313861043</v>
      </c>
      <c r="E45" s="594">
        <v>66.097232610321612</v>
      </c>
      <c r="F45" s="594">
        <v>53.251962638244223</v>
      </c>
      <c r="G45" s="594">
        <v>50.427921904252472</v>
      </c>
      <c r="H45" s="594">
        <v>51.948653068781439</v>
      </c>
      <c r="I45" s="594"/>
      <c r="J45" s="594"/>
      <c r="K45" s="594"/>
    </row>
    <row r="46" spans="1:11" ht="15.5" x14ac:dyDescent="0.35">
      <c r="A46" s="950"/>
      <c r="B46" s="468" t="s">
        <v>956</v>
      </c>
      <c r="C46" s="594">
        <v>57.660608163796468</v>
      </c>
      <c r="D46" s="594">
        <v>75.551130506009116</v>
      </c>
      <c r="E46" s="594">
        <v>65.431447482226218</v>
      </c>
      <c r="F46" s="594">
        <v>40.217967599410898</v>
      </c>
      <c r="G46" s="594">
        <v>41.22789045960527</v>
      </c>
      <c r="H46" s="594">
        <v>40.686972198500811</v>
      </c>
      <c r="I46" s="594"/>
      <c r="J46" s="594"/>
      <c r="K46" s="594"/>
    </row>
    <row r="47" spans="1:11" ht="15" x14ac:dyDescent="0.35">
      <c r="A47" s="950">
        <v>7</v>
      </c>
      <c r="B47" s="644" t="s">
        <v>18</v>
      </c>
      <c r="C47" s="645"/>
      <c r="D47" s="645"/>
      <c r="E47" s="645"/>
      <c r="F47" s="645"/>
      <c r="G47" s="645"/>
      <c r="H47" s="645"/>
      <c r="I47" s="645"/>
      <c r="J47" s="645"/>
      <c r="K47" s="645"/>
    </row>
    <row r="48" spans="1:11" ht="15" x14ac:dyDescent="0.35">
      <c r="A48" s="950"/>
      <c r="B48" s="633" t="s">
        <v>960</v>
      </c>
      <c r="C48" s="614">
        <v>21.50047738393603</v>
      </c>
      <c r="D48" s="614">
        <v>28.175899938987182</v>
      </c>
      <c r="E48" s="614">
        <v>24.798141891891888</v>
      </c>
      <c r="F48" s="614">
        <v>22.779072449582436</v>
      </c>
      <c r="G48" s="614">
        <v>28.35462382730357</v>
      </c>
      <c r="H48" s="614">
        <v>25.514306011676862</v>
      </c>
      <c r="I48" s="614">
        <v>13.145973174731939</v>
      </c>
      <c r="J48" s="614">
        <v>20.388908995419612</v>
      </c>
      <c r="K48" s="614">
        <v>16.838789096363115</v>
      </c>
    </row>
    <row r="49" spans="1:11" ht="15.5" x14ac:dyDescent="0.35">
      <c r="A49" s="950"/>
      <c r="B49" s="468" t="s">
        <v>959</v>
      </c>
      <c r="C49" s="594">
        <v>25.190721406584021</v>
      </c>
      <c r="D49" s="594">
        <v>30.566596932622904</v>
      </c>
      <c r="E49" s="594">
        <v>27.846830334659007</v>
      </c>
      <c r="F49" s="594">
        <v>26.683418083549192</v>
      </c>
      <c r="G49" s="594">
        <v>30.467496939836984</v>
      </c>
      <c r="H49" s="594">
        <v>28.539574318058403</v>
      </c>
      <c r="I49" s="594">
        <v>17.008911705863351</v>
      </c>
      <c r="J49" s="594">
        <v>24.009715368565658</v>
      </c>
      <c r="K49" s="594">
        <v>20.57786326197165</v>
      </c>
    </row>
    <row r="50" spans="1:11" ht="15.5" x14ac:dyDescent="0.35">
      <c r="A50" s="950"/>
      <c r="B50" s="468" t="s">
        <v>958</v>
      </c>
      <c r="C50" s="594">
        <v>17.600000000000001</v>
      </c>
      <c r="D50" s="594">
        <v>21.6</v>
      </c>
      <c r="E50" s="594">
        <v>19.600000000000001</v>
      </c>
      <c r="F50" s="594">
        <v>19.100000000000001</v>
      </c>
      <c r="G50" s="594">
        <v>21.7</v>
      </c>
      <c r="H50" s="594">
        <v>20.3</v>
      </c>
      <c r="I50" s="594">
        <v>10.8</v>
      </c>
      <c r="J50" s="594">
        <v>15.3</v>
      </c>
      <c r="K50" s="594">
        <v>13.1</v>
      </c>
    </row>
    <row r="51" spans="1:11" ht="15.5" x14ac:dyDescent="0.35">
      <c r="A51" s="950"/>
      <c r="B51" s="468" t="s">
        <v>957</v>
      </c>
      <c r="C51" s="594">
        <v>18.004756242568369</v>
      </c>
      <c r="D51" s="594">
        <v>21.300583302952973</v>
      </c>
      <c r="E51" s="594">
        <v>19.634743674499671</v>
      </c>
      <c r="F51" s="594">
        <v>18.338804873948092</v>
      </c>
      <c r="G51" s="594">
        <v>20.415792204929438</v>
      </c>
      <c r="H51" s="594">
        <v>19.357957144563301</v>
      </c>
      <c r="I51" s="594">
        <v>11.958366096925051</v>
      </c>
      <c r="J51" s="594">
        <v>16.169724542611089</v>
      </c>
      <c r="K51" s="594">
        <v>14.106000087206146</v>
      </c>
    </row>
    <row r="52" spans="1:11" ht="15.5" x14ac:dyDescent="0.35">
      <c r="A52" s="950"/>
      <c r="B52" s="468" t="s">
        <v>956</v>
      </c>
      <c r="C52" s="594">
        <v>16.345895745955662</v>
      </c>
      <c r="D52" s="594">
        <v>19.184020555487578</v>
      </c>
      <c r="E52" s="594">
        <v>17.750181620050853</v>
      </c>
      <c r="F52" s="594">
        <v>16.754283879770458</v>
      </c>
      <c r="G52" s="594">
        <v>18.520744806284707</v>
      </c>
      <c r="H52" s="594">
        <v>17.62147536443744</v>
      </c>
      <c r="I52" s="594">
        <v>9.6103435691569796</v>
      </c>
      <c r="J52" s="594">
        <v>12.57350041142212</v>
      </c>
      <c r="K52" s="594">
        <v>11.122142652125461</v>
      </c>
    </row>
    <row r="53" spans="1:11" ht="15" x14ac:dyDescent="0.35">
      <c r="A53" s="950">
        <v>8</v>
      </c>
      <c r="B53" s="644" t="s">
        <v>19</v>
      </c>
      <c r="C53" s="645"/>
      <c r="D53" s="645"/>
      <c r="E53" s="645"/>
      <c r="F53" s="645"/>
      <c r="G53" s="645"/>
      <c r="H53" s="645"/>
      <c r="I53" s="645"/>
      <c r="J53" s="645"/>
      <c r="K53" s="645"/>
    </row>
    <row r="54" spans="1:11" ht="15" x14ac:dyDescent="0.35">
      <c r="A54" s="950"/>
      <c r="B54" s="633" t="s">
        <v>960</v>
      </c>
      <c r="C54" s="614">
        <v>51.465068038499837</v>
      </c>
      <c r="D54" s="614">
        <v>54.485109023222833</v>
      </c>
      <c r="E54" s="614">
        <v>52.952491210016284</v>
      </c>
      <c r="F54" s="614">
        <v>38.107886260188785</v>
      </c>
      <c r="G54" s="614">
        <v>38.574354005877524</v>
      </c>
      <c r="H54" s="614">
        <v>38.33888627547195</v>
      </c>
      <c r="I54" s="614"/>
      <c r="J54" s="614"/>
      <c r="K54" s="614"/>
    </row>
    <row r="55" spans="1:11" ht="15.5" x14ac:dyDescent="0.35">
      <c r="A55" s="950"/>
      <c r="B55" s="468" t="s">
        <v>959</v>
      </c>
      <c r="C55" s="594">
        <v>55.137624058384695</v>
      </c>
      <c r="D55" s="594">
        <v>56.298002322310367</v>
      </c>
      <c r="E55" s="594">
        <v>55.735612895897965</v>
      </c>
      <c r="F55" s="594">
        <v>39.208708510330219</v>
      </c>
      <c r="G55" s="594">
        <v>38.224326118392426</v>
      </c>
      <c r="H55" s="594">
        <v>38.722259020789828</v>
      </c>
      <c r="I55" s="594"/>
      <c r="J55" s="594"/>
      <c r="K55" s="594"/>
    </row>
    <row r="56" spans="1:11" ht="15.5" x14ac:dyDescent="0.35">
      <c r="A56" s="950"/>
      <c r="B56" s="468" t="s">
        <v>958</v>
      </c>
      <c r="C56" s="594">
        <v>48.3</v>
      </c>
      <c r="D56" s="594">
        <v>49.7</v>
      </c>
      <c r="E56" s="594">
        <v>49</v>
      </c>
      <c r="F56" s="594">
        <v>36.6</v>
      </c>
      <c r="G56" s="594">
        <v>35.6</v>
      </c>
      <c r="H56" s="594">
        <v>36.1</v>
      </c>
      <c r="I56" s="594"/>
      <c r="J56" s="594"/>
      <c r="K56" s="594"/>
    </row>
    <row r="57" spans="1:11" ht="15.5" x14ac:dyDescent="0.35">
      <c r="A57" s="950"/>
      <c r="B57" s="468" t="s">
        <v>957</v>
      </c>
      <c r="C57" s="594">
        <v>46.674020823004462</v>
      </c>
      <c r="D57" s="594">
        <v>48.531911079239869</v>
      </c>
      <c r="E57" s="594">
        <v>47.565181872903942</v>
      </c>
      <c r="F57" s="594">
        <v>26.256958039749918</v>
      </c>
      <c r="G57" s="594">
        <v>23.842120254198903</v>
      </c>
      <c r="H57" s="594">
        <v>25.070379879270117</v>
      </c>
      <c r="I57" s="594"/>
      <c r="J57" s="594"/>
      <c r="K57" s="594"/>
    </row>
    <row r="58" spans="1:11" ht="15.5" x14ac:dyDescent="0.35">
      <c r="A58" s="950"/>
      <c r="B58" s="468" t="s">
        <v>956</v>
      </c>
      <c r="C58" s="594">
        <v>47.973060344827587</v>
      </c>
      <c r="D58" s="594">
        <v>50.181941677232388</v>
      </c>
      <c r="E58" s="594">
        <v>49.028650566952308</v>
      </c>
      <c r="F58" s="594">
        <v>36.648717136522016</v>
      </c>
      <c r="G58" s="594">
        <v>38.351873342957155</v>
      </c>
      <c r="H58" s="594">
        <v>37.48247548878085</v>
      </c>
      <c r="I58" s="594"/>
      <c r="J58" s="594"/>
      <c r="K58" s="594"/>
    </row>
    <row r="59" spans="1:11" ht="15" x14ac:dyDescent="0.35">
      <c r="A59" s="950">
        <v>9</v>
      </c>
      <c r="B59" s="644" t="s">
        <v>20</v>
      </c>
      <c r="C59" s="645"/>
      <c r="D59" s="645"/>
      <c r="E59" s="645"/>
      <c r="F59" s="645"/>
      <c r="G59" s="645"/>
      <c r="H59" s="645"/>
      <c r="I59" s="645"/>
      <c r="J59" s="645"/>
      <c r="K59" s="645"/>
    </row>
    <row r="60" spans="1:11" ht="15" x14ac:dyDescent="0.35">
      <c r="A60" s="950"/>
      <c r="B60" s="633" t="s">
        <v>960</v>
      </c>
      <c r="C60" s="614">
        <v>31.449936358782782</v>
      </c>
      <c r="D60" s="614">
        <v>36.726056407889502</v>
      </c>
      <c r="E60" s="614">
        <v>33.858336612411257</v>
      </c>
      <c r="F60" s="614">
        <v>41.127704498014957</v>
      </c>
      <c r="G60" s="614">
        <v>36.787315319879077</v>
      </c>
      <c r="H60" s="614">
        <v>39.009747472526485</v>
      </c>
      <c r="I60" s="614">
        <v>20.533493199759707</v>
      </c>
      <c r="J60" s="614">
        <v>32.44307960241899</v>
      </c>
      <c r="K60" s="614">
        <v>26.396860215413863</v>
      </c>
    </row>
    <row r="61" spans="1:11" ht="15.5" x14ac:dyDescent="0.35">
      <c r="A61" s="950"/>
      <c r="B61" s="468" t="s">
        <v>959</v>
      </c>
      <c r="C61" s="594">
        <v>34.283891392117759</v>
      </c>
      <c r="D61" s="594">
        <v>36.590686770366553</v>
      </c>
      <c r="E61" s="594">
        <v>35.343699094908665</v>
      </c>
      <c r="F61" s="594">
        <v>46.072369847272029</v>
      </c>
      <c r="G61" s="594">
        <v>34.561280653077411</v>
      </c>
      <c r="H61" s="594">
        <v>40.421101492118751</v>
      </c>
      <c r="I61" s="594">
        <v>22.598705796847046</v>
      </c>
      <c r="J61" s="594">
        <v>32.535748971732282</v>
      </c>
      <c r="K61" s="594">
        <v>27.520529660424693</v>
      </c>
    </row>
    <row r="62" spans="1:11" ht="15.5" x14ac:dyDescent="0.35">
      <c r="A62" s="950"/>
      <c r="B62" s="468" t="s">
        <v>958</v>
      </c>
      <c r="C62" s="594">
        <v>36</v>
      </c>
      <c r="D62" s="594">
        <v>35.5</v>
      </c>
      <c r="E62" s="594">
        <v>35.799999999999997</v>
      </c>
      <c r="F62" s="594">
        <v>45.4</v>
      </c>
      <c r="G62" s="594">
        <v>33.5</v>
      </c>
      <c r="H62" s="594">
        <v>39.5</v>
      </c>
      <c r="I62" s="594">
        <v>23.7</v>
      </c>
      <c r="J62" s="594">
        <v>31.6</v>
      </c>
      <c r="K62" s="594">
        <v>27.6</v>
      </c>
    </row>
    <row r="63" spans="1:11" ht="15.5" x14ac:dyDescent="0.35">
      <c r="A63" s="950"/>
      <c r="B63" s="468" t="s">
        <v>957</v>
      </c>
      <c r="C63" s="594">
        <v>30.756035312330027</v>
      </c>
      <c r="D63" s="594">
        <v>37.307157958320744</v>
      </c>
      <c r="E63" s="594">
        <v>33.79601858963219</v>
      </c>
      <c r="F63" s="594">
        <v>51.050539466212378</v>
      </c>
      <c r="G63" s="594">
        <v>38.959537572254341</v>
      </c>
      <c r="H63" s="594">
        <v>45.058722429103412</v>
      </c>
      <c r="I63" s="594">
        <v>24.183460736622656</v>
      </c>
      <c r="J63" s="594">
        <v>31.92771084337349</v>
      </c>
      <c r="K63" s="594">
        <v>28.055137263987028</v>
      </c>
    </row>
    <row r="64" spans="1:11" ht="15.5" x14ac:dyDescent="0.35">
      <c r="A64" s="950"/>
      <c r="B64" s="468" t="s">
        <v>956</v>
      </c>
      <c r="C64" s="594">
        <v>26.942598447211648</v>
      </c>
      <c r="D64" s="594">
        <v>34.216079471833162</v>
      </c>
      <c r="E64" s="594">
        <v>30.329427853978359</v>
      </c>
      <c r="F64" s="594">
        <v>32.399299474605954</v>
      </c>
      <c r="G64" s="594">
        <v>31.877213695395511</v>
      </c>
      <c r="H64" s="594">
        <v>32.139712356912241</v>
      </c>
      <c r="I64" s="594">
        <v>22.029054536794476</v>
      </c>
      <c r="J64" s="594">
        <v>31.380901668441602</v>
      </c>
      <c r="K64" s="594">
        <v>26.719686628286542</v>
      </c>
    </row>
    <row r="65" spans="1:11" ht="15" x14ac:dyDescent="0.35">
      <c r="A65" s="950">
        <v>10</v>
      </c>
      <c r="B65" s="644" t="s">
        <v>21</v>
      </c>
      <c r="C65" s="645"/>
      <c r="D65" s="645"/>
      <c r="E65" s="645"/>
      <c r="F65" s="645"/>
      <c r="G65" s="645"/>
      <c r="H65" s="645"/>
      <c r="I65" s="645"/>
      <c r="J65" s="645"/>
      <c r="K65" s="645"/>
    </row>
    <row r="66" spans="1:11" ht="15" x14ac:dyDescent="0.35">
      <c r="A66" s="950"/>
      <c r="B66" s="633" t="s">
        <v>960</v>
      </c>
      <c r="C66" s="614">
        <v>26.661385837930862</v>
      </c>
      <c r="D66" s="614">
        <v>25.794056187601576</v>
      </c>
      <c r="E66" s="614">
        <v>26.253115622719044</v>
      </c>
      <c r="F66" s="614">
        <v>34.534842246003514</v>
      </c>
      <c r="G66" s="614">
        <v>36.074997839120563</v>
      </c>
      <c r="H66" s="614">
        <v>35.254454682730177</v>
      </c>
      <c r="I66" s="614">
        <v>21.706925377365597</v>
      </c>
      <c r="J66" s="614">
        <v>25.421112248038767</v>
      </c>
      <c r="K66" s="614">
        <v>23.530461108599052</v>
      </c>
    </row>
    <row r="67" spans="1:11" ht="15.5" x14ac:dyDescent="0.35">
      <c r="A67" s="950"/>
      <c r="B67" s="468" t="s">
        <v>959</v>
      </c>
      <c r="C67" s="594">
        <v>26.28901414121081</v>
      </c>
      <c r="D67" s="594">
        <v>24.344647293315617</v>
      </c>
      <c r="E67" s="594">
        <v>25.378361299343876</v>
      </c>
      <c r="F67" s="594">
        <v>34.912981853977257</v>
      </c>
      <c r="G67" s="594">
        <v>33.716115284004658</v>
      </c>
      <c r="H67" s="594">
        <v>34.354082240595574</v>
      </c>
      <c r="I67" s="594">
        <v>21.542939623687126</v>
      </c>
      <c r="J67" s="594">
        <v>23.635541719923854</v>
      </c>
      <c r="K67" s="594">
        <v>22.56977813117182</v>
      </c>
    </row>
    <row r="68" spans="1:11" ht="15.5" x14ac:dyDescent="0.35">
      <c r="A68" s="950"/>
      <c r="B68" s="468" t="s">
        <v>958</v>
      </c>
      <c r="C68" s="594">
        <v>25.2</v>
      </c>
      <c r="D68" s="594">
        <v>22.7</v>
      </c>
      <c r="E68" s="594">
        <v>24</v>
      </c>
      <c r="F68" s="594">
        <v>33.6</v>
      </c>
      <c r="G68" s="594">
        <v>30.8</v>
      </c>
      <c r="H68" s="594">
        <v>32.299999999999997</v>
      </c>
      <c r="I68" s="594">
        <v>19.899999999999999</v>
      </c>
      <c r="J68" s="594">
        <v>21</v>
      </c>
      <c r="K68" s="594">
        <v>20.399999999999999</v>
      </c>
    </row>
    <row r="69" spans="1:11" ht="15.5" x14ac:dyDescent="0.35">
      <c r="A69" s="950"/>
      <c r="B69" s="468" t="s">
        <v>957</v>
      </c>
      <c r="C69" s="594">
        <v>23.55725190839695</v>
      </c>
      <c r="D69" s="594">
        <v>20.605971525736351</v>
      </c>
      <c r="E69" s="594">
        <v>22.183113711387243</v>
      </c>
      <c r="F69" s="594">
        <v>30.08968546229876</v>
      </c>
      <c r="G69" s="594">
        <v>26.707179323160634</v>
      </c>
      <c r="H69" s="594">
        <v>28.509950366343656</v>
      </c>
      <c r="I69" s="594">
        <v>17.700175991873664</v>
      </c>
      <c r="J69" s="594">
        <v>17.884121206178786</v>
      </c>
      <c r="K69" s="594">
        <v>17.790449152100603</v>
      </c>
    </row>
    <row r="70" spans="1:11" ht="15.5" x14ac:dyDescent="0.35">
      <c r="A70" s="950"/>
      <c r="B70" s="468" t="s">
        <v>956</v>
      </c>
      <c r="C70" s="594">
        <v>21.799662281364988</v>
      </c>
      <c r="D70" s="594">
        <v>19.640426392419691</v>
      </c>
      <c r="E70" s="594">
        <v>20.793603790346463</v>
      </c>
      <c r="F70" s="594">
        <v>27.864521205949274</v>
      </c>
      <c r="G70" s="594">
        <v>25.697902336283619</v>
      </c>
      <c r="H70" s="594">
        <v>26.851939657624918</v>
      </c>
      <c r="I70" s="594">
        <v>15.67766219139919</v>
      </c>
      <c r="J70" s="594">
        <v>16.689974589927292</v>
      </c>
      <c r="K70" s="594">
        <v>16.17479668256739</v>
      </c>
    </row>
    <row r="71" spans="1:11" ht="15" x14ac:dyDescent="0.35">
      <c r="A71" s="950">
        <v>11</v>
      </c>
      <c r="B71" s="644" t="s">
        <v>22</v>
      </c>
      <c r="C71" s="645"/>
      <c r="D71" s="645"/>
      <c r="E71" s="645"/>
      <c r="F71" s="645"/>
      <c r="G71" s="645"/>
      <c r="H71" s="645"/>
      <c r="I71" s="645"/>
      <c r="J71" s="645"/>
      <c r="K71" s="645"/>
    </row>
    <row r="72" spans="1:11" ht="15" x14ac:dyDescent="0.35">
      <c r="A72" s="950"/>
      <c r="B72" s="633" t="s">
        <v>960</v>
      </c>
      <c r="C72" s="614">
        <v>31.104602272727274</v>
      </c>
      <c r="D72" s="614">
        <v>39.853062309020856</v>
      </c>
      <c r="E72" s="614">
        <v>35.127020573108005</v>
      </c>
      <c r="F72" s="614">
        <v>23.290790384615384</v>
      </c>
      <c r="G72" s="614">
        <v>32.980638794696823</v>
      </c>
      <c r="H72" s="614">
        <v>27.733767023249957</v>
      </c>
      <c r="I72" s="614"/>
      <c r="J72" s="614"/>
      <c r="K72" s="614"/>
    </row>
    <row r="73" spans="1:11" ht="15.5" x14ac:dyDescent="0.35">
      <c r="A73" s="950"/>
      <c r="B73" s="468" t="s">
        <v>959</v>
      </c>
      <c r="C73" s="594">
        <v>31.242309859154933</v>
      </c>
      <c r="D73" s="594">
        <v>39.057031456515993</v>
      </c>
      <c r="E73" s="594">
        <v>34.827982488143014</v>
      </c>
      <c r="F73" s="594">
        <v>23.951112693000969</v>
      </c>
      <c r="G73" s="594">
        <v>32.0845352506526</v>
      </c>
      <c r="H73" s="594">
        <v>27.673738373006202</v>
      </c>
      <c r="I73" s="594"/>
      <c r="J73" s="594"/>
      <c r="K73" s="594"/>
    </row>
    <row r="74" spans="1:11" ht="15.5" x14ac:dyDescent="0.35">
      <c r="A74" s="950"/>
      <c r="B74" s="468" t="s">
        <v>958</v>
      </c>
      <c r="C74" s="594">
        <v>30.3</v>
      </c>
      <c r="D74" s="594">
        <v>37</v>
      </c>
      <c r="E74" s="594">
        <v>33.299999999999997</v>
      </c>
      <c r="F74" s="594">
        <v>24.2</v>
      </c>
      <c r="G74" s="594">
        <v>29.2</v>
      </c>
      <c r="H74" s="594">
        <v>26.5</v>
      </c>
      <c r="I74" s="594"/>
      <c r="J74" s="594"/>
      <c r="K74" s="594"/>
    </row>
    <row r="75" spans="1:11" ht="15.5" x14ac:dyDescent="0.35">
      <c r="A75" s="950"/>
      <c r="B75" s="468" t="s">
        <v>957</v>
      </c>
      <c r="C75" s="594">
        <v>28.908720410897722</v>
      </c>
      <c r="D75" s="594">
        <v>33.658899420747765</v>
      </c>
      <c r="E75" s="594">
        <v>31.088659980666989</v>
      </c>
      <c r="F75" s="594">
        <v>20.502186441700569</v>
      </c>
      <c r="G75" s="594">
        <v>23.783236642079906</v>
      </c>
      <c r="H75" s="594">
        <v>21.999731927951359</v>
      </c>
      <c r="I75" s="594"/>
      <c r="J75" s="594"/>
      <c r="K75" s="594"/>
    </row>
    <row r="76" spans="1:11" ht="15.5" x14ac:dyDescent="0.35">
      <c r="A76" s="950"/>
      <c r="B76" s="468" t="s">
        <v>956</v>
      </c>
      <c r="C76" s="594">
        <v>25.691084579334973</v>
      </c>
      <c r="D76" s="594">
        <v>31.175299855015158</v>
      </c>
      <c r="E76" s="594">
        <v>28.205359840473744</v>
      </c>
      <c r="F76" s="594">
        <v>16.781748403535815</v>
      </c>
      <c r="G76" s="594">
        <v>20.630506926568057</v>
      </c>
      <c r="H76" s="594">
        <v>18.536609715051767</v>
      </c>
      <c r="I76" s="594"/>
      <c r="J76" s="594"/>
      <c r="K76" s="594"/>
    </row>
    <row r="77" spans="1:11" ht="15" x14ac:dyDescent="0.35">
      <c r="A77" s="950">
        <v>12</v>
      </c>
      <c r="B77" s="644" t="s">
        <v>23</v>
      </c>
      <c r="C77" s="645"/>
      <c r="D77" s="645"/>
      <c r="E77" s="645"/>
      <c r="F77" s="645"/>
      <c r="G77" s="645"/>
      <c r="H77" s="645"/>
      <c r="I77" s="645"/>
      <c r="J77" s="645"/>
      <c r="K77" s="645"/>
    </row>
    <row r="78" spans="1:11" ht="15" x14ac:dyDescent="0.35">
      <c r="A78" s="950"/>
      <c r="B78" s="633" t="s">
        <v>960</v>
      </c>
      <c r="C78" s="614">
        <v>39.925025853154082</v>
      </c>
      <c r="D78" s="614">
        <v>53.611209439528018</v>
      </c>
      <c r="E78" s="614">
        <v>46.38134657836644</v>
      </c>
      <c r="F78" s="614">
        <v>32.327709004367563</v>
      </c>
      <c r="G78" s="614">
        <v>43.92942470420634</v>
      </c>
      <c r="H78" s="614">
        <v>37.816932499404807</v>
      </c>
      <c r="I78" s="614">
        <v>40.190291876973525</v>
      </c>
      <c r="J78" s="614">
        <v>52.755381400449409</v>
      </c>
      <c r="K78" s="614">
        <v>46.257958504374841</v>
      </c>
    </row>
    <row r="79" spans="1:11" ht="15.5" x14ac:dyDescent="0.35">
      <c r="A79" s="950"/>
      <c r="B79" s="468" t="s">
        <v>959</v>
      </c>
      <c r="C79" s="594">
        <v>38.369418937651048</v>
      </c>
      <c r="D79" s="594">
        <v>50.609215281323202</v>
      </c>
      <c r="E79" s="594">
        <v>44.146102282097722</v>
      </c>
      <c r="F79" s="594">
        <v>29.839943191942602</v>
      </c>
      <c r="G79" s="594">
        <v>40.422830768543058</v>
      </c>
      <c r="H79" s="594">
        <v>34.846876850732059</v>
      </c>
      <c r="I79" s="594">
        <v>36.528737221280316</v>
      </c>
      <c r="J79" s="594">
        <v>48.648603530636272</v>
      </c>
      <c r="K79" s="594">
        <v>42.383404160252795</v>
      </c>
    </row>
    <row r="80" spans="1:11" ht="15.5" x14ac:dyDescent="0.35">
      <c r="A80" s="950"/>
      <c r="B80" s="468" t="s">
        <v>958</v>
      </c>
      <c r="C80" s="594">
        <v>37.299999999999997</v>
      </c>
      <c r="D80" s="594">
        <v>49.7</v>
      </c>
      <c r="E80" s="594">
        <v>43.1</v>
      </c>
      <c r="F80" s="594">
        <v>29.4</v>
      </c>
      <c r="G80" s="594">
        <v>39.9</v>
      </c>
      <c r="H80" s="594">
        <v>34.4</v>
      </c>
      <c r="I80" s="594">
        <v>38.700000000000003</v>
      </c>
      <c r="J80" s="594">
        <v>50.6</v>
      </c>
      <c r="K80" s="594">
        <v>44.5</v>
      </c>
    </row>
    <row r="81" spans="1:11" ht="15.5" x14ac:dyDescent="0.35">
      <c r="A81" s="950"/>
      <c r="B81" s="468" t="s">
        <v>957</v>
      </c>
      <c r="C81" s="594">
        <v>33.5</v>
      </c>
      <c r="D81" s="594">
        <v>44.657053112507143</v>
      </c>
      <c r="E81" s="594">
        <v>38.724926450922709</v>
      </c>
      <c r="F81" s="594">
        <v>24.777430691136278</v>
      </c>
      <c r="G81" s="594">
        <v>33.519734351508333</v>
      </c>
      <c r="H81" s="594">
        <v>28.924589390075578</v>
      </c>
      <c r="I81" s="594">
        <v>35.385298689762379</v>
      </c>
      <c r="J81" s="594">
        <v>44.23058734512437</v>
      </c>
      <c r="K81" s="594">
        <v>39.669270057946449</v>
      </c>
    </row>
    <row r="82" spans="1:11" ht="15.5" x14ac:dyDescent="0.35">
      <c r="A82" s="950"/>
      <c r="B82" s="468" t="s">
        <v>956</v>
      </c>
      <c r="C82" s="594">
        <v>33.123997995991985</v>
      </c>
      <c r="D82" s="594">
        <v>44.498302207130727</v>
      </c>
      <c r="E82" s="594">
        <v>38.465054477810256</v>
      </c>
      <c r="F82" s="594">
        <v>23.744798351028663</v>
      </c>
      <c r="G82" s="594">
        <v>33.066443722734924</v>
      </c>
      <c r="H82" s="594">
        <v>28.178434871271985</v>
      </c>
      <c r="I82" s="594">
        <v>33.421809334218096</v>
      </c>
      <c r="J82" s="594">
        <v>43.015136604339475</v>
      </c>
      <c r="K82" s="594">
        <v>38.07941745363523</v>
      </c>
    </row>
    <row r="83" spans="1:11" ht="15" x14ac:dyDescent="0.35">
      <c r="A83" s="950">
        <v>13</v>
      </c>
      <c r="B83" s="644" t="s">
        <v>24</v>
      </c>
      <c r="C83" s="645"/>
      <c r="D83" s="645"/>
      <c r="E83" s="645"/>
      <c r="F83" s="645"/>
      <c r="G83" s="645"/>
      <c r="H83" s="645"/>
      <c r="I83" s="645"/>
      <c r="J83" s="645"/>
      <c r="K83" s="645"/>
    </row>
    <row r="84" spans="1:11" ht="15" x14ac:dyDescent="0.35">
      <c r="A84" s="950"/>
      <c r="B84" s="633" t="s">
        <v>960</v>
      </c>
      <c r="C84" s="614">
        <v>18.504017447199267</v>
      </c>
      <c r="D84" s="614">
        <v>24.828660436137071</v>
      </c>
      <c r="E84" s="614">
        <v>21.464316161247108</v>
      </c>
      <c r="F84" s="614">
        <v>14.351451236246259</v>
      </c>
      <c r="G84" s="614">
        <v>19.926031739836347</v>
      </c>
      <c r="H84" s="614">
        <v>16.955933802961447</v>
      </c>
      <c r="I84" s="614">
        <v>16.993024872728114</v>
      </c>
      <c r="J84" s="614">
        <v>17.090776477918883</v>
      </c>
      <c r="K84" s="614">
        <v>17.038734244143157</v>
      </c>
    </row>
    <row r="85" spans="1:11" ht="15.5" x14ac:dyDescent="0.35">
      <c r="A85" s="950"/>
      <c r="B85" s="468" t="s">
        <v>959</v>
      </c>
      <c r="C85" s="594">
        <v>22.089716805942437</v>
      </c>
      <c r="D85" s="594">
        <v>26.884103367267031</v>
      </c>
      <c r="E85" s="594">
        <v>24.334459044578168</v>
      </c>
      <c r="F85" s="594">
        <v>17.72317629539155</v>
      </c>
      <c r="G85" s="594">
        <v>23.048429789351658</v>
      </c>
      <c r="H85" s="594">
        <v>20.21861451116407</v>
      </c>
      <c r="I85" s="594">
        <v>19.198691108723427</v>
      </c>
      <c r="J85" s="594">
        <v>18.504419043781997</v>
      </c>
      <c r="K85" s="594">
        <v>18.873073908032548</v>
      </c>
    </row>
    <row r="86" spans="1:11" ht="15.5" x14ac:dyDescent="0.35">
      <c r="A86" s="950"/>
      <c r="B86" s="468" t="s">
        <v>958</v>
      </c>
      <c r="C86" s="594">
        <v>22.6</v>
      </c>
      <c r="D86" s="594">
        <v>27.2</v>
      </c>
      <c r="E86" s="594">
        <v>24.8</v>
      </c>
      <c r="F86" s="594">
        <v>18.600000000000001</v>
      </c>
      <c r="G86" s="594">
        <v>22.5</v>
      </c>
      <c r="H86" s="594">
        <v>20.399999999999999</v>
      </c>
      <c r="I86" s="594">
        <v>19.899999999999999</v>
      </c>
      <c r="J86" s="594">
        <v>17.8</v>
      </c>
      <c r="K86" s="594">
        <v>18.899999999999999</v>
      </c>
    </row>
    <row r="87" spans="1:11" ht="15.5" x14ac:dyDescent="0.35">
      <c r="A87" s="950"/>
      <c r="B87" s="468" t="s">
        <v>957</v>
      </c>
      <c r="C87" s="594">
        <v>23.03834246249107</v>
      </c>
      <c r="D87" s="594">
        <v>27.231238398302835</v>
      </c>
      <c r="E87" s="594">
        <v>25.022208281053953</v>
      </c>
      <c r="F87" s="594">
        <v>15.353826448927313</v>
      </c>
      <c r="G87" s="594">
        <v>19.435501005115466</v>
      </c>
      <c r="H87" s="594">
        <v>17.276527603489026</v>
      </c>
      <c r="I87" s="594">
        <v>17.132316835173693</v>
      </c>
      <c r="J87" s="594">
        <v>15.704707459947773</v>
      </c>
      <c r="K87" s="594">
        <v>16.459259456437831</v>
      </c>
    </row>
    <row r="88" spans="1:11" ht="15.5" x14ac:dyDescent="0.35">
      <c r="A88" s="950"/>
      <c r="B88" s="468" t="s">
        <v>956</v>
      </c>
      <c r="C88" s="594">
        <v>24.075519574673756</v>
      </c>
      <c r="D88" s="594">
        <v>26.281752411575564</v>
      </c>
      <c r="E88" s="594">
        <v>25.121728081321475</v>
      </c>
      <c r="F88" s="594">
        <v>13.738406096768477</v>
      </c>
      <c r="G88" s="594">
        <v>19.326551507745155</v>
      </c>
      <c r="H88" s="594">
        <v>16.376635324570021</v>
      </c>
      <c r="I88" s="594">
        <v>15.665205892498946</v>
      </c>
      <c r="J88" s="594">
        <v>14.378423094477407</v>
      </c>
      <c r="K88" s="594">
        <v>15.057183871250363</v>
      </c>
    </row>
    <row r="89" spans="1:11" ht="15" x14ac:dyDescent="0.35">
      <c r="A89" s="950">
        <v>14</v>
      </c>
      <c r="B89" s="644" t="s">
        <v>25</v>
      </c>
      <c r="C89" s="645"/>
      <c r="D89" s="645"/>
      <c r="E89" s="645"/>
      <c r="F89" s="645"/>
      <c r="G89" s="645"/>
      <c r="H89" s="645"/>
      <c r="I89" s="645"/>
      <c r="J89" s="645"/>
      <c r="K89" s="645"/>
    </row>
    <row r="90" spans="1:11" ht="15" x14ac:dyDescent="0.35">
      <c r="A90" s="950"/>
      <c r="B90" s="633" t="s">
        <v>960</v>
      </c>
      <c r="C90" s="614">
        <v>18.650949628406277</v>
      </c>
      <c r="D90" s="614">
        <v>20.236268939393938</v>
      </c>
      <c r="E90" s="614">
        <v>19.427105285340975</v>
      </c>
      <c r="F90" s="614">
        <v>15.543101741402745</v>
      </c>
      <c r="G90" s="614">
        <v>15.171574150575715</v>
      </c>
      <c r="H90" s="614">
        <v>15.362267294914414</v>
      </c>
      <c r="I90" s="614">
        <v>13.80912426547553</v>
      </c>
      <c r="J90" s="614">
        <v>17.212334661595005</v>
      </c>
      <c r="K90" s="614">
        <v>15.572122379764719</v>
      </c>
    </row>
    <row r="91" spans="1:11" ht="15.5" x14ac:dyDescent="0.35">
      <c r="A91" s="950"/>
      <c r="B91" s="468" t="s">
        <v>959</v>
      </c>
      <c r="C91" s="594">
        <v>18.606108130416839</v>
      </c>
      <c r="D91" s="594">
        <v>19.465045855684373</v>
      </c>
      <c r="E91" s="594">
        <v>19.025472056773541</v>
      </c>
      <c r="F91" s="594">
        <v>15.525281441536338</v>
      </c>
      <c r="G91" s="594">
        <v>14.605332489550454</v>
      </c>
      <c r="H91" s="594">
        <v>15.078757848952263</v>
      </c>
      <c r="I91" s="594">
        <v>13.468671664894769</v>
      </c>
      <c r="J91" s="594">
        <v>16.206494506109475</v>
      </c>
      <c r="K91" s="594">
        <v>14.883268413894147</v>
      </c>
    </row>
    <row r="92" spans="1:11" ht="15.5" x14ac:dyDescent="0.35">
      <c r="A92" s="950"/>
      <c r="B92" s="468" t="s">
        <v>958</v>
      </c>
      <c r="C92" s="594">
        <v>18.600000000000001</v>
      </c>
      <c r="D92" s="594">
        <v>18.7</v>
      </c>
      <c r="E92" s="594">
        <v>18.600000000000001</v>
      </c>
      <c r="F92" s="594">
        <v>15.8</v>
      </c>
      <c r="G92" s="594">
        <v>13.7</v>
      </c>
      <c r="H92" s="594">
        <v>14.8</v>
      </c>
      <c r="I92" s="594">
        <v>13.1</v>
      </c>
      <c r="J92" s="594">
        <v>14.7</v>
      </c>
      <c r="K92" s="594">
        <v>13.9</v>
      </c>
    </row>
    <row r="93" spans="1:11" ht="15.5" x14ac:dyDescent="0.35">
      <c r="A93" s="950"/>
      <c r="B93" s="468" t="s">
        <v>957</v>
      </c>
      <c r="C93" s="594">
        <v>16.543951884253026</v>
      </c>
      <c r="D93" s="594">
        <v>17.520623608017818</v>
      </c>
      <c r="E93" s="594">
        <v>17.018279755981482</v>
      </c>
      <c r="F93" s="594">
        <v>13.425943863084818</v>
      </c>
      <c r="G93" s="594">
        <v>12.556644317079888</v>
      </c>
      <c r="H93" s="594">
        <v>13.006244717129617</v>
      </c>
      <c r="I93" s="594">
        <v>11.59320903956764</v>
      </c>
      <c r="J93" s="594">
        <v>13.249771926255061</v>
      </c>
      <c r="K93" s="594">
        <v>12.444862849897888</v>
      </c>
    </row>
    <row r="94" spans="1:11" ht="15.5" x14ac:dyDescent="0.35">
      <c r="A94" s="950"/>
      <c r="B94" s="468" t="s">
        <v>956</v>
      </c>
      <c r="C94" s="594">
        <v>17.538563829787236</v>
      </c>
      <c r="D94" s="594">
        <v>18.662146118721463</v>
      </c>
      <c r="E94" s="594">
        <v>18.082809873484916</v>
      </c>
      <c r="F94" s="594">
        <v>14.031892460834921</v>
      </c>
      <c r="G94" s="594">
        <v>13.08937177513557</v>
      </c>
      <c r="H94" s="594">
        <v>13.578041798361367</v>
      </c>
      <c r="I94" s="594">
        <v>12.179864013032086</v>
      </c>
      <c r="J94" s="594">
        <v>14.253299289176852</v>
      </c>
      <c r="K94" s="594">
        <v>13.243208505961885</v>
      </c>
    </row>
    <row r="95" spans="1:11" ht="15" x14ac:dyDescent="0.35">
      <c r="A95" s="950">
        <v>15</v>
      </c>
      <c r="B95" s="644" t="s">
        <v>26</v>
      </c>
      <c r="C95" s="645"/>
      <c r="D95" s="645"/>
      <c r="E95" s="645"/>
      <c r="F95" s="645"/>
      <c r="G95" s="645"/>
      <c r="H95" s="645"/>
      <c r="I95" s="645"/>
      <c r="J95" s="645"/>
      <c r="K95" s="645"/>
    </row>
    <row r="96" spans="1:11" ht="15" x14ac:dyDescent="0.35">
      <c r="A96" s="950"/>
      <c r="B96" s="633" t="s">
        <v>960</v>
      </c>
      <c r="C96" s="614">
        <v>41.039350626433738</v>
      </c>
      <c r="D96" s="614">
        <v>42.849924632583843</v>
      </c>
      <c r="E96" s="614">
        <v>41.923882002673466</v>
      </c>
      <c r="F96" s="614">
        <v>33.086562265196633</v>
      </c>
      <c r="G96" s="614">
        <v>31.915201176705366</v>
      </c>
      <c r="H96" s="614">
        <v>32.512389823250132</v>
      </c>
      <c r="I96" s="614">
        <v>33.195971730987509</v>
      </c>
      <c r="J96" s="614">
        <v>33.43024538704092</v>
      </c>
      <c r="K96" s="614">
        <v>33.310062668811021</v>
      </c>
    </row>
    <row r="97" spans="1:11" ht="15.5" x14ac:dyDescent="0.35">
      <c r="A97" s="950"/>
      <c r="B97" s="468" t="s">
        <v>959</v>
      </c>
      <c r="C97" s="594">
        <v>39.377128937167384</v>
      </c>
      <c r="D97" s="594">
        <v>39.909033736384295</v>
      </c>
      <c r="E97" s="594">
        <v>39.641262113735401</v>
      </c>
      <c r="F97" s="594">
        <v>32.822693836505564</v>
      </c>
      <c r="G97" s="594">
        <v>29.519475860536293</v>
      </c>
      <c r="H97" s="594">
        <v>31.205085230467787</v>
      </c>
      <c r="I97" s="594">
        <v>31.448398858795169</v>
      </c>
      <c r="J97" s="594">
        <v>29.546660020651551</v>
      </c>
      <c r="K97" s="594">
        <v>30.524847068747977</v>
      </c>
    </row>
    <row r="98" spans="1:11" ht="15.5" x14ac:dyDescent="0.35">
      <c r="A98" s="950"/>
      <c r="B98" s="468" t="s">
        <v>958</v>
      </c>
      <c r="C98" s="594">
        <v>36.1</v>
      </c>
      <c r="D98" s="594">
        <v>36.299999999999997</v>
      </c>
      <c r="E98" s="594">
        <v>36.200000000000003</v>
      </c>
      <c r="F98" s="594">
        <v>28.8</v>
      </c>
      <c r="G98" s="594">
        <v>26.8</v>
      </c>
      <c r="H98" s="594">
        <v>27.8</v>
      </c>
      <c r="I98" s="594">
        <v>26.4</v>
      </c>
      <c r="J98" s="594">
        <v>25</v>
      </c>
      <c r="K98" s="594">
        <v>25.8</v>
      </c>
    </row>
    <row r="99" spans="1:11" ht="15.5" x14ac:dyDescent="0.35">
      <c r="A99" s="950"/>
      <c r="B99" s="468" t="s">
        <v>957</v>
      </c>
      <c r="C99" s="594">
        <v>34.834623925297507</v>
      </c>
      <c r="D99" s="594">
        <v>37.168916855030851</v>
      </c>
      <c r="E99" s="594">
        <v>35.96070081339149</v>
      </c>
      <c r="F99" s="594">
        <v>25.327307534176175</v>
      </c>
      <c r="G99" s="594">
        <v>25.873407523037411</v>
      </c>
      <c r="H99" s="594">
        <v>25.59433235994636</v>
      </c>
      <c r="I99" s="594">
        <v>23.155650319829423</v>
      </c>
      <c r="J99" s="594">
        <v>23.62630448642663</v>
      </c>
      <c r="K99" s="594">
        <v>23.383868789508366</v>
      </c>
    </row>
    <row r="100" spans="1:11" ht="15.5" x14ac:dyDescent="0.35">
      <c r="A100" s="950"/>
      <c r="B100" s="468" t="s">
        <v>956</v>
      </c>
      <c r="C100" s="594">
        <v>30.722955815134583</v>
      </c>
      <c r="D100" s="594">
        <v>33.307340283670747</v>
      </c>
      <c r="E100" s="594">
        <v>31.968964610304219</v>
      </c>
      <c r="F100" s="594">
        <v>23.430857117389859</v>
      </c>
      <c r="G100" s="594">
        <v>23.807509500954257</v>
      </c>
      <c r="H100" s="594">
        <v>23.614923786728173</v>
      </c>
      <c r="I100" s="594">
        <v>21.059016431934069</v>
      </c>
      <c r="J100" s="594">
        <v>21.618730934257783</v>
      </c>
      <c r="K100" s="594">
        <v>21.330265052659602</v>
      </c>
    </row>
    <row r="101" spans="1:11" ht="15" x14ac:dyDescent="0.35">
      <c r="A101" s="950">
        <v>16</v>
      </c>
      <c r="B101" s="644" t="s">
        <v>27</v>
      </c>
      <c r="C101" s="645"/>
      <c r="D101" s="645"/>
      <c r="E101" s="645"/>
      <c r="F101" s="645"/>
      <c r="G101" s="645"/>
      <c r="H101" s="645"/>
      <c r="I101" s="645"/>
      <c r="J101" s="645"/>
      <c r="K101" s="645"/>
    </row>
    <row r="102" spans="1:11" ht="15" x14ac:dyDescent="0.35">
      <c r="A102" s="950"/>
      <c r="B102" s="633" t="s">
        <v>960</v>
      </c>
      <c r="C102" s="614">
        <v>33.692837465564743</v>
      </c>
      <c r="D102" s="614">
        <v>49.057378137866912</v>
      </c>
      <c r="E102" s="614">
        <v>41.154128795204024</v>
      </c>
      <c r="F102" s="614">
        <v>23.214173245577886</v>
      </c>
      <c r="G102" s="614">
        <v>39.60701313007381</v>
      </c>
      <c r="H102" s="614">
        <v>31.160642429710379</v>
      </c>
      <c r="I102" s="614">
        <v>22.855844216776593</v>
      </c>
      <c r="J102" s="614">
        <v>33.618547162593387</v>
      </c>
      <c r="K102" s="614">
        <v>28.238826075975293</v>
      </c>
    </row>
    <row r="103" spans="1:11" ht="15.5" x14ac:dyDescent="0.35">
      <c r="A103" s="950"/>
      <c r="B103" s="468" t="s">
        <v>959</v>
      </c>
      <c r="C103" s="594">
        <v>31.830184337639643</v>
      </c>
      <c r="D103" s="594">
        <v>46.867922097238392</v>
      </c>
      <c r="E103" s="594">
        <v>39.130001216648296</v>
      </c>
      <c r="F103" s="594">
        <v>22.420081439485649</v>
      </c>
      <c r="G103" s="594">
        <v>40.035382068611057</v>
      </c>
      <c r="H103" s="594">
        <v>30.959045305741629</v>
      </c>
      <c r="I103" s="594">
        <v>22.417440378473859</v>
      </c>
      <c r="J103" s="594">
        <v>33.476887370314891</v>
      </c>
      <c r="K103" s="594">
        <v>27.948778790363459</v>
      </c>
    </row>
    <row r="104" spans="1:11" ht="15.5" x14ac:dyDescent="0.35">
      <c r="A104" s="950"/>
      <c r="B104" s="468" t="s">
        <v>958</v>
      </c>
      <c r="C104" s="594">
        <v>34.1</v>
      </c>
      <c r="D104" s="594">
        <v>49</v>
      </c>
      <c r="E104" s="594">
        <v>41.3</v>
      </c>
      <c r="F104" s="594">
        <v>20.399999999999999</v>
      </c>
      <c r="G104" s="594">
        <v>36.799999999999997</v>
      </c>
      <c r="H104" s="594">
        <v>28.3</v>
      </c>
      <c r="I104" s="594">
        <v>24</v>
      </c>
      <c r="J104" s="594">
        <v>33.799999999999997</v>
      </c>
      <c r="K104" s="594">
        <v>28.9</v>
      </c>
    </row>
    <row r="105" spans="1:11" ht="15.5" x14ac:dyDescent="0.35">
      <c r="A105" s="950"/>
      <c r="B105" s="468" t="s">
        <v>957</v>
      </c>
      <c r="C105" s="594">
        <v>34.455424208841272</v>
      </c>
      <c r="D105" s="594">
        <v>52.341721940434383</v>
      </c>
      <c r="E105" s="594">
        <v>43.154206198608478</v>
      </c>
      <c r="F105" s="594">
        <v>23.424573796101338</v>
      </c>
      <c r="G105" s="594">
        <v>44.64732438105645</v>
      </c>
      <c r="H105" s="594">
        <v>33.734956589764543</v>
      </c>
      <c r="I105" s="594">
        <v>23.103727714748786</v>
      </c>
      <c r="J105" s="594">
        <v>35.12903225806452</v>
      </c>
      <c r="K105" s="594">
        <v>29.130962004850446</v>
      </c>
    </row>
    <row r="106" spans="1:11" ht="15.5" x14ac:dyDescent="0.35">
      <c r="A106" s="950"/>
      <c r="B106" s="468" t="s">
        <v>956</v>
      </c>
      <c r="C106" s="594">
        <v>29.847882295001231</v>
      </c>
      <c r="D106" s="594">
        <v>42.276576459924897</v>
      </c>
      <c r="E106" s="594">
        <v>35.905743136636161</v>
      </c>
      <c r="F106" s="594">
        <v>17.272900141258283</v>
      </c>
      <c r="G106" s="594">
        <v>33.522040036357652</v>
      </c>
      <c r="H106" s="594">
        <v>25.184426300915426</v>
      </c>
      <c r="I106" s="594">
        <v>17.663979256978486</v>
      </c>
      <c r="J106" s="594">
        <v>27.607386591730226</v>
      </c>
      <c r="K106" s="594">
        <v>22.658439699151089</v>
      </c>
    </row>
    <row r="107" spans="1:11" ht="15" x14ac:dyDescent="0.35">
      <c r="A107" s="950">
        <v>17</v>
      </c>
      <c r="B107" s="644" t="s">
        <v>28</v>
      </c>
      <c r="C107" s="645"/>
      <c r="D107" s="645"/>
      <c r="E107" s="645"/>
      <c r="F107" s="645"/>
      <c r="G107" s="645"/>
      <c r="H107" s="645"/>
      <c r="I107" s="645"/>
      <c r="J107" s="645"/>
      <c r="K107" s="645"/>
    </row>
    <row r="108" spans="1:11" ht="15" x14ac:dyDescent="0.35">
      <c r="A108" s="950"/>
      <c r="B108" s="633" t="s">
        <v>960</v>
      </c>
      <c r="C108" s="614">
        <v>7.7936529289555505</v>
      </c>
      <c r="D108" s="614">
        <v>16.87413244191757</v>
      </c>
      <c r="E108" s="614">
        <v>11.862130326317086</v>
      </c>
      <c r="F108" s="614">
        <v>0</v>
      </c>
      <c r="G108" s="614">
        <v>0</v>
      </c>
      <c r="H108" s="614">
        <v>0</v>
      </c>
      <c r="I108" s="614">
        <v>10.516397037111426</v>
      </c>
      <c r="J108" s="614">
        <v>17.755501253627369</v>
      </c>
      <c r="K108" s="614">
        <v>14.199599507904704</v>
      </c>
    </row>
    <row r="109" spans="1:11" ht="15.5" x14ac:dyDescent="0.35">
      <c r="A109" s="950"/>
      <c r="B109" s="468" t="s">
        <v>959</v>
      </c>
      <c r="C109" s="594">
        <v>7.6689947402425629</v>
      </c>
      <c r="D109" s="594">
        <v>17.041978924862413</v>
      </c>
      <c r="E109" s="594">
        <v>11.893231334917569</v>
      </c>
      <c r="F109" s="594">
        <v>0</v>
      </c>
      <c r="G109" s="594">
        <v>16.512837043646886</v>
      </c>
      <c r="H109" s="594">
        <v>1.0304133019162403</v>
      </c>
      <c r="I109" s="594">
        <v>10.244287247116324</v>
      </c>
      <c r="J109" s="594">
        <v>16.846193631759842</v>
      </c>
      <c r="K109" s="594">
        <v>13.62086131194955</v>
      </c>
    </row>
    <row r="110" spans="1:11" ht="15.5" x14ac:dyDescent="0.35">
      <c r="A110" s="950"/>
      <c r="B110" s="468" t="s">
        <v>958</v>
      </c>
      <c r="C110" s="594">
        <v>7.5</v>
      </c>
      <c r="D110" s="594">
        <v>16.399999999999999</v>
      </c>
      <c r="E110" s="594">
        <v>11.5</v>
      </c>
      <c r="F110" s="594">
        <v>22.6</v>
      </c>
      <c r="G110" s="594">
        <v>335.4</v>
      </c>
      <c r="H110" s="594">
        <v>42.3</v>
      </c>
      <c r="I110" s="594">
        <v>10.1</v>
      </c>
      <c r="J110" s="594">
        <v>17</v>
      </c>
      <c r="K110" s="594">
        <v>13.6</v>
      </c>
    </row>
    <row r="111" spans="1:11" ht="15.5" x14ac:dyDescent="0.35">
      <c r="A111" s="950"/>
      <c r="B111" s="468" t="s">
        <v>957</v>
      </c>
      <c r="C111" s="594">
        <v>5.4183578659103135</v>
      </c>
      <c r="D111" s="594">
        <v>11.928161928161927</v>
      </c>
      <c r="E111" s="594">
        <v>8.3823881948698826</v>
      </c>
      <c r="F111" s="594"/>
      <c r="G111" s="594">
        <v>266.66666666666663</v>
      </c>
      <c r="H111" s="594">
        <v>17.391304347826086</v>
      </c>
      <c r="I111" s="594">
        <v>6.1368893727037692</v>
      </c>
      <c r="J111" s="594">
        <v>12.354892205638475</v>
      </c>
      <c r="K111" s="594">
        <v>9.3461943639715557</v>
      </c>
    </row>
    <row r="112" spans="1:11" ht="15.5" x14ac:dyDescent="0.35">
      <c r="A112" s="950"/>
      <c r="B112" s="468" t="s">
        <v>956</v>
      </c>
      <c r="C112" s="594">
        <v>5.0312248186946009</v>
      </c>
      <c r="D112" s="594">
        <v>11.343533349270858</v>
      </c>
      <c r="E112" s="594">
        <v>7.9178965781130426</v>
      </c>
      <c r="F112" s="594"/>
      <c r="G112" s="594"/>
      <c r="H112" s="594"/>
      <c r="I112" s="594">
        <v>6.4667554123169619</v>
      </c>
      <c r="J112" s="594">
        <v>12.328142307942921</v>
      </c>
      <c r="K112" s="594">
        <v>9.5040345724028494</v>
      </c>
    </row>
    <row r="113" spans="1:11" ht="15" x14ac:dyDescent="0.35">
      <c r="A113" s="950">
        <v>18</v>
      </c>
      <c r="B113" s="644" t="s">
        <v>82</v>
      </c>
      <c r="C113" s="645"/>
      <c r="D113" s="645"/>
      <c r="E113" s="645"/>
      <c r="F113" s="645"/>
      <c r="G113" s="645"/>
      <c r="H113" s="645"/>
      <c r="I113" s="645"/>
      <c r="J113" s="645"/>
      <c r="K113" s="645"/>
    </row>
    <row r="114" spans="1:11" ht="15" x14ac:dyDescent="0.35">
      <c r="A114" s="950"/>
      <c r="B114" s="633" t="s">
        <v>960</v>
      </c>
      <c r="C114" s="614">
        <v>4.514086888788011</v>
      </c>
      <c r="D114" s="614">
        <v>9.9740516491164186</v>
      </c>
      <c r="E114" s="614">
        <v>7.0909699939832374</v>
      </c>
      <c r="F114" s="614"/>
      <c r="G114" s="614"/>
      <c r="H114" s="614"/>
      <c r="I114" s="614">
        <v>4.8184929690259128</v>
      </c>
      <c r="J114" s="614">
        <v>9.2110443944180798</v>
      </c>
      <c r="K114" s="614">
        <v>6.9755676958262587</v>
      </c>
    </row>
    <row r="115" spans="1:11" ht="15.5" x14ac:dyDescent="0.35">
      <c r="A115" s="950"/>
      <c r="B115" s="468" t="s">
        <v>959</v>
      </c>
      <c r="C115" s="594">
        <v>4.4737284012831511</v>
      </c>
      <c r="D115" s="594">
        <v>8.2701151256134313</v>
      </c>
      <c r="E115" s="594">
        <v>6.2766361881896628</v>
      </c>
      <c r="F115" s="594"/>
      <c r="G115" s="594"/>
      <c r="H115" s="594"/>
      <c r="I115" s="594">
        <v>4.9238713518766577</v>
      </c>
      <c r="J115" s="594">
        <v>8.4312384161475773</v>
      </c>
      <c r="K115" s="594">
        <v>6.6565968780458187</v>
      </c>
    </row>
    <row r="116" spans="1:11" ht="15.5" x14ac:dyDescent="0.35">
      <c r="A116" s="950"/>
      <c r="B116" s="468" t="s">
        <v>958</v>
      </c>
      <c r="C116" s="594">
        <v>0.3</v>
      </c>
      <c r="D116" s="594">
        <v>1.9</v>
      </c>
      <c r="E116" s="594">
        <v>1.1000000000000001</v>
      </c>
      <c r="F116" s="594"/>
      <c r="G116" s="594"/>
      <c r="H116" s="594"/>
      <c r="I116" s="594">
        <v>0.4</v>
      </c>
      <c r="J116" s="594">
        <v>2</v>
      </c>
      <c r="K116" s="594">
        <v>1.2</v>
      </c>
    </row>
    <row r="117" spans="1:11" ht="15.5" x14ac:dyDescent="0.35">
      <c r="A117" s="950"/>
      <c r="B117" s="468" t="s">
        <v>957</v>
      </c>
      <c r="C117" s="594">
        <v>3.2734432685207975</v>
      </c>
      <c r="D117" s="594">
        <v>11.40491452991453</v>
      </c>
      <c r="E117" s="594">
        <v>7.1730498270782634</v>
      </c>
      <c r="F117" s="594"/>
      <c r="G117" s="594"/>
      <c r="H117" s="594"/>
      <c r="I117" s="594">
        <v>1.8959913326110509</v>
      </c>
      <c r="J117" s="594">
        <v>6.9716775599128544</v>
      </c>
      <c r="K117" s="594">
        <v>4.4269418794133628</v>
      </c>
    </row>
    <row r="118" spans="1:11" ht="15.5" x14ac:dyDescent="0.35">
      <c r="A118" s="950"/>
      <c r="B118" s="468" t="s">
        <v>956</v>
      </c>
      <c r="C118" s="594">
        <v>3.3662363958491524</v>
      </c>
      <c r="D118" s="594">
        <v>11.65075034106412</v>
      </c>
      <c r="E118" s="594">
        <v>7.3529411764705888</v>
      </c>
      <c r="F118" s="594"/>
      <c r="G118" s="594"/>
      <c r="H118" s="594"/>
      <c r="I118" s="594">
        <v>1.9498607242339834</v>
      </c>
      <c r="J118" s="594">
        <v>7.1210013908205845</v>
      </c>
      <c r="K118" s="594">
        <v>4.5372303409881702</v>
      </c>
    </row>
    <row r="119" spans="1:11" ht="15" x14ac:dyDescent="0.35">
      <c r="A119" s="950">
        <v>19</v>
      </c>
      <c r="B119" s="644" t="s">
        <v>29</v>
      </c>
      <c r="C119" s="645"/>
      <c r="D119" s="645"/>
      <c r="E119" s="645"/>
      <c r="F119" s="645"/>
      <c r="G119" s="645"/>
      <c r="H119" s="645"/>
      <c r="I119" s="645"/>
      <c r="J119" s="645"/>
      <c r="K119" s="645"/>
    </row>
    <row r="120" spans="1:11" ht="15" x14ac:dyDescent="0.35">
      <c r="A120" s="950"/>
      <c r="B120" s="633" t="s">
        <v>960</v>
      </c>
      <c r="C120" s="614">
        <v>28.97859492858289</v>
      </c>
      <c r="D120" s="614">
        <v>29.053654913269543</v>
      </c>
      <c r="E120" s="614">
        <v>29.013929557433283</v>
      </c>
      <c r="F120" s="614">
        <v>26.320237344826257</v>
      </c>
      <c r="G120" s="614">
        <v>27.650236202124688</v>
      </c>
      <c r="H120" s="614">
        <v>26.94234472802647</v>
      </c>
      <c r="I120" s="614">
        <v>16.545835932911686</v>
      </c>
      <c r="J120" s="614">
        <v>17.810278742613615</v>
      </c>
      <c r="K120" s="614">
        <v>17.192572893004112</v>
      </c>
    </row>
    <row r="121" spans="1:11" ht="15.5" x14ac:dyDescent="0.35">
      <c r="A121" s="950"/>
      <c r="B121" s="468" t="s">
        <v>959</v>
      </c>
      <c r="C121" s="594">
        <v>28.603724453992889</v>
      </c>
      <c r="D121" s="594">
        <v>28.211758068784814</v>
      </c>
      <c r="E121" s="594">
        <v>28.414627406361788</v>
      </c>
      <c r="F121" s="594">
        <v>26.518998280768169</v>
      </c>
      <c r="G121" s="594">
        <v>27.010170355818691</v>
      </c>
      <c r="H121" s="594">
        <v>26.748359862265779</v>
      </c>
      <c r="I121" s="594">
        <v>16.546062604670418</v>
      </c>
      <c r="J121" s="594">
        <v>17.153447335494153</v>
      </c>
      <c r="K121" s="594">
        <v>16.856250588362265</v>
      </c>
    </row>
    <row r="122" spans="1:11" ht="15.5" x14ac:dyDescent="0.35">
      <c r="A122" s="950"/>
      <c r="B122" s="468" t="s">
        <v>958</v>
      </c>
      <c r="C122" s="594">
        <v>29.7</v>
      </c>
      <c r="D122" s="594">
        <v>28</v>
      </c>
      <c r="E122" s="594">
        <v>28.9</v>
      </c>
      <c r="F122" s="594">
        <v>27.3</v>
      </c>
      <c r="G122" s="594">
        <v>26.7</v>
      </c>
      <c r="H122" s="594">
        <v>27</v>
      </c>
      <c r="I122" s="594">
        <v>17.8</v>
      </c>
      <c r="J122" s="594">
        <v>17.2</v>
      </c>
      <c r="K122" s="594">
        <v>17.5</v>
      </c>
    </row>
    <row r="123" spans="1:11" ht="15.5" x14ac:dyDescent="0.35">
      <c r="A123" s="950"/>
      <c r="B123" s="468" t="s">
        <v>957</v>
      </c>
      <c r="C123" s="594">
        <v>27.333121145812612</v>
      </c>
      <c r="D123" s="594">
        <v>26.796030460851679</v>
      </c>
      <c r="E123" s="594">
        <v>27.077369539846615</v>
      </c>
      <c r="F123" s="594">
        <v>25.503974643823135</v>
      </c>
      <c r="G123" s="594">
        <v>25.781039693930353</v>
      </c>
      <c r="H123" s="594">
        <v>25.632876072313859</v>
      </c>
      <c r="I123" s="594">
        <v>15.292030858387479</v>
      </c>
      <c r="J123" s="594">
        <v>16.117247229833389</v>
      </c>
      <c r="K123" s="594">
        <v>15.712031219228944</v>
      </c>
    </row>
    <row r="124" spans="1:11" ht="15.5" x14ac:dyDescent="0.35">
      <c r="A124" s="950"/>
      <c r="B124" s="468" t="s">
        <v>956</v>
      </c>
      <c r="C124" s="594">
        <v>22.946591820368887</v>
      </c>
      <c r="D124" s="594">
        <v>22.972545720232031</v>
      </c>
      <c r="E124" s="594">
        <v>22.958925152031647</v>
      </c>
      <c r="F124" s="594">
        <v>21.588199181612953</v>
      </c>
      <c r="G124" s="594">
        <v>21.830079563768145</v>
      </c>
      <c r="H124" s="594">
        <v>21.700495308978457</v>
      </c>
      <c r="I124" s="594">
        <v>11.820105681011594</v>
      </c>
      <c r="J124" s="594">
        <v>11.404172338391644</v>
      </c>
      <c r="K124" s="594">
        <v>11.60882080456939</v>
      </c>
    </row>
    <row r="125" spans="1:11" ht="15" x14ac:dyDescent="0.35">
      <c r="A125" s="950">
        <v>20</v>
      </c>
      <c r="B125" s="644" t="s">
        <v>30</v>
      </c>
      <c r="C125" s="645"/>
      <c r="D125" s="645"/>
      <c r="E125" s="645"/>
      <c r="F125" s="645"/>
      <c r="G125" s="645"/>
      <c r="H125" s="645"/>
      <c r="I125" s="645"/>
      <c r="J125" s="645"/>
      <c r="K125" s="645"/>
    </row>
    <row r="126" spans="1:11" ht="15" x14ac:dyDescent="0.35">
      <c r="A126" s="950"/>
      <c r="B126" s="633" t="s">
        <v>960</v>
      </c>
      <c r="C126" s="614">
        <v>36.712953890917724</v>
      </c>
      <c r="D126" s="614">
        <v>36.149055039787797</v>
      </c>
      <c r="E126" s="614">
        <v>36.443129669365817</v>
      </c>
      <c r="F126" s="614">
        <v>35.462032081714106</v>
      </c>
      <c r="G126" s="614">
        <v>37.813479992212947</v>
      </c>
      <c r="H126" s="614">
        <v>36.592138547303648</v>
      </c>
      <c r="I126" s="614">
        <v>20.062689078027741</v>
      </c>
      <c r="J126" s="614">
        <v>18.107354123961699</v>
      </c>
      <c r="K126" s="614">
        <v>19.082544272416634</v>
      </c>
    </row>
    <row r="127" spans="1:11" ht="15.5" x14ac:dyDescent="0.35">
      <c r="A127" s="950"/>
      <c r="B127" s="468" t="s">
        <v>959</v>
      </c>
      <c r="C127" s="594">
        <v>39.04721903305488</v>
      </c>
      <c r="D127" s="594">
        <v>36.338914712357173</v>
      </c>
      <c r="E127" s="594">
        <v>37.763690036949178</v>
      </c>
      <c r="F127" s="594">
        <v>39.597135089595483</v>
      </c>
      <c r="G127" s="594">
        <v>38.538169185375189</v>
      </c>
      <c r="H127" s="594">
        <v>39.088444277551609</v>
      </c>
      <c r="I127" s="594">
        <v>21.562665598364738</v>
      </c>
      <c r="J127" s="594">
        <v>17.60682602283385</v>
      </c>
      <c r="K127" s="594">
        <v>19.580835350793929</v>
      </c>
    </row>
    <row r="128" spans="1:11" ht="15.5" x14ac:dyDescent="0.35">
      <c r="A128" s="950"/>
      <c r="B128" s="468" t="s">
        <v>958</v>
      </c>
      <c r="C128" s="594">
        <v>37.1</v>
      </c>
      <c r="D128" s="594">
        <v>33.299999999999997</v>
      </c>
      <c r="E128" s="594">
        <v>35.299999999999997</v>
      </c>
      <c r="F128" s="594">
        <v>37.6</v>
      </c>
      <c r="G128" s="594">
        <v>34.9</v>
      </c>
      <c r="H128" s="594">
        <v>36.299999999999997</v>
      </c>
      <c r="I128" s="594">
        <v>19.399999999999999</v>
      </c>
      <c r="J128" s="594">
        <v>15.2</v>
      </c>
      <c r="K128" s="594">
        <v>17.3</v>
      </c>
    </row>
    <row r="129" spans="1:11" ht="15.5" x14ac:dyDescent="0.35">
      <c r="A129" s="950"/>
      <c r="B129" s="468" t="s">
        <v>957</v>
      </c>
      <c r="C129" s="594">
        <v>36.226804873084639</v>
      </c>
      <c r="D129" s="594">
        <v>33.469955683003128</v>
      </c>
      <c r="E129" s="594">
        <v>34.926852691261658</v>
      </c>
      <c r="F129" s="594">
        <v>34.637798751894231</v>
      </c>
      <c r="G129" s="594">
        <v>33.080887167952625</v>
      </c>
      <c r="H129" s="594">
        <v>33.890932072491772</v>
      </c>
      <c r="I129" s="594">
        <v>18.591942474356429</v>
      </c>
      <c r="J129" s="594">
        <v>14.429389370184959</v>
      </c>
      <c r="K129" s="594">
        <v>16.509280283303823</v>
      </c>
    </row>
    <row r="130" spans="1:11" ht="15.5" x14ac:dyDescent="0.35">
      <c r="A130" s="950"/>
      <c r="B130" s="468" t="s">
        <v>956</v>
      </c>
      <c r="C130" s="594">
        <v>33.475044124880647</v>
      </c>
      <c r="D130" s="594">
        <v>31.69638796855714</v>
      </c>
      <c r="E130" s="594">
        <v>32.637091220714034</v>
      </c>
      <c r="F130" s="594">
        <v>30.915749088953088</v>
      </c>
      <c r="G130" s="594">
        <v>31.380438456398174</v>
      </c>
      <c r="H130" s="594">
        <v>31.138470213690777</v>
      </c>
      <c r="I130" s="594">
        <v>17.563264093675169</v>
      </c>
      <c r="J130" s="594">
        <v>13.763261999505294</v>
      </c>
      <c r="K130" s="594">
        <v>15.6636004820029</v>
      </c>
    </row>
    <row r="131" spans="1:11" ht="15" x14ac:dyDescent="0.35">
      <c r="A131" s="950">
        <v>21</v>
      </c>
      <c r="B131" s="644" t="s">
        <v>31</v>
      </c>
      <c r="C131" s="645"/>
      <c r="D131" s="645"/>
      <c r="E131" s="645"/>
      <c r="F131" s="645"/>
      <c r="G131" s="645"/>
      <c r="H131" s="645"/>
      <c r="I131" s="645"/>
      <c r="J131" s="645"/>
      <c r="K131" s="645"/>
    </row>
    <row r="132" spans="1:11" ht="15" x14ac:dyDescent="0.35">
      <c r="A132" s="950"/>
      <c r="B132" s="633" t="s">
        <v>960</v>
      </c>
      <c r="C132" s="614">
        <v>29.961867982451949</v>
      </c>
      <c r="D132" s="614">
        <v>31.525892658718348</v>
      </c>
      <c r="E132" s="614">
        <v>30.729309566847462</v>
      </c>
      <c r="F132" s="614">
        <v>62.006791274990917</v>
      </c>
      <c r="G132" s="614">
        <v>61.587184729023591</v>
      </c>
      <c r="H132" s="614">
        <v>61.802632327679973</v>
      </c>
      <c r="I132" s="614">
        <v>17.582886204164446</v>
      </c>
      <c r="J132" s="614">
        <v>19.828649914585878</v>
      </c>
      <c r="K132" s="614">
        <v>18.665265113124239</v>
      </c>
    </row>
    <row r="133" spans="1:11" ht="15.5" x14ac:dyDescent="0.35">
      <c r="A133" s="950"/>
      <c r="B133" s="468" t="s">
        <v>959</v>
      </c>
      <c r="C133" s="594">
        <v>33.049683782895237</v>
      </c>
      <c r="D133" s="594">
        <v>33.998210896336893</v>
      </c>
      <c r="E133" s="594">
        <v>33.515143886594835</v>
      </c>
      <c r="F133" s="594">
        <v>56.107102417871168</v>
      </c>
      <c r="G133" s="594">
        <v>59.412867957285997</v>
      </c>
      <c r="H133" s="594">
        <v>57.715633464754212</v>
      </c>
      <c r="I133" s="594">
        <v>21.696636918860605</v>
      </c>
      <c r="J133" s="594">
        <v>23.667679094764445</v>
      </c>
      <c r="K133" s="594">
        <v>22.646678675907577</v>
      </c>
    </row>
    <row r="134" spans="1:11" ht="15.5" x14ac:dyDescent="0.35">
      <c r="A134" s="950"/>
      <c r="B134" s="468" t="s">
        <v>958</v>
      </c>
      <c r="C134" s="594">
        <v>35.299999999999997</v>
      </c>
      <c r="D134" s="594">
        <v>35.5</v>
      </c>
      <c r="E134" s="594">
        <v>35.4</v>
      </c>
      <c r="F134" s="594">
        <v>60.3</v>
      </c>
      <c r="G134" s="594">
        <v>61</v>
      </c>
      <c r="H134" s="594">
        <v>60.6</v>
      </c>
      <c r="I134" s="594">
        <v>22</v>
      </c>
      <c r="J134" s="594">
        <v>24.2</v>
      </c>
      <c r="K134" s="594">
        <v>23</v>
      </c>
    </row>
    <row r="135" spans="1:11" ht="15.5" x14ac:dyDescent="0.35">
      <c r="A135" s="950"/>
      <c r="B135" s="468" t="s">
        <v>957</v>
      </c>
      <c r="C135" s="594">
        <v>36.931684208269921</v>
      </c>
      <c r="D135" s="594">
        <v>38.604034441436241</v>
      </c>
      <c r="E135" s="594">
        <v>37.753371932005273</v>
      </c>
      <c r="F135" s="594">
        <v>79.151177199504346</v>
      </c>
      <c r="G135" s="594">
        <v>68.943593087707853</v>
      </c>
      <c r="H135" s="594">
        <v>74.177918983320097</v>
      </c>
      <c r="I135" s="594">
        <v>18.543556138913836</v>
      </c>
      <c r="J135" s="594">
        <v>19.952391028353787</v>
      </c>
      <c r="K135" s="594">
        <v>19.223483397923911</v>
      </c>
    </row>
    <row r="136" spans="1:11" ht="15.5" x14ac:dyDescent="0.35">
      <c r="A136" s="950"/>
      <c r="B136" s="468" t="s">
        <v>956</v>
      </c>
      <c r="C136" s="594">
        <v>32.814772519149763</v>
      </c>
      <c r="D136" s="594">
        <v>35.395374455466481</v>
      </c>
      <c r="E136" s="594">
        <v>34.084234898722713</v>
      </c>
      <c r="F136" s="594">
        <v>52.203020395453834</v>
      </c>
      <c r="G136" s="594">
        <v>53.277750531306204</v>
      </c>
      <c r="H136" s="594">
        <v>52.72727272727272</v>
      </c>
      <c r="I136" s="594">
        <v>17.518798484217211</v>
      </c>
      <c r="J136" s="594">
        <v>19.386975619071869</v>
      </c>
      <c r="K136" s="594">
        <v>18.421511329847228</v>
      </c>
    </row>
    <row r="137" spans="1:11" ht="15" x14ac:dyDescent="0.35">
      <c r="A137" s="950">
        <v>22</v>
      </c>
      <c r="B137" s="644" t="s">
        <v>32</v>
      </c>
      <c r="C137" s="645"/>
      <c r="D137" s="645"/>
      <c r="E137" s="645"/>
      <c r="F137" s="645"/>
      <c r="G137" s="645"/>
      <c r="H137" s="645"/>
      <c r="I137" s="645"/>
      <c r="J137" s="645"/>
      <c r="K137" s="645"/>
    </row>
    <row r="138" spans="1:11" ht="15" x14ac:dyDescent="0.35">
      <c r="A138" s="950"/>
      <c r="B138" s="633" t="s">
        <v>960</v>
      </c>
      <c r="C138" s="614">
        <v>25.366207728586144</v>
      </c>
      <c r="D138" s="614">
        <v>32.86440581218428</v>
      </c>
      <c r="E138" s="614">
        <v>29.081742959721456</v>
      </c>
      <c r="F138" s="614">
        <v>145.61361349381033</v>
      </c>
      <c r="G138" s="614">
        <v>153.80663079730974</v>
      </c>
      <c r="H138" s="614">
        <v>149.37659132005194</v>
      </c>
      <c r="I138" s="614">
        <v>20.557669600779548</v>
      </c>
      <c r="J138" s="614">
        <v>29.203376886357908</v>
      </c>
      <c r="K138" s="614">
        <v>24.902748860949124</v>
      </c>
    </row>
    <row r="139" spans="1:11" ht="15.5" x14ac:dyDescent="0.35">
      <c r="A139" s="950"/>
      <c r="B139" s="468" t="s">
        <v>959</v>
      </c>
      <c r="C139" s="594">
        <v>23.549121414108459</v>
      </c>
      <c r="D139" s="594">
        <v>30.309959894737847</v>
      </c>
      <c r="E139" s="594">
        <v>26.899317089429857</v>
      </c>
      <c r="F139" s="594">
        <v>64.181600130187448</v>
      </c>
      <c r="G139" s="594">
        <v>71.598028101336382</v>
      </c>
      <c r="H139" s="594">
        <v>67.588201006903986</v>
      </c>
      <c r="I139" s="594">
        <v>21.013531335684675</v>
      </c>
      <c r="J139" s="594">
        <v>28.823012740425106</v>
      </c>
      <c r="K139" s="594">
        <v>24.938669581752702</v>
      </c>
    </row>
    <row r="140" spans="1:11" ht="15.5" x14ac:dyDescent="0.35">
      <c r="A140" s="950"/>
      <c r="B140" s="468" t="s">
        <v>958</v>
      </c>
      <c r="C140" s="594">
        <v>22.7</v>
      </c>
      <c r="D140" s="594">
        <v>28.1</v>
      </c>
      <c r="E140" s="594">
        <v>25.4</v>
      </c>
      <c r="F140" s="594">
        <v>101.9</v>
      </c>
      <c r="G140" s="594">
        <v>119.4</v>
      </c>
      <c r="H140" s="594">
        <v>110</v>
      </c>
      <c r="I140" s="594">
        <v>20.2</v>
      </c>
      <c r="J140" s="594">
        <v>26.4</v>
      </c>
      <c r="K140" s="594">
        <v>23.3</v>
      </c>
    </row>
    <row r="141" spans="1:11" ht="15.5" x14ac:dyDescent="0.35">
      <c r="A141" s="950"/>
      <c r="B141" s="468" t="s">
        <v>957</v>
      </c>
      <c r="C141" s="594">
        <v>22.583619750188618</v>
      </c>
      <c r="D141" s="594">
        <v>28.988591861059081</v>
      </c>
      <c r="E141" s="594">
        <v>25.761351636747627</v>
      </c>
      <c r="F141" s="594">
        <v>164.51361867704279</v>
      </c>
      <c r="G141" s="594">
        <v>154.97716894977168</v>
      </c>
      <c r="H141" s="594">
        <v>160.12605042016807</v>
      </c>
      <c r="I141" s="594">
        <v>18.728376647088314</v>
      </c>
      <c r="J141" s="594">
        <v>25.459777840235603</v>
      </c>
      <c r="K141" s="594">
        <v>22.115736427673188</v>
      </c>
    </row>
    <row r="142" spans="1:11" ht="15.5" x14ac:dyDescent="0.35">
      <c r="A142" s="950"/>
      <c r="B142" s="468" t="s">
        <v>956</v>
      </c>
      <c r="C142" s="594">
        <v>20.980685384501967</v>
      </c>
      <c r="D142" s="594">
        <v>25.448986778499854</v>
      </c>
      <c r="E142" s="594">
        <v>23.200055124015783</v>
      </c>
      <c r="F142" s="594">
        <v>87.881157154026582</v>
      </c>
      <c r="G142" s="594">
        <v>75.45787545787546</v>
      </c>
      <c r="H142" s="594">
        <v>82.194092827004212</v>
      </c>
      <c r="I142" s="594">
        <v>18.168246622378145</v>
      </c>
      <c r="J142" s="594">
        <v>24.147311281162121</v>
      </c>
      <c r="K142" s="594">
        <v>21.180432306633374</v>
      </c>
    </row>
    <row r="143" spans="1:11" ht="15" x14ac:dyDescent="0.35">
      <c r="A143" s="950">
        <v>23</v>
      </c>
      <c r="B143" s="644" t="s">
        <v>33</v>
      </c>
      <c r="C143" s="645"/>
      <c r="D143" s="645"/>
      <c r="E143" s="645"/>
      <c r="F143" s="645"/>
      <c r="G143" s="645"/>
      <c r="H143" s="645"/>
      <c r="I143" s="645"/>
      <c r="J143" s="645"/>
      <c r="K143" s="645"/>
    </row>
    <row r="144" spans="1:11" ht="15" x14ac:dyDescent="0.35">
      <c r="A144" s="950"/>
      <c r="B144" s="633" t="s">
        <v>960</v>
      </c>
      <c r="C144" s="614">
        <v>30.70245357576102</v>
      </c>
      <c r="D144" s="614">
        <v>32.408726703306478</v>
      </c>
      <c r="E144" s="614">
        <v>31.539797125504442</v>
      </c>
      <c r="F144" s="614">
        <v>203.92185181172863</v>
      </c>
      <c r="G144" s="614">
        <v>193.62818434378244</v>
      </c>
      <c r="H144" s="614">
        <v>200.30638013689338</v>
      </c>
      <c r="I144" s="614">
        <v>30.827515445858864</v>
      </c>
      <c r="J144" s="614">
        <v>32.493782577591624</v>
      </c>
      <c r="K144" s="614">
        <v>31.656861531618475</v>
      </c>
    </row>
    <row r="145" spans="1:11" ht="15.5" x14ac:dyDescent="0.35">
      <c r="A145" s="950"/>
      <c r="B145" s="468" t="s">
        <v>959</v>
      </c>
      <c r="C145" s="594">
        <v>32.885592789295565</v>
      </c>
      <c r="D145" s="594">
        <v>34.4733577247979</v>
      </c>
      <c r="E145" s="594">
        <v>33.664826831582374</v>
      </c>
      <c r="F145" s="594">
        <v>222.77753699250141</v>
      </c>
      <c r="G145" s="594">
        <v>241.14081138631022</v>
      </c>
      <c r="H145" s="594">
        <v>229.2278207111016</v>
      </c>
      <c r="I145" s="594">
        <v>32.922450737751909</v>
      </c>
      <c r="J145" s="594">
        <v>34.55595305123903</v>
      </c>
      <c r="K145" s="594">
        <v>33.735537973654139</v>
      </c>
    </row>
    <row r="146" spans="1:11" ht="15.5" x14ac:dyDescent="0.35">
      <c r="A146" s="950"/>
      <c r="B146" s="468" t="s">
        <v>958</v>
      </c>
      <c r="C146" s="594">
        <v>31.4</v>
      </c>
      <c r="D146" s="594">
        <v>33.200000000000003</v>
      </c>
      <c r="E146" s="594">
        <v>32.299999999999997</v>
      </c>
      <c r="F146" s="594">
        <v>206.5</v>
      </c>
      <c r="G146" s="594">
        <v>304.8</v>
      </c>
      <c r="H146" s="594">
        <v>241.1</v>
      </c>
      <c r="I146" s="594">
        <v>31.8</v>
      </c>
      <c r="J146" s="594">
        <v>33.299999999999997</v>
      </c>
      <c r="K146" s="594">
        <v>32.5</v>
      </c>
    </row>
    <row r="147" spans="1:11" ht="15.5" x14ac:dyDescent="0.35">
      <c r="A147" s="950"/>
      <c r="B147" s="468" t="s">
        <v>957</v>
      </c>
      <c r="C147" s="594">
        <v>26.15833140334864</v>
      </c>
      <c r="D147" s="594">
        <v>27.50884812250596</v>
      </c>
      <c r="E147" s="594">
        <v>26.821967544795665</v>
      </c>
      <c r="F147" s="594">
        <v>163.9344262295082</v>
      </c>
      <c r="G147" s="594">
        <v>168.18181818181819</v>
      </c>
      <c r="H147" s="594">
        <v>165.42553191489361</v>
      </c>
      <c r="I147" s="594">
        <v>26.313245246535612</v>
      </c>
      <c r="J147" s="594">
        <v>27.531552252889835</v>
      </c>
      <c r="K147" s="594">
        <v>26.920420310088911</v>
      </c>
    </row>
    <row r="148" spans="1:11" ht="15.5" x14ac:dyDescent="0.35">
      <c r="A148" s="950"/>
      <c r="B148" s="468" t="s">
        <v>956</v>
      </c>
      <c r="C148" s="594">
        <v>23.497507259080699</v>
      </c>
      <c r="D148" s="594">
        <v>22.741093778726896</v>
      </c>
      <c r="E148" s="594">
        <v>23.12536094238142</v>
      </c>
      <c r="F148" s="594">
        <v>131.96721311475409</v>
      </c>
      <c r="G148" s="594">
        <v>92.424242424242422</v>
      </c>
      <c r="H148" s="594">
        <v>118.08510638297874</v>
      </c>
      <c r="I148" s="594">
        <v>23.389590880975526</v>
      </c>
      <c r="J148" s="594">
        <v>23.200343073465042</v>
      </c>
      <c r="K148" s="594">
        <v>23.295161076103479</v>
      </c>
    </row>
    <row r="149" spans="1:11" ht="15" x14ac:dyDescent="0.35">
      <c r="A149" s="950">
        <v>24</v>
      </c>
      <c r="B149" s="644" t="s">
        <v>34</v>
      </c>
      <c r="C149" s="645"/>
      <c r="D149" s="645"/>
      <c r="E149" s="645"/>
      <c r="F149" s="645"/>
      <c r="G149" s="645"/>
      <c r="H149" s="645"/>
      <c r="I149" s="645"/>
      <c r="J149" s="645"/>
      <c r="K149" s="645"/>
    </row>
    <row r="150" spans="1:11" ht="15" x14ac:dyDescent="0.35">
      <c r="A150" s="950"/>
      <c r="B150" s="633" t="s">
        <v>960</v>
      </c>
      <c r="C150" s="614">
        <v>15.900348106095482</v>
      </c>
      <c r="D150" s="614">
        <v>21.147917044615397</v>
      </c>
      <c r="E150" s="614">
        <v>18.411481943589255</v>
      </c>
      <c r="F150" s="614"/>
      <c r="G150" s="614"/>
      <c r="H150" s="614"/>
      <c r="I150" s="614">
        <v>16.193387552187531</v>
      </c>
      <c r="J150" s="614">
        <v>21.396464176013342</v>
      </c>
      <c r="K150" s="614">
        <v>18.737754209693549</v>
      </c>
    </row>
    <row r="151" spans="1:11" ht="15.5" x14ac:dyDescent="0.35">
      <c r="A151" s="950"/>
      <c r="B151" s="468" t="s">
        <v>959</v>
      </c>
      <c r="C151" s="594">
        <v>16.166605328615731</v>
      </c>
      <c r="D151" s="594">
        <v>21.782937295518597</v>
      </c>
      <c r="E151" s="594">
        <v>18.854387068152732</v>
      </c>
      <c r="F151" s="594"/>
      <c r="G151" s="594"/>
      <c r="H151" s="594"/>
      <c r="I151" s="594">
        <v>16.935860379591521</v>
      </c>
      <c r="J151" s="594">
        <v>22.505086012978516</v>
      </c>
      <c r="K151" s="594">
        <v>19.659459692308619</v>
      </c>
    </row>
    <row r="152" spans="1:11" ht="15.5" x14ac:dyDescent="0.35">
      <c r="A152" s="950"/>
      <c r="B152" s="468" t="s">
        <v>958</v>
      </c>
      <c r="C152" s="594">
        <v>16.5</v>
      </c>
      <c r="D152" s="594">
        <v>21.2</v>
      </c>
      <c r="E152" s="594">
        <v>18.8</v>
      </c>
      <c r="F152" s="594"/>
      <c r="G152" s="594"/>
      <c r="H152" s="594"/>
      <c r="I152" s="594">
        <v>17.2</v>
      </c>
      <c r="J152" s="594">
        <v>21.5</v>
      </c>
      <c r="K152" s="594">
        <v>19.3</v>
      </c>
    </row>
    <row r="153" spans="1:11" ht="15.5" x14ac:dyDescent="0.35">
      <c r="A153" s="950"/>
      <c r="B153" s="468" t="s">
        <v>957</v>
      </c>
      <c r="C153" s="594">
        <v>15.352254840371844</v>
      </c>
      <c r="D153" s="594">
        <v>19.336524887988706</v>
      </c>
      <c r="E153" s="594">
        <v>17.261421161177427</v>
      </c>
      <c r="F153" s="594"/>
      <c r="G153" s="594"/>
      <c r="H153" s="594"/>
      <c r="I153" s="594">
        <v>15.169561621174523</v>
      </c>
      <c r="J153" s="594">
        <v>18.852748730592506</v>
      </c>
      <c r="K153" s="594">
        <v>16.973056028096362</v>
      </c>
    </row>
    <row r="154" spans="1:11" ht="15.5" x14ac:dyDescent="0.35">
      <c r="A154" s="950"/>
      <c r="B154" s="468" t="s">
        <v>956</v>
      </c>
      <c r="C154" s="594">
        <v>14.368916886580971</v>
      </c>
      <c r="D154" s="594">
        <v>18.697642217008347</v>
      </c>
      <c r="E154" s="594">
        <v>16.445661520746683</v>
      </c>
      <c r="F154" s="594"/>
      <c r="G154" s="594"/>
      <c r="H154" s="594"/>
      <c r="I154" s="594">
        <v>15.345608711916539</v>
      </c>
      <c r="J154" s="594">
        <v>19.444540488209665</v>
      </c>
      <c r="K154" s="594">
        <v>17.355063712216559</v>
      </c>
    </row>
    <row r="155" spans="1:11" ht="15" x14ac:dyDescent="0.35">
      <c r="A155" s="950">
        <v>25</v>
      </c>
      <c r="B155" s="644" t="s">
        <v>35</v>
      </c>
      <c r="C155" s="645"/>
      <c r="D155" s="645"/>
      <c r="E155" s="645"/>
      <c r="F155" s="645"/>
      <c r="G155" s="645"/>
      <c r="H155" s="645"/>
      <c r="I155" s="645"/>
      <c r="J155" s="645"/>
      <c r="K155" s="645"/>
    </row>
    <row r="156" spans="1:11" ht="15" x14ac:dyDescent="0.35">
      <c r="A156" s="950"/>
      <c r="B156" s="633" t="s">
        <v>960</v>
      </c>
      <c r="C156" s="614">
        <v>25.299465680230171</v>
      </c>
      <c r="D156" s="614">
        <v>24.407145913564399</v>
      </c>
      <c r="E156" s="614">
        <v>24.859158177168492</v>
      </c>
      <c r="F156" s="614">
        <v>26.113744000967831</v>
      </c>
      <c r="G156" s="614">
        <v>23.999373480305795</v>
      </c>
      <c r="H156" s="614">
        <v>25.076810676869343</v>
      </c>
      <c r="I156" s="614">
        <v>17.947204757026594</v>
      </c>
      <c r="J156" s="614">
        <v>17.376903055248775</v>
      </c>
      <c r="K156" s="614">
        <v>17.655458296127925</v>
      </c>
    </row>
    <row r="157" spans="1:11" ht="15.5" x14ac:dyDescent="0.35">
      <c r="A157" s="950"/>
      <c r="B157" s="468" t="s">
        <v>959</v>
      </c>
      <c r="C157" s="594">
        <v>23.761043194784019</v>
      </c>
      <c r="D157" s="594">
        <v>21.933671742808798</v>
      </c>
      <c r="E157" s="594">
        <v>22.860629202291026</v>
      </c>
      <c r="F157" s="594">
        <v>25.403974351702463</v>
      </c>
      <c r="G157" s="594">
        <v>21.659531647027613</v>
      </c>
      <c r="H157" s="594">
        <v>23.564911124587653</v>
      </c>
      <c r="I157" s="594">
        <v>16.950465930076977</v>
      </c>
      <c r="J157" s="594">
        <v>15.410460422829269</v>
      </c>
      <c r="K157" s="594">
        <v>16.161539738202986</v>
      </c>
    </row>
    <row r="158" spans="1:11" ht="15.5" x14ac:dyDescent="0.35">
      <c r="A158" s="950"/>
      <c r="B158" s="468" t="s">
        <v>958</v>
      </c>
      <c r="C158" s="594">
        <v>23.5</v>
      </c>
      <c r="D158" s="594">
        <v>20.6</v>
      </c>
      <c r="E158" s="594">
        <v>22.1</v>
      </c>
      <c r="F158" s="594">
        <v>25.2</v>
      </c>
      <c r="G158" s="594">
        <v>19.899999999999999</v>
      </c>
      <c r="H158" s="594">
        <v>22.6</v>
      </c>
      <c r="I158" s="594">
        <v>16.7</v>
      </c>
      <c r="J158" s="594">
        <v>14.3</v>
      </c>
      <c r="K158" s="594">
        <v>15.5</v>
      </c>
    </row>
    <row r="159" spans="1:11" ht="15.5" x14ac:dyDescent="0.35">
      <c r="A159" s="950"/>
      <c r="B159" s="468" t="s">
        <v>957</v>
      </c>
      <c r="C159" s="594">
        <v>21.332265130618204</v>
      </c>
      <c r="D159" s="594">
        <v>20.129654422224082</v>
      </c>
      <c r="E159" s="594">
        <v>20.740247971330888</v>
      </c>
      <c r="F159" s="594">
        <v>21.443933969723446</v>
      </c>
      <c r="G159" s="594">
        <v>18.415357600493572</v>
      </c>
      <c r="H159" s="594">
        <v>19.951568074217075</v>
      </c>
      <c r="I159" s="594">
        <v>14.203099021371953</v>
      </c>
      <c r="J159" s="594">
        <v>12.754841809580132</v>
      </c>
      <c r="K159" s="594">
        <v>13.458833629799452</v>
      </c>
    </row>
    <row r="160" spans="1:11" ht="15.5" x14ac:dyDescent="0.35">
      <c r="A160" s="950"/>
      <c r="B160" s="468" t="s">
        <v>956</v>
      </c>
      <c r="C160" s="594">
        <v>21.553555428850697</v>
      </c>
      <c r="D160" s="594">
        <v>19.490374152506906</v>
      </c>
      <c r="E160" s="594">
        <v>20.536017998678997</v>
      </c>
      <c r="F160" s="594">
        <v>20.544070950480933</v>
      </c>
      <c r="G160" s="594">
        <v>16.939367972293894</v>
      </c>
      <c r="H160" s="594">
        <v>18.764523557019061</v>
      </c>
      <c r="I160" s="594">
        <v>13.736820941340316</v>
      </c>
      <c r="J160" s="594">
        <v>11.985085194448912</v>
      </c>
      <c r="K160" s="594">
        <v>12.835012938463544</v>
      </c>
    </row>
    <row r="161" spans="1:11" ht="15" x14ac:dyDescent="0.35">
      <c r="A161" s="950">
        <v>26</v>
      </c>
      <c r="B161" s="644" t="s">
        <v>36</v>
      </c>
      <c r="C161" s="645"/>
      <c r="D161" s="645"/>
      <c r="E161" s="645"/>
      <c r="F161" s="645"/>
      <c r="G161" s="645"/>
      <c r="H161" s="645"/>
      <c r="I161" s="645"/>
      <c r="J161" s="645"/>
      <c r="K161" s="645"/>
    </row>
    <row r="162" spans="1:11" ht="15" x14ac:dyDescent="0.35">
      <c r="A162" s="950"/>
      <c r="B162" s="633" t="s">
        <v>960</v>
      </c>
      <c r="C162" s="614">
        <v>71.788877950046654</v>
      </c>
      <c r="D162" s="614">
        <v>72.804538038125941</v>
      </c>
      <c r="E162" s="614">
        <v>72.312725948206875</v>
      </c>
      <c r="F162" s="614">
        <v>53.01670700729214</v>
      </c>
      <c r="G162" s="614">
        <v>52.42843617621471</v>
      </c>
      <c r="H162" s="614">
        <v>52.711687490607481</v>
      </c>
      <c r="I162" s="614"/>
      <c r="J162" s="614"/>
      <c r="K162" s="614"/>
    </row>
    <row r="163" spans="1:11" ht="15.5" x14ac:dyDescent="0.35">
      <c r="A163" s="950"/>
      <c r="B163" s="468" t="s">
        <v>959</v>
      </c>
      <c r="C163" s="594">
        <v>63.560438611910882</v>
      </c>
      <c r="D163" s="594">
        <v>64.488587118240943</v>
      </c>
      <c r="E163" s="594">
        <v>64.041938372036668</v>
      </c>
      <c r="F163" s="594">
        <v>46.325984417482005</v>
      </c>
      <c r="G163" s="594">
        <v>45.095719861827959</v>
      </c>
      <c r="H163" s="594">
        <v>45.684396367845842</v>
      </c>
      <c r="I163" s="594"/>
      <c r="J163" s="594"/>
      <c r="K163" s="594"/>
    </row>
    <row r="164" spans="1:11" ht="15.5" x14ac:dyDescent="0.35">
      <c r="A164" s="950"/>
      <c r="B164" s="468" t="s">
        <v>958</v>
      </c>
      <c r="C164" s="594">
        <v>61</v>
      </c>
      <c r="D164" s="594">
        <v>62.1</v>
      </c>
      <c r="E164" s="594">
        <v>61.5</v>
      </c>
      <c r="F164" s="594">
        <v>43</v>
      </c>
      <c r="G164" s="594">
        <v>43.4</v>
      </c>
      <c r="H164" s="594">
        <v>43.2</v>
      </c>
      <c r="I164" s="594"/>
      <c r="J164" s="594"/>
      <c r="K164" s="594"/>
    </row>
    <row r="165" spans="1:11" ht="15.5" x14ac:dyDescent="0.35">
      <c r="A165" s="950"/>
      <c r="B165" s="468" t="s">
        <v>957</v>
      </c>
      <c r="C165" s="594">
        <v>60.321251484042179</v>
      </c>
      <c r="D165" s="594">
        <v>61.144892507314587</v>
      </c>
      <c r="E165" s="594">
        <v>60.752305182916679</v>
      </c>
      <c r="F165" s="594">
        <v>45.548521516147126</v>
      </c>
      <c r="G165" s="594">
        <v>45.617961305226686</v>
      </c>
      <c r="H165" s="594">
        <v>45.585051840036463</v>
      </c>
      <c r="I165" s="594"/>
      <c r="J165" s="594"/>
      <c r="K165" s="594"/>
    </row>
    <row r="166" spans="1:11" ht="15.5" x14ac:dyDescent="0.35">
      <c r="A166" s="950"/>
      <c r="B166" s="468" t="s">
        <v>956</v>
      </c>
      <c r="C166" s="594">
        <v>54.768329792731244</v>
      </c>
      <c r="D166" s="594">
        <v>54.532224532224525</v>
      </c>
      <c r="E166" s="594">
        <v>54.644778928846662</v>
      </c>
      <c r="F166" s="594">
        <v>40.286584863707489</v>
      </c>
      <c r="G166" s="594">
        <v>38.087161713737927</v>
      </c>
      <c r="H166" s="594">
        <v>39.126206037970746</v>
      </c>
      <c r="I166" s="594"/>
      <c r="J166" s="594"/>
      <c r="K166" s="594"/>
    </row>
    <row r="167" spans="1:11" ht="15" x14ac:dyDescent="0.35">
      <c r="A167" s="950">
        <v>27</v>
      </c>
      <c r="B167" s="644" t="s">
        <v>37</v>
      </c>
      <c r="C167" s="645"/>
      <c r="D167" s="645"/>
      <c r="E167" s="645"/>
      <c r="F167" s="645"/>
      <c r="G167" s="645"/>
      <c r="H167" s="645"/>
      <c r="I167" s="645"/>
      <c r="J167" s="645"/>
      <c r="K167" s="645"/>
    </row>
    <row r="168" spans="1:11" ht="15" x14ac:dyDescent="0.35">
      <c r="A168" s="950"/>
      <c r="B168" s="633" t="s">
        <v>960</v>
      </c>
      <c r="C168" s="614">
        <v>27.890574214517876</v>
      </c>
      <c r="D168" s="614">
        <v>34.357831677381647</v>
      </c>
      <c r="E168" s="614">
        <v>30.811959606626626</v>
      </c>
      <c r="F168" s="614">
        <v>19.009221390021477</v>
      </c>
      <c r="G168" s="614">
        <v>28.560342769863528</v>
      </c>
      <c r="H168" s="614">
        <v>23.372007924984157</v>
      </c>
      <c r="I168" s="614"/>
      <c r="J168" s="614"/>
      <c r="K168" s="614"/>
    </row>
    <row r="169" spans="1:11" ht="15.5" x14ac:dyDescent="0.35">
      <c r="A169" s="950"/>
      <c r="B169" s="468" t="s">
        <v>959</v>
      </c>
      <c r="C169" s="594">
        <v>27.55535124953165</v>
      </c>
      <c r="D169" s="594">
        <v>32.346804162021563</v>
      </c>
      <c r="E169" s="594">
        <v>29.713416916079687</v>
      </c>
      <c r="F169" s="594">
        <v>18.716472759515355</v>
      </c>
      <c r="G169" s="594">
        <v>26.590034336635853</v>
      </c>
      <c r="H169" s="594">
        <v>22.30256354013904</v>
      </c>
      <c r="I169" s="594"/>
      <c r="J169" s="594"/>
      <c r="K169" s="594"/>
    </row>
    <row r="170" spans="1:11" ht="15.5" x14ac:dyDescent="0.35">
      <c r="A170" s="950"/>
      <c r="B170" s="468" t="s">
        <v>958</v>
      </c>
      <c r="C170" s="594">
        <v>25.2</v>
      </c>
      <c r="D170" s="594">
        <v>30.1</v>
      </c>
      <c r="E170" s="594">
        <v>27.4</v>
      </c>
      <c r="F170" s="594">
        <v>16.2</v>
      </c>
      <c r="G170" s="594">
        <v>22.8</v>
      </c>
      <c r="H170" s="594">
        <v>19.2</v>
      </c>
      <c r="I170" s="594"/>
      <c r="J170" s="594"/>
      <c r="K170" s="594"/>
    </row>
    <row r="171" spans="1:11" ht="15.5" x14ac:dyDescent="0.35">
      <c r="A171" s="950"/>
      <c r="B171" s="468" t="s">
        <v>957</v>
      </c>
      <c r="C171" s="594">
        <v>23.943439432104419</v>
      </c>
      <c r="D171" s="594">
        <v>29.116933221099888</v>
      </c>
      <c r="E171" s="594">
        <v>26.2682826881856</v>
      </c>
      <c r="F171" s="594">
        <v>14.334025889900733</v>
      </c>
      <c r="G171" s="594">
        <v>21.258368683285799</v>
      </c>
      <c r="H171" s="594">
        <v>17.480687659369693</v>
      </c>
      <c r="I171" s="594"/>
      <c r="J171" s="594"/>
      <c r="K171" s="594"/>
    </row>
    <row r="172" spans="1:11" ht="15.5" x14ac:dyDescent="0.35">
      <c r="A172" s="950"/>
      <c r="B172" s="468" t="s">
        <v>956</v>
      </c>
      <c r="C172" s="594">
        <v>24.076248160307937</v>
      </c>
      <c r="D172" s="594">
        <v>30.774113082039911</v>
      </c>
      <c r="E172" s="594">
        <v>27.087762477412923</v>
      </c>
      <c r="F172" s="594">
        <v>15.491527791263582</v>
      </c>
      <c r="G172" s="594">
        <v>22.050266820302859</v>
      </c>
      <c r="H172" s="594">
        <v>18.473671743280338</v>
      </c>
      <c r="I172" s="594"/>
      <c r="J172" s="594"/>
      <c r="K172" s="594"/>
    </row>
    <row r="173" spans="1:11" ht="15" x14ac:dyDescent="0.35">
      <c r="A173" s="950">
        <v>28</v>
      </c>
      <c r="B173" s="644" t="s">
        <v>38</v>
      </c>
      <c r="C173" s="645"/>
      <c r="D173" s="645"/>
      <c r="E173" s="645"/>
      <c r="F173" s="645"/>
      <c r="G173" s="645"/>
      <c r="H173" s="645"/>
      <c r="I173" s="645"/>
      <c r="J173" s="645"/>
      <c r="K173" s="645"/>
    </row>
    <row r="174" spans="1:11" ht="15" x14ac:dyDescent="0.35">
      <c r="A174" s="950"/>
      <c r="B174" s="633" t="s">
        <v>960</v>
      </c>
      <c r="C174" s="614">
        <v>28.774318584800628</v>
      </c>
      <c r="D174" s="614">
        <v>30.315187929165155</v>
      </c>
      <c r="E174" s="614">
        <v>29.512159627449712</v>
      </c>
      <c r="F174" s="614">
        <v>27.185332063075375</v>
      </c>
      <c r="G174" s="614">
        <v>29.450551511986912</v>
      </c>
      <c r="H174" s="614">
        <v>28.247755473213438</v>
      </c>
      <c r="I174" s="614">
        <v>27.931676097971341</v>
      </c>
      <c r="J174" s="614">
        <v>29.689028860289312</v>
      </c>
      <c r="K174" s="614">
        <v>28.79891395741161</v>
      </c>
    </row>
    <row r="175" spans="1:11" ht="15.5" x14ac:dyDescent="0.35">
      <c r="A175" s="950"/>
      <c r="B175" s="468" t="s">
        <v>959</v>
      </c>
      <c r="C175" s="594">
        <v>27.767962671158941</v>
      </c>
      <c r="D175" s="594">
        <v>28.670089636647827</v>
      </c>
      <c r="E175" s="594">
        <v>28.198949607708435</v>
      </c>
      <c r="F175" s="594">
        <v>26.518723629592149</v>
      </c>
      <c r="G175" s="594">
        <v>27.160220262083399</v>
      </c>
      <c r="H175" s="594">
        <v>26.819086433887485</v>
      </c>
      <c r="I175" s="594">
        <v>27.695556042112969</v>
      </c>
      <c r="J175" s="594">
        <v>28.208947639346384</v>
      </c>
      <c r="K175" s="594">
        <v>27.948501179529867</v>
      </c>
    </row>
    <row r="176" spans="1:11" ht="15.5" x14ac:dyDescent="0.35">
      <c r="A176" s="950"/>
      <c r="B176" s="468" t="s">
        <v>958</v>
      </c>
      <c r="C176" s="594">
        <v>29</v>
      </c>
      <c r="D176" s="594">
        <v>28.1</v>
      </c>
      <c r="E176" s="594">
        <v>28.6</v>
      </c>
      <c r="F176" s="594">
        <v>27.2</v>
      </c>
      <c r="G176" s="594">
        <v>26.1</v>
      </c>
      <c r="H176" s="594">
        <v>26.7</v>
      </c>
      <c r="I176" s="594">
        <v>28.9</v>
      </c>
      <c r="J176" s="594">
        <v>27.6</v>
      </c>
      <c r="K176" s="594">
        <v>28.2</v>
      </c>
    </row>
    <row r="177" spans="1:11" ht="15.5" x14ac:dyDescent="0.35">
      <c r="A177" s="950"/>
      <c r="B177" s="468" t="s">
        <v>957</v>
      </c>
      <c r="C177" s="594">
        <v>26.088901587819912</v>
      </c>
      <c r="D177" s="594">
        <v>26.038296720645949</v>
      </c>
      <c r="E177" s="594">
        <v>26.064862432501929</v>
      </c>
      <c r="F177" s="594">
        <v>22.931161518679129</v>
      </c>
      <c r="G177" s="594">
        <v>22.604347956550441</v>
      </c>
      <c r="H177" s="594">
        <v>22.778587492696513</v>
      </c>
      <c r="I177" s="594">
        <v>22.821287588720253</v>
      </c>
      <c r="J177" s="594">
        <v>23.75791256646044</v>
      </c>
      <c r="K177" s="594">
        <v>23.281470648625771</v>
      </c>
    </row>
    <row r="178" spans="1:11" ht="15.5" x14ac:dyDescent="0.35">
      <c r="A178" s="950"/>
      <c r="B178" s="468" t="s">
        <v>956</v>
      </c>
      <c r="C178" s="594">
        <v>23.674289474766585</v>
      </c>
      <c r="D178" s="594">
        <v>24.04162110442865</v>
      </c>
      <c r="E178" s="594">
        <v>23.848565746525153</v>
      </c>
      <c r="F178" s="594">
        <v>20.558212396507312</v>
      </c>
      <c r="G178" s="594">
        <v>20.848366675043664</v>
      </c>
      <c r="H178" s="594">
        <v>20.693510921118875</v>
      </c>
      <c r="I178" s="594">
        <v>21.256200652106063</v>
      </c>
      <c r="J178" s="594">
        <v>21.70739103317333</v>
      </c>
      <c r="K178" s="594">
        <v>21.477609189338175</v>
      </c>
    </row>
    <row r="179" spans="1:11" ht="15" x14ac:dyDescent="0.35">
      <c r="A179" s="950">
        <v>29</v>
      </c>
      <c r="B179" s="644" t="s">
        <v>39</v>
      </c>
      <c r="C179" s="645"/>
      <c r="D179" s="645"/>
      <c r="E179" s="645"/>
      <c r="F179" s="645"/>
      <c r="G179" s="645"/>
      <c r="H179" s="645"/>
      <c r="I179" s="645"/>
      <c r="J179" s="645"/>
      <c r="K179" s="645"/>
    </row>
    <row r="180" spans="1:11" ht="15" x14ac:dyDescent="0.35">
      <c r="A180" s="950"/>
      <c r="B180" s="633" t="s">
        <v>960</v>
      </c>
      <c r="C180" s="614">
        <v>39.416917585300013</v>
      </c>
      <c r="D180" s="614">
        <v>45.984918277573946</v>
      </c>
      <c r="E180" s="614">
        <v>42.508123183638638</v>
      </c>
      <c r="F180" s="614">
        <v>55.197088123830206</v>
      </c>
      <c r="G180" s="614">
        <v>48.035942733080361</v>
      </c>
      <c r="H180" s="614">
        <v>51.595037200260073</v>
      </c>
      <c r="I180" s="614">
        <v>33.174089432272801</v>
      </c>
      <c r="J180" s="614">
        <v>43.360221653675815</v>
      </c>
      <c r="K180" s="614">
        <v>38.179652895833044</v>
      </c>
    </row>
    <row r="181" spans="1:11" ht="15.5" x14ac:dyDescent="0.35">
      <c r="A181" s="950"/>
      <c r="B181" s="468" t="s">
        <v>959</v>
      </c>
      <c r="C181" s="594">
        <v>34.99344313914056</v>
      </c>
      <c r="D181" s="594">
        <v>43.153482515802288</v>
      </c>
      <c r="E181" s="594">
        <v>38.834088646682844</v>
      </c>
      <c r="F181" s="594">
        <v>46.512283293051766</v>
      </c>
      <c r="G181" s="594">
        <v>42.732889710173623</v>
      </c>
      <c r="H181" s="594">
        <v>44.611180102186374</v>
      </c>
      <c r="I181" s="594">
        <v>32.392278895310511</v>
      </c>
      <c r="J181" s="594">
        <v>44.85557950278082</v>
      </c>
      <c r="K181" s="594">
        <v>38.517098800528132</v>
      </c>
    </row>
    <row r="182" spans="1:11" ht="15.5" x14ac:dyDescent="0.35">
      <c r="A182" s="950"/>
      <c r="B182" s="468" t="s">
        <v>958</v>
      </c>
      <c r="C182" s="594">
        <v>35.1</v>
      </c>
      <c r="D182" s="594">
        <v>42.5</v>
      </c>
      <c r="E182" s="594">
        <v>38.6</v>
      </c>
      <c r="F182" s="594">
        <v>46.6</v>
      </c>
      <c r="G182" s="594">
        <v>39.1</v>
      </c>
      <c r="H182" s="594">
        <v>42.8</v>
      </c>
      <c r="I182" s="594">
        <v>29.6</v>
      </c>
      <c r="J182" s="594">
        <v>42.1</v>
      </c>
      <c r="K182" s="594">
        <v>35.799999999999997</v>
      </c>
    </row>
    <row r="183" spans="1:11" ht="15.5" x14ac:dyDescent="0.35">
      <c r="A183" s="950"/>
      <c r="B183" s="468" t="s">
        <v>957</v>
      </c>
      <c r="C183" s="594">
        <v>36.273828650831561</v>
      </c>
      <c r="D183" s="594">
        <v>44.00253294040283</v>
      </c>
      <c r="E183" s="594">
        <v>39.916434220645797</v>
      </c>
      <c r="F183" s="594">
        <v>41.151079136690647</v>
      </c>
      <c r="G183" s="594">
        <v>36.578449905482039</v>
      </c>
      <c r="H183" s="594">
        <v>38.847893358724114</v>
      </c>
      <c r="I183" s="594">
        <v>28.763753160664251</v>
      </c>
      <c r="J183" s="594">
        <v>41.609649432178877</v>
      </c>
      <c r="K183" s="594">
        <v>35.085039916695592</v>
      </c>
    </row>
    <row r="184" spans="1:11" ht="15.5" x14ac:dyDescent="0.35">
      <c r="A184" s="950"/>
      <c r="B184" s="468" t="s">
        <v>956</v>
      </c>
      <c r="C184" s="594">
        <v>72.14206195018663</v>
      </c>
      <c r="D184" s="594">
        <v>61.117217459270655</v>
      </c>
      <c r="E184" s="594">
        <v>66.939090741423826</v>
      </c>
      <c r="F184" s="594">
        <v>32.835101253616202</v>
      </c>
      <c r="G184" s="594">
        <v>29.431279620853079</v>
      </c>
      <c r="H184" s="594">
        <v>31.118546845124285</v>
      </c>
      <c r="I184" s="594">
        <v>24.637581587083478</v>
      </c>
      <c r="J184" s="594">
        <v>38.363044708545559</v>
      </c>
      <c r="K184" s="594">
        <v>31.400090620752152</v>
      </c>
    </row>
    <row r="185" spans="1:11" ht="15" x14ac:dyDescent="0.35">
      <c r="A185" s="950">
        <v>30</v>
      </c>
      <c r="B185" s="644" t="s">
        <v>40</v>
      </c>
      <c r="C185" s="645"/>
      <c r="D185" s="645"/>
      <c r="E185" s="645"/>
      <c r="F185" s="645"/>
      <c r="G185" s="645"/>
      <c r="H185" s="645"/>
      <c r="I185" s="645"/>
      <c r="J185" s="645"/>
      <c r="K185" s="645"/>
    </row>
    <row r="186" spans="1:11" ht="15" x14ac:dyDescent="0.35">
      <c r="A186" s="950"/>
      <c r="B186" s="633" t="s">
        <v>960</v>
      </c>
      <c r="C186" s="614">
        <v>51.569125078067337</v>
      </c>
      <c r="D186" s="614">
        <v>53.058257986739001</v>
      </c>
      <c r="E186" s="614">
        <v>52.286835642869669</v>
      </c>
      <c r="F186" s="614">
        <v>43.537806989876287</v>
      </c>
      <c r="G186" s="614">
        <v>45.203341282246441</v>
      </c>
      <c r="H186" s="614">
        <v>44.355840088330638</v>
      </c>
      <c r="I186" s="614">
        <v>47.64670327361317</v>
      </c>
      <c r="J186" s="614">
        <v>38.181483633878159</v>
      </c>
      <c r="K186" s="614">
        <v>42.933128365625045</v>
      </c>
    </row>
    <row r="187" spans="1:11" ht="15.5" x14ac:dyDescent="0.35">
      <c r="A187" s="950"/>
      <c r="B187" s="468" t="s">
        <v>959</v>
      </c>
      <c r="C187" s="594">
        <v>48.838529258275571</v>
      </c>
      <c r="D187" s="594">
        <v>49.348871150429574</v>
      </c>
      <c r="E187" s="594">
        <v>49.080212061840953</v>
      </c>
      <c r="F187" s="594">
        <v>40.691918573687502</v>
      </c>
      <c r="G187" s="594">
        <v>42.083129064148409</v>
      </c>
      <c r="H187" s="594">
        <v>41.374682497949763</v>
      </c>
      <c r="I187" s="594">
        <v>48.24799598203505</v>
      </c>
      <c r="J187" s="594">
        <v>39.405277445741113</v>
      </c>
      <c r="K187" s="594">
        <v>43.8478153656609</v>
      </c>
    </row>
    <row r="188" spans="1:11" ht="15.5" x14ac:dyDescent="0.35">
      <c r="A188" s="950"/>
      <c r="B188" s="468" t="s">
        <v>958</v>
      </c>
      <c r="C188" s="594">
        <v>46.8</v>
      </c>
      <c r="D188" s="594">
        <v>47.3</v>
      </c>
      <c r="E188" s="594">
        <v>47</v>
      </c>
      <c r="F188" s="594">
        <v>38.4</v>
      </c>
      <c r="G188" s="594">
        <v>40.4</v>
      </c>
      <c r="H188" s="594">
        <v>39.4</v>
      </c>
      <c r="I188" s="594">
        <v>50.2</v>
      </c>
      <c r="J188" s="594">
        <v>37.6</v>
      </c>
      <c r="K188" s="594">
        <v>43.9</v>
      </c>
    </row>
    <row r="189" spans="1:11" ht="15.5" x14ac:dyDescent="0.35">
      <c r="A189" s="950"/>
      <c r="B189" s="468" t="s">
        <v>957</v>
      </c>
      <c r="C189" s="594">
        <v>45.404092001748253</v>
      </c>
      <c r="D189" s="594">
        <v>48.572265738323175</v>
      </c>
      <c r="E189" s="594">
        <v>46.94053012183798</v>
      </c>
      <c r="F189" s="594">
        <v>34.674994012881761</v>
      </c>
      <c r="G189" s="594">
        <v>38.924449135494122</v>
      </c>
      <c r="H189" s="594">
        <v>36.761768279305713</v>
      </c>
      <c r="I189" s="594">
        <v>42.877520905066405</v>
      </c>
      <c r="J189" s="594">
        <v>38.238138935046258</v>
      </c>
      <c r="K189" s="594">
        <v>40.567540534199381</v>
      </c>
    </row>
    <row r="190" spans="1:11" ht="15.5" x14ac:dyDescent="0.35">
      <c r="A190" s="950"/>
      <c r="B190" s="468" t="s">
        <v>956</v>
      </c>
      <c r="C190" s="594">
        <v>48.12932387809235</v>
      </c>
      <c r="D190" s="594">
        <v>49.946244266055047</v>
      </c>
      <c r="E190" s="594">
        <v>49.0116531618077</v>
      </c>
      <c r="F190" s="594">
        <v>37.25238698880348</v>
      </c>
      <c r="G190" s="594">
        <v>40.742858839521887</v>
      </c>
      <c r="H190" s="594">
        <v>38.968745477120898</v>
      </c>
      <c r="I190" s="594">
        <v>42.011891997270688</v>
      </c>
      <c r="J190" s="594">
        <v>38.052988897330948</v>
      </c>
      <c r="K190" s="594">
        <v>40.038613812991834</v>
      </c>
    </row>
    <row r="191" spans="1:11" ht="15" x14ac:dyDescent="0.35">
      <c r="A191" s="950">
        <v>31</v>
      </c>
      <c r="B191" s="644" t="s">
        <v>41</v>
      </c>
      <c r="C191" s="645"/>
      <c r="D191" s="645"/>
      <c r="E191" s="645"/>
      <c r="F191" s="645"/>
      <c r="G191" s="645"/>
      <c r="H191" s="645"/>
      <c r="I191" s="645"/>
      <c r="J191" s="645"/>
      <c r="K191" s="645"/>
    </row>
    <row r="192" spans="1:11" ht="15" x14ac:dyDescent="0.35">
      <c r="A192" s="950"/>
      <c r="B192" s="633" t="s">
        <v>960</v>
      </c>
      <c r="C192" s="614">
        <v>44.189446016983418</v>
      </c>
      <c r="D192" s="614">
        <v>49.171656256730564</v>
      </c>
      <c r="E192" s="614">
        <v>46.589688786946773</v>
      </c>
      <c r="F192" s="614">
        <v>41.032126677020401</v>
      </c>
      <c r="G192" s="614">
        <v>50.662364002598125</v>
      </c>
      <c r="H192" s="614">
        <v>45.691399898891987</v>
      </c>
      <c r="I192" s="614">
        <v>46.287478843163285</v>
      </c>
      <c r="J192" s="614">
        <v>45.522180860842219</v>
      </c>
      <c r="K192" s="614">
        <v>45.912645330838856</v>
      </c>
    </row>
    <row r="193" spans="1:11" ht="15.5" x14ac:dyDescent="0.35">
      <c r="A193" s="950"/>
      <c r="B193" s="468" t="s">
        <v>959</v>
      </c>
      <c r="C193" s="594">
        <v>40.56032501392653</v>
      </c>
      <c r="D193" s="594">
        <v>45.021309768266143</v>
      </c>
      <c r="E193" s="594">
        <v>42.698534134582502</v>
      </c>
      <c r="F193" s="594">
        <v>37.624907401887697</v>
      </c>
      <c r="G193" s="594">
        <v>46.455203799874859</v>
      </c>
      <c r="H193" s="594">
        <v>41.897200025679751</v>
      </c>
      <c r="I193" s="594">
        <v>41.743508873739188</v>
      </c>
      <c r="J193" s="594">
        <v>41.002261170609103</v>
      </c>
      <c r="K193" s="594">
        <v>41.380451155433768</v>
      </c>
    </row>
    <row r="194" spans="1:11" ht="15.5" x14ac:dyDescent="0.35">
      <c r="A194" s="950"/>
      <c r="B194" s="468" t="s">
        <v>958</v>
      </c>
      <c r="C194" s="594">
        <v>38.5</v>
      </c>
      <c r="D194" s="594">
        <v>41.6</v>
      </c>
      <c r="E194" s="594">
        <v>40</v>
      </c>
      <c r="F194" s="594">
        <v>35.6</v>
      </c>
      <c r="G194" s="594">
        <v>42.9</v>
      </c>
      <c r="H194" s="594">
        <v>39.200000000000003</v>
      </c>
      <c r="I194" s="594">
        <v>39.1</v>
      </c>
      <c r="J194" s="594">
        <v>36.9</v>
      </c>
      <c r="K194" s="594">
        <v>38</v>
      </c>
    </row>
    <row r="195" spans="1:11" ht="15.5" x14ac:dyDescent="0.35">
      <c r="A195" s="950"/>
      <c r="B195" s="468" t="s">
        <v>957</v>
      </c>
      <c r="C195" s="594">
        <v>37.40755572710605</v>
      </c>
      <c r="D195" s="594">
        <v>40.947538461538464</v>
      </c>
      <c r="E195" s="594">
        <v>39.123601650673692</v>
      </c>
      <c r="F195" s="594">
        <v>31.75869375545307</v>
      </c>
      <c r="G195" s="594">
        <v>39.279159176994256</v>
      </c>
      <c r="H195" s="594">
        <v>35.401438073917433</v>
      </c>
      <c r="I195" s="594">
        <v>34.153443710035091</v>
      </c>
      <c r="J195" s="594">
        <v>33.260792946612888</v>
      </c>
      <c r="K195" s="594">
        <v>33.715734118983157</v>
      </c>
    </row>
    <row r="196" spans="1:11" ht="15.5" x14ac:dyDescent="0.35">
      <c r="A196" s="950"/>
      <c r="B196" s="468" t="s">
        <v>956</v>
      </c>
      <c r="C196" s="594">
        <v>32.233039478727484</v>
      </c>
      <c r="D196" s="594">
        <v>36.424796747967477</v>
      </c>
      <c r="E196" s="594">
        <v>34.267311106727163</v>
      </c>
      <c r="F196" s="594">
        <v>27.643153306870122</v>
      </c>
      <c r="G196" s="594">
        <v>36.220415752389115</v>
      </c>
      <c r="H196" s="594">
        <v>31.802437128875184</v>
      </c>
      <c r="I196" s="594">
        <v>29.660550409680543</v>
      </c>
      <c r="J196" s="594">
        <v>29.458262426483223</v>
      </c>
      <c r="K196" s="594">
        <v>29.561249312921429</v>
      </c>
    </row>
    <row r="197" spans="1:11" ht="15" x14ac:dyDescent="0.35">
      <c r="A197" s="950">
        <v>32</v>
      </c>
      <c r="B197" s="644" t="s">
        <v>58</v>
      </c>
      <c r="C197" s="645"/>
      <c r="D197" s="645"/>
      <c r="E197" s="645"/>
      <c r="F197" s="645"/>
      <c r="G197" s="645"/>
      <c r="H197" s="645"/>
      <c r="I197" s="645"/>
      <c r="J197" s="645"/>
      <c r="K197" s="645"/>
    </row>
    <row r="198" spans="1:11" ht="15" x14ac:dyDescent="0.35">
      <c r="A198" s="950"/>
      <c r="B198" s="633" t="s">
        <v>960</v>
      </c>
      <c r="C198" s="614">
        <v>7.8447523571323199</v>
      </c>
      <c r="D198" s="614">
        <v>16.314062605890463</v>
      </c>
      <c r="E198" s="614">
        <v>10.536335119782262</v>
      </c>
      <c r="F198" s="614">
        <v>25.059044288744531</v>
      </c>
      <c r="G198" s="614">
        <v>28.652661649174743</v>
      </c>
      <c r="H198" s="614">
        <v>26.637564347498788</v>
      </c>
      <c r="I198" s="614">
        <v>6.3222092872595903</v>
      </c>
      <c r="J198" s="614">
        <v>8.2553141851605787</v>
      </c>
      <c r="K198" s="614">
        <v>7.3114083317386589</v>
      </c>
    </row>
    <row r="199" spans="1:11" ht="15.5" x14ac:dyDescent="0.35">
      <c r="A199" s="950"/>
      <c r="B199" s="468" t="s">
        <v>959</v>
      </c>
      <c r="C199" s="594">
        <v>8.3081640293867309</v>
      </c>
      <c r="D199" s="594">
        <v>17.078945142269525</v>
      </c>
      <c r="E199" s="594">
        <v>11.11795400100095</v>
      </c>
      <c r="F199" s="594">
        <v>24.451072514073509</v>
      </c>
      <c r="G199" s="594">
        <v>34.587922780672351</v>
      </c>
      <c r="H199" s="594">
        <v>28.933132818533419</v>
      </c>
      <c r="I199" s="594">
        <v>6.9098416883179858</v>
      </c>
      <c r="J199" s="594">
        <v>8.0816928209175032</v>
      </c>
      <c r="K199" s="594">
        <v>7.5128880312117712</v>
      </c>
    </row>
    <row r="200" spans="1:11" ht="15.5" x14ac:dyDescent="0.35">
      <c r="A200" s="950"/>
      <c r="B200" s="468" t="s">
        <v>958</v>
      </c>
      <c r="C200" s="594">
        <v>8.6</v>
      </c>
      <c r="D200" s="594">
        <v>16.600000000000001</v>
      </c>
      <c r="E200" s="594">
        <v>11.2</v>
      </c>
      <c r="F200" s="594">
        <v>24.8</v>
      </c>
      <c r="G200" s="594">
        <v>31.7</v>
      </c>
      <c r="H200" s="594">
        <v>27.8</v>
      </c>
      <c r="I200" s="594">
        <v>6.9</v>
      </c>
      <c r="J200" s="594">
        <v>8.1</v>
      </c>
      <c r="K200" s="594">
        <v>7.5</v>
      </c>
    </row>
    <row r="201" spans="1:11" ht="15.5" x14ac:dyDescent="0.35">
      <c r="A201" s="950"/>
      <c r="B201" s="468" t="s">
        <v>957</v>
      </c>
      <c r="C201" s="594">
        <v>7.901588819809767</v>
      </c>
      <c r="D201" s="594">
        <v>15.55229743561371</v>
      </c>
      <c r="E201" s="594">
        <v>10.383666143145613</v>
      </c>
      <c r="F201" s="594">
        <v>22.602739726027394</v>
      </c>
      <c r="G201" s="594">
        <v>30.424242424242426</v>
      </c>
      <c r="H201" s="594">
        <v>26.096372495939363</v>
      </c>
      <c r="I201" s="594">
        <v>6.2701705855232825</v>
      </c>
      <c r="J201" s="594">
        <v>7.5122714661734369</v>
      </c>
      <c r="K201" s="594">
        <v>6.9151490524915964</v>
      </c>
    </row>
    <row r="202" spans="1:11" ht="15.5" x14ac:dyDescent="0.35">
      <c r="A202" s="950"/>
      <c r="B202" s="468" t="s">
        <v>956</v>
      </c>
      <c r="C202" s="594">
        <v>7.2661713286713283</v>
      </c>
      <c r="D202" s="594">
        <v>14.140814827371869</v>
      </c>
      <c r="E202" s="594">
        <v>9.5064911149986191</v>
      </c>
      <c r="F202" s="594">
        <v>20.22132796780684</v>
      </c>
      <c r="G202" s="594">
        <v>28.836633663366335</v>
      </c>
      <c r="H202" s="594">
        <v>24.084350721420645</v>
      </c>
      <c r="I202" s="594">
        <v>5.6969026548672561</v>
      </c>
      <c r="J202" s="594">
        <v>7.2513260190365472</v>
      </c>
      <c r="K202" s="594">
        <v>6.5066807979105956</v>
      </c>
    </row>
    <row r="203" spans="1:11" ht="15" x14ac:dyDescent="0.35">
      <c r="A203" s="950">
        <v>33</v>
      </c>
      <c r="B203" s="644" t="s">
        <v>42</v>
      </c>
      <c r="C203" s="645"/>
      <c r="D203" s="645"/>
      <c r="E203" s="645"/>
      <c r="F203" s="645"/>
      <c r="G203" s="645"/>
      <c r="H203" s="645"/>
      <c r="I203" s="645"/>
      <c r="J203" s="645"/>
      <c r="K203" s="645"/>
    </row>
    <row r="204" spans="1:11" ht="15" x14ac:dyDescent="0.35">
      <c r="A204" s="950"/>
      <c r="B204" s="633" t="s">
        <v>960</v>
      </c>
      <c r="C204" s="614">
        <v>22.720923343848888</v>
      </c>
      <c r="D204" s="614">
        <v>23.101390242215942</v>
      </c>
      <c r="E204" s="614">
        <v>22.910065026398811</v>
      </c>
      <c r="F204" s="614">
        <v>21.206116550237724</v>
      </c>
      <c r="G204" s="614">
        <v>22.183795587429902</v>
      </c>
      <c r="H204" s="614">
        <v>21.680641547158068</v>
      </c>
      <c r="I204" s="614">
        <v>21.815307611706576</v>
      </c>
      <c r="J204" s="614">
        <v>21.844427070564539</v>
      </c>
      <c r="K204" s="614">
        <v>21.83037278621245</v>
      </c>
    </row>
    <row r="205" spans="1:11" ht="15.5" x14ac:dyDescent="0.35">
      <c r="A205" s="950"/>
      <c r="B205" s="468" t="s">
        <v>959</v>
      </c>
      <c r="C205" s="594">
        <v>21.457165627206674</v>
      </c>
      <c r="D205" s="594">
        <v>20.865215020791585</v>
      </c>
      <c r="E205" s="594">
        <v>21.162870838857035</v>
      </c>
      <c r="F205" s="594">
        <v>19.86280990037902</v>
      </c>
      <c r="G205" s="594">
        <v>19.795573022274045</v>
      </c>
      <c r="H205" s="594">
        <v>19.83017384291395</v>
      </c>
      <c r="I205" s="594">
        <v>18.376894742118633</v>
      </c>
      <c r="J205" s="594">
        <v>17.266969275077905</v>
      </c>
      <c r="K205" s="594">
        <v>17.802632398426063</v>
      </c>
    </row>
    <row r="206" spans="1:11" ht="15.5" x14ac:dyDescent="0.35">
      <c r="A206" s="950"/>
      <c r="B206" s="468" t="s">
        <v>958</v>
      </c>
      <c r="C206" s="594">
        <v>21.9</v>
      </c>
      <c r="D206" s="594">
        <v>19.5</v>
      </c>
      <c r="E206" s="594">
        <v>20.7</v>
      </c>
      <c r="F206" s="594">
        <v>21.2</v>
      </c>
      <c r="G206" s="594">
        <v>18.8</v>
      </c>
      <c r="H206" s="594">
        <v>20</v>
      </c>
      <c r="I206" s="594">
        <v>17.3</v>
      </c>
      <c r="J206" s="594">
        <v>14.6</v>
      </c>
      <c r="K206" s="594">
        <v>15.9</v>
      </c>
    </row>
    <row r="207" spans="1:11" ht="15.5" x14ac:dyDescent="0.35">
      <c r="A207" s="950"/>
      <c r="B207" s="468" t="s">
        <v>957</v>
      </c>
      <c r="C207" s="594">
        <v>19.953852492789451</v>
      </c>
      <c r="D207" s="594">
        <v>18.385415367733245</v>
      </c>
      <c r="E207" s="594">
        <v>19.173070795105136</v>
      </c>
      <c r="F207" s="594">
        <v>16.862387654739699</v>
      </c>
      <c r="G207" s="594">
        <v>15.795844260641518</v>
      </c>
      <c r="H207" s="594">
        <v>16.344006362418153</v>
      </c>
      <c r="I207" s="594">
        <v>13.995515103548344</v>
      </c>
      <c r="J207" s="594">
        <v>12.413479946983456</v>
      </c>
      <c r="K207" s="594">
        <v>13.175963482396021</v>
      </c>
    </row>
    <row r="208" spans="1:11" ht="15.5" x14ac:dyDescent="0.35">
      <c r="A208" s="950"/>
      <c r="B208" s="468" t="s">
        <v>956</v>
      </c>
      <c r="C208" s="594">
        <v>19.482278669781778</v>
      </c>
      <c r="D208" s="594">
        <v>16.347151878947038</v>
      </c>
      <c r="E208" s="594">
        <v>17.919667233190246</v>
      </c>
      <c r="F208" s="594">
        <v>17.20654675645725</v>
      </c>
      <c r="G208" s="594">
        <v>13.582106327975721</v>
      </c>
      <c r="H208" s="594">
        <v>15.442511760201292</v>
      </c>
      <c r="I208" s="594">
        <v>13.646309926397453</v>
      </c>
      <c r="J208" s="594">
        <v>9.8411096478812556</v>
      </c>
      <c r="K208" s="594">
        <v>11.672709631294046</v>
      </c>
    </row>
    <row r="209" spans="1:11" ht="15" x14ac:dyDescent="0.35">
      <c r="A209" s="950">
        <v>34</v>
      </c>
      <c r="B209" s="644" t="s">
        <v>43</v>
      </c>
      <c r="C209" s="645"/>
      <c r="D209" s="645"/>
      <c r="E209" s="645"/>
      <c r="F209" s="645"/>
      <c r="G209" s="645"/>
      <c r="H209" s="645"/>
      <c r="I209" s="645"/>
      <c r="J209" s="645"/>
      <c r="K209" s="645"/>
    </row>
    <row r="210" spans="1:11" ht="15" x14ac:dyDescent="0.35">
      <c r="A210" s="950"/>
      <c r="B210" s="633" t="s">
        <v>960</v>
      </c>
      <c r="C210" s="614">
        <v>24.95346374367622</v>
      </c>
      <c r="D210" s="614">
        <v>27.110080804398674</v>
      </c>
      <c r="E210" s="614">
        <v>25.966814080260626</v>
      </c>
      <c r="F210" s="614">
        <v>22.718686660476767</v>
      </c>
      <c r="G210" s="614">
        <v>26.813871369175281</v>
      </c>
      <c r="H210" s="614">
        <v>24.612238092966358</v>
      </c>
      <c r="I210" s="614">
        <v>51.869891923439738</v>
      </c>
      <c r="J210" s="614">
        <v>52.815970459521921</v>
      </c>
      <c r="K210" s="614">
        <v>52.341191571161119</v>
      </c>
    </row>
    <row r="211" spans="1:11" ht="15.5" x14ac:dyDescent="0.35">
      <c r="A211" s="950"/>
      <c r="B211" s="468" t="s">
        <v>959</v>
      </c>
      <c r="C211" s="594">
        <v>24.716959229285827</v>
      </c>
      <c r="D211" s="594">
        <v>26.318898122004885</v>
      </c>
      <c r="E211" s="594">
        <v>25.467890283940438</v>
      </c>
      <c r="F211" s="594">
        <v>22.357002487429941</v>
      </c>
      <c r="G211" s="594">
        <v>25.402936560727863</v>
      </c>
      <c r="H211" s="594">
        <v>23.763154349088563</v>
      </c>
      <c r="I211" s="594">
        <v>47.472772804593539</v>
      </c>
      <c r="J211" s="594">
        <v>44.718340762649838</v>
      </c>
      <c r="K211" s="594">
        <v>46.100625583406377</v>
      </c>
    </row>
    <row r="212" spans="1:11" ht="15.5" x14ac:dyDescent="0.35">
      <c r="A212" s="950"/>
      <c r="B212" s="468" t="s">
        <v>958</v>
      </c>
      <c r="C212" s="594">
        <v>23.9</v>
      </c>
      <c r="D212" s="594">
        <v>24.4</v>
      </c>
      <c r="E212" s="594">
        <v>24.1</v>
      </c>
      <c r="F212" s="594">
        <v>21</v>
      </c>
      <c r="G212" s="594">
        <v>22.6</v>
      </c>
      <c r="H212" s="594">
        <v>21.8</v>
      </c>
      <c r="I212" s="594">
        <v>41.4</v>
      </c>
      <c r="J212" s="594">
        <v>37.4</v>
      </c>
      <c r="K212" s="594">
        <v>39.4</v>
      </c>
    </row>
    <row r="213" spans="1:11" ht="15.5" x14ac:dyDescent="0.35">
      <c r="A213" s="950"/>
      <c r="B213" s="468" t="s">
        <v>957</v>
      </c>
      <c r="C213" s="594">
        <v>22.32467600746563</v>
      </c>
      <c r="D213" s="594">
        <v>24.274572553934295</v>
      </c>
      <c r="E213" s="594">
        <v>23.237928697207703</v>
      </c>
      <c r="F213" s="594">
        <v>18.548713506601651</v>
      </c>
      <c r="G213" s="594">
        <v>21.942870137734367</v>
      </c>
      <c r="H213" s="594">
        <v>20.111224321394776</v>
      </c>
      <c r="I213" s="594">
        <v>39.763522696384889</v>
      </c>
      <c r="J213" s="594">
        <v>44.175612441508392</v>
      </c>
      <c r="K213" s="594">
        <v>41.955689277899346</v>
      </c>
    </row>
    <row r="214" spans="1:11" ht="15.5" x14ac:dyDescent="0.35">
      <c r="A214" s="950"/>
      <c r="B214" s="468" t="s">
        <v>956</v>
      </c>
      <c r="C214" s="594">
        <v>20.792069363242256</v>
      </c>
      <c r="D214" s="594">
        <v>24.5245580160502</v>
      </c>
      <c r="E214" s="594">
        <v>22.537993663606663</v>
      </c>
      <c r="F214" s="594">
        <v>18.66359177384911</v>
      </c>
      <c r="G214" s="594">
        <v>23.092397548246741</v>
      </c>
      <c r="H214" s="594">
        <v>20.699775828141696</v>
      </c>
      <c r="I214" s="594">
        <v>33.142786642539889</v>
      </c>
      <c r="J214" s="594">
        <v>35.285604953732694</v>
      </c>
      <c r="K214" s="594">
        <v>34.20618314654071</v>
      </c>
    </row>
    <row r="215" spans="1:11" ht="15" x14ac:dyDescent="0.35">
      <c r="A215" s="950">
        <v>35</v>
      </c>
      <c r="B215" s="644" t="s">
        <v>44</v>
      </c>
      <c r="C215" s="645"/>
      <c r="D215" s="645"/>
      <c r="E215" s="645"/>
      <c r="F215" s="645"/>
      <c r="G215" s="645"/>
      <c r="H215" s="645"/>
      <c r="I215" s="645"/>
      <c r="J215" s="645"/>
      <c r="K215" s="645"/>
    </row>
    <row r="216" spans="1:11" ht="15" x14ac:dyDescent="0.35">
      <c r="A216" s="950"/>
      <c r="B216" s="633" t="s">
        <v>960</v>
      </c>
      <c r="C216" s="614">
        <v>45.503584743332368</v>
      </c>
      <c r="D216" s="614">
        <v>51.716634738186464</v>
      </c>
      <c r="E216" s="614">
        <v>48.516795279164775</v>
      </c>
      <c r="F216" s="614">
        <v>32.864838299902758</v>
      </c>
      <c r="G216" s="614">
        <v>43.155481732209083</v>
      </c>
      <c r="H216" s="614">
        <v>37.727171377918879</v>
      </c>
      <c r="I216" s="614">
        <v>41.389196918856022</v>
      </c>
      <c r="J216" s="614">
        <v>48.219989713876046</v>
      </c>
      <c r="K216" s="614">
        <v>44.723405977932636</v>
      </c>
    </row>
    <row r="217" spans="1:11" ht="15.5" x14ac:dyDescent="0.35">
      <c r="A217" s="950"/>
      <c r="B217" s="468" t="s">
        <v>959</v>
      </c>
      <c r="C217" s="594">
        <v>41.167878202339949</v>
      </c>
      <c r="D217" s="594">
        <v>45.448264337082882</v>
      </c>
      <c r="E217" s="594">
        <v>43.259290050326648</v>
      </c>
      <c r="F217" s="594">
        <v>29.405412152596931</v>
      </c>
      <c r="G217" s="594">
        <v>37.177169206497453</v>
      </c>
      <c r="H217" s="594">
        <v>33.080304529979905</v>
      </c>
      <c r="I217" s="594">
        <v>38.518927841106176</v>
      </c>
      <c r="J217" s="594">
        <v>39.808632228244342</v>
      </c>
      <c r="K217" s="594">
        <v>39.14890609025764</v>
      </c>
    </row>
    <row r="218" spans="1:11" ht="15.5" x14ac:dyDescent="0.35">
      <c r="A218" s="950"/>
      <c r="B218" s="468" t="s">
        <v>958</v>
      </c>
      <c r="C218" s="594">
        <v>40.1</v>
      </c>
      <c r="D218" s="594">
        <v>43.7</v>
      </c>
      <c r="E218" s="594">
        <v>41.8</v>
      </c>
      <c r="F218" s="594">
        <v>29.1</v>
      </c>
      <c r="G218" s="594">
        <v>35.6</v>
      </c>
      <c r="H218" s="594">
        <v>32.200000000000003</v>
      </c>
      <c r="I218" s="594">
        <v>42.1</v>
      </c>
      <c r="J218" s="594">
        <v>42</v>
      </c>
      <c r="K218" s="594">
        <v>42.1</v>
      </c>
    </row>
    <row r="219" spans="1:11" ht="15.5" x14ac:dyDescent="0.35">
      <c r="A219" s="950"/>
      <c r="B219" s="468" t="s">
        <v>957</v>
      </c>
      <c r="C219" s="594">
        <v>42.76795735129069</v>
      </c>
      <c r="D219" s="594">
        <v>48.88387596899225</v>
      </c>
      <c r="E219" s="594">
        <v>45.673221387538668</v>
      </c>
      <c r="F219" s="594">
        <v>31.663715634052199</v>
      </c>
      <c r="G219" s="594">
        <v>39.621371338499934</v>
      </c>
      <c r="H219" s="594">
        <v>35.438433889302111</v>
      </c>
      <c r="I219" s="594">
        <v>46.606768220377631</v>
      </c>
      <c r="J219" s="594">
        <v>51.95594379035321</v>
      </c>
      <c r="K219" s="594">
        <v>49.227727378460109</v>
      </c>
    </row>
    <row r="220" spans="1:11" ht="15.5" x14ac:dyDescent="0.35">
      <c r="A220" s="950"/>
      <c r="B220" s="468" t="s">
        <v>956</v>
      </c>
      <c r="C220" s="594">
        <v>35.02575288488601</v>
      </c>
      <c r="D220" s="594">
        <v>37.830650154798761</v>
      </c>
      <c r="E220" s="594">
        <v>36.361418251511132</v>
      </c>
      <c r="F220" s="594">
        <v>25.879686396908557</v>
      </c>
      <c r="G220" s="594">
        <v>29.464658967023777</v>
      </c>
      <c r="H220" s="594">
        <v>27.584365572454221</v>
      </c>
      <c r="I220" s="594">
        <v>39.701711044011347</v>
      </c>
      <c r="J220" s="594">
        <v>41.514979142965494</v>
      </c>
      <c r="K220" s="594">
        <v>40.591316494005355</v>
      </c>
    </row>
    <row r="221" spans="1:11" ht="15" x14ac:dyDescent="0.35">
      <c r="A221" s="950">
        <v>36</v>
      </c>
      <c r="B221" s="644" t="s">
        <v>45</v>
      </c>
      <c r="C221" s="645"/>
      <c r="D221" s="645"/>
      <c r="E221" s="645"/>
      <c r="F221" s="645"/>
      <c r="G221" s="645"/>
      <c r="H221" s="645"/>
      <c r="I221" s="645"/>
      <c r="J221" s="645"/>
      <c r="K221" s="645"/>
    </row>
    <row r="222" spans="1:11" ht="15" x14ac:dyDescent="0.35">
      <c r="A222" s="950"/>
      <c r="B222" s="633" t="s">
        <v>960</v>
      </c>
      <c r="C222" s="614">
        <v>23.443028573662197</v>
      </c>
      <c r="D222" s="614">
        <v>25.719788333743537</v>
      </c>
      <c r="E222" s="614">
        <v>24.552969197205933</v>
      </c>
      <c r="F222" s="614">
        <v>20.446461900175617</v>
      </c>
      <c r="G222" s="614">
        <v>21.951753316586878</v>
      </c>
      <c r="H222" s="614">
        <v>21.190151821815196</v>
      </c>
      <c r="I222" s="614">
        <v>14.336500089979173</v>
      </c>
      <c r="J222" s="614">
        <v>16.250871074094452</v>
      </c>
      <c r="K222" s="614">
        <v>15.300679804237582</v>
      </c>
    </row>
    <row r="223" spans="1:11" ht="15.5" x14ac:dyDescent="0.35">
      <c r="A223" s="950"/>
      <c r="B223" s="468" t="s">
        <v>959</v>
      </c>
      <c r="C223" s="594">
        <v>26.115004733758095</v>
      </c>
      <c r="D223" s="594">
        <v>26.889818590442349</v>
      </c>
      <c r="E223" s="594">
        <v>26.4920952699512</v>
      </c>
      <c r="F223" s="594">
        <v>23.863214135584126</v>
      </c>
      <c r="G223" s="594">
        <v>23.398647347781072</v>
      </c>
      <c r="H223" s="594">
        <v>23.633965435636963</v>
      </c>
      <c r="I223" s="594">
        <v>14.892612265268948</v>
      </c>
      <c r="J223" s="594">
        <v>16.058582410236006</v>
      </c>
      <c r="K223" s="594">
        <v>15.479177680389784</v>
      </c>
    </row>
    <row r="224" spans="1:11" ht="15.5" x14ac:dyDescent="0.35">
      <c r="A224" s="950"/>
      <c r="B224" s="468" t="s">
        <v>958</v>
      </c>
      <c r="C224" s="594">
        <v>25.9</v>
      </c>
      <c r="D224" s="594">
        <v>26.8</v>
      </c>
      <c r="E224" s="594">
        <v>26.3</v>
      </c>
      <c r="F224" s="594">
        <v>23.4</v>
      </c>
      <c r="G224" s="594">
        <v>22.4</v>
      </c>
      <c r="H224" s="594">
        <v>22.9</v>
      </c>
      <c r="I224" s="594">
        <v>15</v>
      </c>
      <c r="J224" s="594">
        <v>15.7</v>
      </c>
      <c r="K224" s="594">
        <v>15.3</v>
      </c>
    </row>
    <row r="225" spans="1:11" ht="15.5" x14ac:dyDescent="0.35">
      <c r="A225" s="950"/>
      <c r="B225" s="468" t="s">
        <v>957</v>
      </c>
      <c r="C225" s="594">
        <v>20.307040831588395</v>
      </c>
      <c r="D225" s="594">
        <v>22.279601499309528</v>
      </c>
      <c r="E225" s="594">
        <v>21.266831768703565</v>
      </c>
      <c r="F225" s="594">
        <v>16.675465884053921</v>
      </c>
      <c r="G225" s="594">
        <v>17.451658636421779</v>
      </c>
      <c r="H225" s="594">
        <v>17.057880782760844</v>
      </c>
      <c r="I225" s="594">
        <v>11.452265204304096</v>
      </c>
      <c r="J225" s="594">
        <v>11.788763177788249</v>
      </c>
      <c r="K225" s="594">
        <v>11.621282409761058</v>
      </c>
    </row>
    <row r="226" spans="1:11" ht="15.5" x14ac:dyDescent="0.35">
      <c r="A226" s="950"/>
      <c r="B226" s="468" t="s">
        <v>956</v>
      </c>
      <c r="C226" s="594">
        <v>19.835125913288582</v>
      </c>
      <c r="D226" s="594">
        <v>21.372189580885234</v>
      </c>
      <c r="E226" s="594">
        <v>20.582677690358715</v>
      </c>
      <c r="F226" s="594">
        <v>16.985400697877786</v>
      </c>
      <c r="G226" s="594">
        <v>17.49389970201797</v>
      </c>
      <c r="H226" s="594">
        <v>17.235815997849432</v>
      </c>
      <c r="I226" s="594">
        <v>11.297839467085433</v>
      </c>
      <c r="J226" s="594">
        <v>11.476614384626254</v>
      </c>
      <c r="K226" s="594">
        <v>11.387595713787988</v>
      </c>
    </row>
  </sheetData>
  <autoFilter ref="B4:K226" xr:uid="{610E0646-8D0A-40CF-A153-17D4E8F5B5CA}"/>
  <mergeCells count="43">
    <mergeCell ref="A47:A52"/>
    <mergeCell ref="A53:A58"/>
    <mergeCell ref="A59:A64"/>
    <mergeCell ref="C2:E2"/>
    <mergeCell ref="A35:A40"/>
    <mergeCell ref="A29:A34"/>
    <mergeCell ref="A5:A10"/>
    <mergeCell ref="A11:A16"/>
    <mergeCell ref="A17:A22"/>
    <mergeCell ref="A23:A28"/>
    <mergeCell ref="B5:K5"/>
    <mergeCell ref="F2:H2"/>
    <mergeCell ref="I2:K2"/>
    <mergeCell ref="A2:A3"/>
    <mergeCell ref="B2:B3"/>
    <mergeCell ref="A41:A46"/>
    <mergeCell ref="A65:A70"/>
    <mergeCell ref="A155:A160"/>
    <mergeCell ref="A161:A166"/>
    <mergeCell ref="A167:A172"/>
    <mergeCell ref="A173:A178"/>
    <mergeCell ref="A107:A112"/>
    <mergeCell ref="A101:A106"/>
    <mergeCell ref="A71:A76"/>
    <mergeCell ref="A77:A82"/>
    <mergeCell ref="A83:A88"/>
    <mergeCell ref="A89:A94"/>
    <mergeCell ref="A95:A100"/>
    <mergeCell ref="A221:A226"/>
    <mergeCell ref="A185:A190"/>
    <mergeCell ref="A191:A196"/>
    <mergeCell ref="A197:A202"/>
    <mergeCell ref="A203:A208"/>
    <mergeCell ref="A209:A214"/>
    <mergeCell ref="A215:A220"/>
    <mergeCell ref="A179:A184"/>
    <mergeCell ref="A113:A118"/>
    <mergeCell ref="A119:A124"/>
    <mergeCell ref="A125:A130"/>
    <mergeCell ref="A131:A136"/>
    <mergeCell ref="A137:A142"/>
    <mergeCell ref="A143:A148"/>
    <mergeCell ref="A149:A154"/>
  </mergeCells>
  <pageMargins left="0.31496062992125984" right="0.15748031496062992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2023-24&amp;RT-47</oddFooter>
  </headerFooter>
  <rowBreaks count="3" manualBreakCount="3">
    <brk id="64" max="10" man="1"/>
    <brk id="124" max="10" man="1"/>
    <brk id="184" max="10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D47D-443B-4134-A20C-D120CC2EEDF9}">
  <dimension ref="A1:Q41"/>
  <sheetViews>
    <sheetView showZeros="0" view="pageBreakPreview" zoomScale="96" zoomScaleSheetLayoutView="96" workbookViewId="0">
      <pane xSplit="2" ySplit="2" topLeftCell="P21" activePane="bottomRight" state="frozen"/>
      <selection activeCell="H18" sqref="H18"/>
      <selection pane="topRight" activeCell="H18" sqref="H18"/>
      <selection pane="bottomLeft" activeCell="H18" sqref="H18"/>
      <selection pane="bottomRight" activeCell="AB35" sqref="AB35"/>
    </sheetView>
  </sheetViews>
  <sheetFormatPr defaultColWidth="9.1796875" defaultRowHeight="14" x14ac:dyDescent="0.35"/>
  <cols>
    <col min="1" max="1" width="7.1796875" style="510" bestFit="1" customWidth="1"/>
    <col min="2" max="2" width="26.54296875" style="517" customWidth="1"/>
    <col min="3" max="17" width="14" style="517" customWidth="1"/>
    <col min="18" max="16384" width="9.1796875" style="517"/>
  </cols>
  <sheetData>
    <row r="1" spans="1:17" ht="33" customHeight="1" x14ac:dyDescent="0.35">
      <c r="B1" s="516"/>
      <c r="C1" s="949" t="s">
        <v>1026</v>
      </c>
      <c r="D1" s="949"/>
      <c r="E1" s="949"/>
      <c r="F1" s="949"/>
      <c r="G1" s="949"/>
      <c r="H1" s="949" t="str">
        <f>C1</f>
        <v>Table 48. Gender Parity Index (GPI) Trends Over the Last 5 Years</v>
      </c>
      <c r="I1" s="949"/>
      <c r="J1" s="949"/>
      <c r="K1" s="949"/>
      <c r="L1" s="949"/>
      <c r="M1" s="949" t="str">
        <f>C1</f>
        <v>Table 48. Gender Parity Index (GPI) Trends Over the Last 5 Years</v>
      </c>
      <c r="N1" s="949"/>
      <c r="O1" s="949"/>
      <c r="P1" s="949"/>
      <c r="Q1" s="949"/>
    </row>
    <row r="2" spans="1:17" s="236" customFormat="1" ht="14.5" x14ac:dyDescent="0.35">
      <c r="A2" s="961" t="s">
        <v>48</v>
      </c>
      <c r="B2" s="961" t="s">
        <v>1</v>
      </c>
      <c r="C2" s="963" t="s">
        <v>394</v>
      </c>
      <c r="D2" s="963"/>
      <c r="E2" s="963"/>
      <c r="F2" s="963"/>
      <c r="G2" s="963"/>
      <c r="H2" s="963" t="s">
        <v>883</v>
      </c>
      <c r="I2" s="963"/>
      <c r="J2" s="963"/>
      <c r="K2" s="963"/>
      <c r="L2" s="963"/>
      <c r="M2" s="963" t="s">
        <v>884</v>
      </c>
      <c r="N2" s="963"/>
      <c r="O2" s="963"/>
      <c r="P2" s="963"/>
      <c r="Q2" s="963"/>
    </row>
    <row r="3" spans="1:17" ht="14.5" customHeight="1" x14ac:dyDescent="0.35">
      <c r="A3" s="962"/>
      <c r="B3" s="962"/>
      <c r="C3" s="518" t="s">
        <v>956</v>
      </c>
      <c r="D3" s="518" t="s">
        <v>957</v>
      </c>
      <c r="E3" s="518" t="s">
        <v>958</v>
      </c>
      <c r="F3" s="518" t="s">
        <v>959</v>
      </c>
      <c r="G3" s="518" t="s">
        <v>960</v>
      </c>
      <c r="H3" s="518" t="s">
        <v>956</v>
      </c>
      <c r="I3" s="518" t="s">
        <v>957</v>
      </c>
      <c r="J3" s="518" t="s">
        <v>958</v>
      </c>
      <c r="K3" s="518" t="s">
        <v>959</v>
      </c>
      <c r="L3" s="518" t="s">
        <v>960</v>
      </c>
      <c r="M3" s="518" t="s">
        <v>956</v>
      </c>
      <c r="N3" s="518" t="s">
        <v>957</v>
      </c>
      <c r="O3" s="518" t="s">
        <v>958</v>
      </c>
      <c r="P3" s="518" t="s">
        <v>959</v>
      </c>
      <c r="Q3" s="518" t="s">
        <v>960</v>
      </c>
    </row>
    <row r="4" spans="1:17" ht="19.5" customHeight="1" x14ac:dyDescent="0.35">
      <c r="A4" s="505">
        <v>1</v>
      </c>
      <c r="B4" s="505">
        <v>2</v>
      </c>
      <c r="C4" s="505">
        <v>3</v>
      </c>
      <c r="D4" s="505">
        <v>4</v>
      </c>
      <c r="E4" s="505">
        <v>5</v>
      </c>
      <c r="F4" s="505">
        <v>6</v>
      </c>
      <c r="G4" s="505">
        <v>7</v>
      </c>
      <c r="H4" s="505">
        <v>8</v>
      </c>
      <c r="I4" s="505">
        <v>9</v>
      </c>
      <c r="J4" s="505">
        <v>10</v>
      </c>
      <c r="K4" s="505">
        <v>11</v>
      </c>
      <c r="L4" s="505">
        <v>12</v>
      </c>
      <c r="M4" s="505">
        <v>13</v>
      </c>
      <c r="N4" s="505">
        <v>14</v>
      </c>
      <c r="O4" s="505">
        <v>15</v>
      </c>
      <c r="P4" s="505">
        <v>16</v>
      </c>
      <c r="Q4" s="505">
        <v>17</v>
      </c>
    </row>
    <row r="5" spans="1:17" ht="19.5" customHeight="1" x14ac:dyDescent="0.35">
      <c r="A5" s="519"/>
      <c r="B5" s="520" t="s">
        <v>46</v>
      </c>
      <c r="C5" s="595">
        <v>1.0618043944194628</v>
      </c>
      <c r="D5" s="595">
        <v>1.0456354689229865</v>
      </c>
      <c r="E5" s="595">
        <v>1.0070671378091873</v>
      </c>
      <c r="F5" s="595">
        <v>1.044124353108381</v>
      </c>
      <c r="G5" s="595">
        <v>1.0807082255587686</v>
      </c>
      <c r="H5" s="595">
        <v>1.0832744059550961</v>
      </c>
      <c r="I5" s="595">
        <v>1.0673720432135505</v>
      </c>
      <c r="J5" s="595">
        <v>1.0077519379844961</v>
      </c>
      <c r="K5" s="595">
        <v>1.0546179448626434</v>
      </c>
      <c r="L5" s="595">
        <v>1.1073835770536933</v>
      </c>
      <c r="M5" s="595">
        <v>1</v>
      </c>
      <c r="N5" s="595">
        <v>1.0159574468085106</v>
      </c>
      <c r="O5" s="595">
        <v>0.97663551401869164</v>
      </c>
      <c r="P5" s="595">
        <v>1.0346320346320346</v>
      </c>
      <c r="Q5" s="595">
        <v>1.0831145476508046</v>
      </c>
    </row>
    <row r="6" spans="1:17" ht="15.5" x14ac:dyDescent="0.35">
      <c r="A6" s="509">
        <v>1</v>
      </c>
      <c r="B6" s="520" t="s">
        <v>56</v>
      </c>
      <c r="C6" s="596">
        <v>1.3257814768360041</v>
      </c>
      <c r="D6" s="596">
        <v>1.2557306299841944</v>
      </c>
      <c r="E6" s="597">
        <v>1.2979797979797978</v>
      </c>
      <c r="F6" s="597">
        <v>1.0251485828551912</v>
      </c>
      <c r="G6" s="595">
        <v>1.1498139539765542</v>
      </c>
      <c r="H6" s="596"/>
      <c r="I6" s="596"/>
      <c r="J6" s="597"/>
      <c r="K6" s="597"/>
      <c r="L6" s="595"/>
      <c r="M6" s="596">
        <v>1.9590422822210902</v>
      </c>
      <c r="N6" s="596">
        <v>1.5457705677867903</v>
      </c>
      <c r="O6" s="597">
        <v>1.5480769230769231</v>
      </c>
      <c r="P6" s="597">
        <v>1.1461769929699068</v>
      </c>
      <c r="Q6" s="595">
        <v>1.902332543598517</v>
      </c>
    </row>
    <row r="7" spans="1:17" ht="19.5" customHeight="1" x14ac:dyDescent="0.35">
      <c r="A7" s="509">
        <v>2</v>
      </c>
      <c r="B7" s="520" t="s">
        <v>13</v>
      </c>
      <c r="C7" s="596">
        <v>0.91453663678664321</v>
      </c>
      <c r="D7" s="596">
        <v>0.94105939295686558</v>
      </c>
      <c r="E7" s="597">
        <v>0.93368700265251992</v>
      </c>
      <c r="F7" s="597">
        <v>0.97472484790824798</v>
      </c>
      <c r="G7" s="595">
        <v>1.0018464813086301</v>
      </c>
      <c r="H7" s="596">
        <v>0.93289679902823142</v>
      </c>
      <c r="I7" s="596">
        <v>0.97663848434154366</v>
      </c>
      <c r="J7" s="597">
        <v>0.96857142857142853</v>
      </c>
      <c r="K7" s="597">
        <v>1.0067967874166739</v>
      </c>
      <c r="L7" s="595">
        <v>1.0452389653369363</v>
      </c>
      <c r="M7" s="596">
        <v>0.81938575768503141</v>
      </c>
      <c r="N7" s="596">
        <v>0.86703306740589481</v>
      </c>
      <c r="O7" s="597">
        <v>0.88235294117647056</v>
      </c>
      <c r="P7" s="597">
        <v>0.92640158208290624</v>
      </c>
      <c r="Q7" s="595">
        <v>0.96147163335670982</v>
      </c>
    </row>
    <row r="8" spans="1:17" ht="19.5" customHeight="1" x14ac:dyDescent="0.35">
      <c r="A8" s="509">
        <v>3</v>
      </c>
      <c r="B8" s="520" t="s">
        <v>14</v>
      </c>
      <c r="C8" s="596">
        <v>0.98351659811166325</v>
      </c>
      <c r="D8" s="596">
        <v>0.94429131910209174</v>
      </c>
      <c r="E8" s="597">
        <v>0.8984375</v>
      </c>
      <c r="F8" s="597">
        <v>0.93150200280916762</v>
      </c>
      <c r="G8" s="595">
        <v>0.9757403533096678</v>
      </c>
      <c r="H8" s="596"/>
      <c r="I8" s="596"/>
      <c r="J8" s="597"/>
      <c r="K8" s="597"/>
      <c r="L8" s="595"/>
      <c r="M8" s="596">
        <v>0.94865276327124592</v>
      </c>
      <c r="N8" s="596">
        <v>0.9657482043001151</v>
      </c>
      <c r="O8" s="597">
        <v>0.89573459715639803</v>
      </c>
      <c r="P8" s="597">
        <v>0.9380024472417704</v>
      </c>
      <c r="Q8" s="595">
        <v>0.98031323685876792</v>
      </c>
    </row>
    <row r="9" spans="1:17" ht="19.5" customHeight="1" x14ac:dyDescent="0.35">
      <c r="A9" s="509">
        <v>4</v>
      </c>
      <c r="B9" s="520" t="s">
        <v>15</v>
      </c>
      <c r="C9" s="596">
        <v>1.1094895936556164</v>
      </c>
      <c r="D9" s="596">
        <v>1.0949335020398276</v>
      </c>
      <c r="E9" s="597">
        <v>1.0864197530864199</v>
      </c>
      <c r="F9" s="597">
        <v>1.1364055038596041</v>
      </c>
      <c r="G9" s="595">
        <v>1.210484578522844</v>
      </c>
      <c r="H9" s="596">
        <v>1.0829267437029539</v>
      </c>
      <c r="I9" s="596">
        <v>1.1129197219809892</v>
      </c>
      <c r="J9" s="597">
        <v>1.0714285714285714</v>
      </c>
      <c r="K9" s="597">
        <v>1.1104132135698404</v>
      </c>
      <c r="L9" s="595">
        <v>1.2403457919694851</v>
      </c>
      <c r="M9" s="596">
        <v>1.0959098648494758</v>
      </c>
      <c r="N9" s="596">
        <v>1.075015585372495</v>
      </c>
      <c r="O9" s="597">
        <v>1.0354330708661419</v>
      </c>
      <c r="P9" s="597">
        <v>1.0812985394960348</v>
      </c>
      <c r="Q9" s="595">
        <v>1.1489851909929918</v>
      </c>
    </row>
    <row r="10" spans="1:17" ht="19.5" customHeight="1" x14ac:dyDescent="0.35">
      <c r="A10" s="509">
        <v>5</v>
      </c>
      <c r="B10" s="520" t="s">
        <v>16</v>
      </c>
      <c r="C10" s="596">
        <v>0.90792837499535128</v>
      </c>
      <c r="D10" s="596">
        <v>0.91189143991117672</v>
      </c>
      <c r="E10" s="597">
        <v>0.9157303370786517</v>
      </c>
      <c r="F10" s="597">
        <v>1.0425882026319007</v>
      </c>
      <c r="G10" s="595">
        <v>1.1281932057880129</v>
      </c>
      <c r="H10" s="596">
        <v>0.6384620635204592</v>
      </c>
      <c r="I10" s="596">
        <v>0.72422797762323055</v>
      </c>
      <c r="J10" s="597">
        <v>0.71578947368421053</v>
      </c>
      <c r="K10" s="597">
        <v>0.84313417990678885</v>
      </c>
      <c r="L10" s="595">
        <v>0.9106999220169596</v>
      </c>
      <c r="M10" s="596">
        <v>0.820341939253589</v>
      </c>
      <c r="N10" s="596">
        <v>0.79038811196318248</v>
      </c>
      <c r="O10" s="597">
        <v>0.81578947368421051</v>
      </c>
      <c r="P10" s="597">
        <v>0.94891354624571866</v>
      </c>
      <c r="Q10" s="595">
        <v>1.036055396090287</v>
      </c>
    </row>
    <row r="11" spans="1:17" ht="19.5" customHeight="1" x14ac:dyDescent="0.35">
      <c r="A11" s="509">
        <v>6</v>
      </c>
      <c r="B11" s="520" t="s">
        <v>17</v>
      </c>
      <c r="C11" s="596">
        <v>1.3102728693285899</v>
      </c>
      <c r="D11" s="596">
        <v>1.3310059809436454</v>
      </c>
      <c r="E11" s="597">
        <v>1.3274647887323945</v>
      </c>
      <c r="F11" s="597">
        <v>1.3339685072329022</v>
      </c>
      <c r="G11" s="595">
        <v>1.4491400816628035</v>
      </c>
      <c r="H11" s="596">
        <v>1.0251112356112486</v>
      </c>
      <c r="I11" s="596">
        <v>0.94696832578404166</v>
      </c>
      <c r="J11" s="597">
        <v>0.98510242085661071</v>
      </c>
      <c r="K11" s="597">
        <v>1.0364336043151252</v>
      </c>
      <c r="L11" s="595">
        <v>1.1211505382709013</v>
      </c>
      <c r="M11" s="596"/>
      <c r="N11" s="596"/>
      <c r="O11" s="597"/>
      <c r="P11" s="597"/>
      <c r="Q11" s="595"/>
    </row>
    <row r="12" spans="1:17" ht="19.5" customHeight="1" x14ac:dyDescent="0.35">
      <c r="A12" s="509">
        <v>7</v>
      </c>
      <c r="B12" s="520" t="s">
        <v>18</v>
      </c>
      <c r="C12" s="596">
        <v>1.1736292004819699</v>
      </c>
      <c r="D12" s="596">
        <v>1.1830531341819741</v>
      </c>
      <c r="E12" s="597">
        <v>1.2272727272727273</v>
      </c>
      <c r="F12" s="597">
        <v>1.2134069699422663</v>
      </c>
      <c r="G12" s="595">
        <v>1.310477876181422</v>
      </c>
      <c r="H12" s="596">
        <v>1.1054333888091223</v>
      </c>
      <c r="I12" s="596">
        <v>1.1132564169397916</v>
      </c>
      <c r="J12" s="597">
        <v>1.1361256544502616</v>
      </c>
      <c r="K12" s="597">
        <v>1.1418138727369693</v>
      </c>
      <c r="L12" s="595">
        <v>1.2447663920496175</v>
      </c>
      <c r="M12" s="596">
        <v>1.3083299593757467</v>
      </c>
      <c r="N12" s="596">
        <v>1.3521683824990889</v>
      </c>
      <c r="O12" s="597">
        <v>1.4166666666666667</v>
      </c>
      <c r="P12" s="597">
        <v>1.4115962140181475</v>
      </c>
      <c r="Q12" s="595">
        <v>1.5509623155636301</v>
      </c>
    </row>
    <row r="13" spans="1:17" ht="19.5" customHeight="1" x14ac:dyDescent="0.35">
      <c r="A13" s="509">
        <v>8</v>
      </c>
      <c r="B13" s="520" t="s">
        <v>19</v>
      </c>
      <c r="C13" s="596">
        <v>1.0460442030699624</v>
      </c>
      <c r="D13" s="596">
        <v>1.0398056611252935</v>
      </c>
      <c r="E13" s="597">
        <v>1.0289855072463769</v>
      </c>
      <c r="F13" s="597">
        <v>1.0210451263314675</v>
      </c>
      <c r="G13" s="595">
        <v>1.0586813755393032</v>
      </c>
      <c r="H13" s="596">
        <v>1.0464724645092112</v>
      </c>
      <c r="I13" s="596">
        <v>0.90803055777081121</v>
      </c>
      <c r="J13" s="597">
        <v>0.97267759562841527</v>
      </c>
      <c r="K13" s="597">
        <v>0.9748937817811969</v>
      </c>
      <c r="L13" s="595">
        <v>1.0122407142317955</v>
      </c>
      <c r="M13" s="596"/>
      <c r="N13" s="596"/>
      <c r="O13" s="597"/>
      <c r="P13" s="597"/>
      <c r="Q13" s="595"/>
    </row>
    <row r="14" spans="1:17" ht="19.5" customHeight="1" x14ac:dyDescent="0.35">
      <c r="A14" s="509">
        <v>9</v>
      </c>
      <c r="B14" s="520" t="s">
        <v>20</v>
      </c>
      <c r="C14" s="596">
        <v>1.269962121095052</v>
      </c>
      <c r="D14" s="596">
        <v>1.2130028327599294</v>
      </c>
      <c r="E14" s="597">
        <v>0.98611111111111116</v>
      </c>
      <c r="F14" s="597">
        <v>1.0672851092621052</v>
      </c>
      <c r="G14" s="595">
        <v>1.1677625032024364</v>
      </c>
      <c r="H14" s="596">
        <v>0.98388589297680207</v>
      </c>
      <c r="I14" s="596">
        <v>0.76315623653770737</v>
      </c>
      <c r="J14" s="597">
        <v>0.73788546255506615</v>
      </c>
      <c r="K14" s="597">
        <v>0.75015200580405572</v>
      </c>
      <c r="L14" s="595">
        <v>0.8944655620557338</v>
      </c>
      <c r="M14" s="596">
        <v>1.4245233092517435</v>
      </c>
      <c r="N14" s="596">
        <v>1.3202291926325991</v>
      </c>
      <c r="O14" s="597">
        <v>1.3333333333333335</v>
      </c>
      <c r="P14" s="597">
        <v>1.4397173565696688</v>
      </c>
      <c r="Q14" s="595">
        <v>1.5800078090365381</v>
      </c>
    </row>
    <row r="15" spans="1:17" ht="19.5" customHeight="1" x14ac:dyDescent="0.35">
      <c r="A15" s="509">
        <v>10</v>
      </c>
      <c r="B15" s="520" t="s">
        <v>21</v>
      </c>
      <c r="C15" s="596">
        <v>0.90095094772220041</v>
      </c>
      <c r="D15" s="596">
        <v>0.87471881719749245</v>
      </c>
      <c r="E15" s="597">
        <v>0.90079365079365081</v>
      </c>
      <c r="F15" s="597">
        <v>0.92603880702977015</v>
      </c>
      <c r="G15" s="595">
        <v>0.96746869590344609</v>
      </c>
      <c r="H15" s="596">
        <v>0.92224453262082007</v>
      </c>
      <c r="I15" s="596">
        <v>0.88758585916837585</v>
      </c>
      <c r="J15" s="597">
        <v>0.91666666666666663</v>
      </c>
      <c r="K15" s="597">
        <v>0.96571858069933803</v>
      </c>
      <c r="L15" s="595">
        <v>1.0445971515417964</v>
      </c>
      <c r="M15" s="596">
        <v>1.0645703668167732</v>
      </c>
      <c r="N15" s="596">
        <v>1.0103922816580793</v>
      </c>
      <c r="O15" s="597">
        <v>1.0552763819095479</v>
      </c>
      <c r="P15" s="597">
        <v>1.097136330175472</v>
      </c>
      <c r="Q15" s="595">
        <v>1.1711060781802869</v>
      </c>
    </row>
    <row r="16" spans="1:17" ht="19.5" customHeight="1" x14ac:dyDescent="0.35">
      <c r="A16" s="509">
        <v>11</v>
      </c>
      <c r="B16" s="520" t="s">
        <v>22</v>
      </c>
      <c r="C16" s="596">
        <v>1.2134676431718847</v>
      </c>
      <c r="D16" s="596">
        <v>1.1643164741411165</v>
      </c>
      <c r="E16" s="597">
        <v>1.221122112211221</v>
      </c>
      <c r="F16" s="597">
        <v>1.2501326448841654</v>
      </c>
      <c r="G16" s="595">
        <v>1.2812593441827833</v>
      </c>
      <c r="H16" s="596">
        <v>1.2293419273418096</v>
      </c>
      <c r="I16" s="596">
        <v>1.1600341607325266</v>
      </c>
      <c r="J16" s="597">
        <v>1.2066115702479339</v>
      </c>
      <c r="K16" s="597">
        <v>1.3395843300436054</v>
      </c>
      <c r="L16" s="595">
        <v>1.4160377664332946</v>
      </c>
      <c r="M16" s="596"/>
      <c r="N16" s="596"/>
      <c r="O16" s="597"/>
      <c r="P16" s="597"/>
      <c r="Q16" s="595"/>
    </row>
    <row r="17" spans="1:17" ht="19.5" customHeight="1" x14ac:dyDescent="0.35">
      <c r="A17" s="509">
        <v>12</v>
      </c>
      <c r="B17" s="520" t="s">
        <v>23</v>
      </c>
      <c r="C17" s="596">
        <v>1.3433856086005993</v>
      </c>
      <c r="D17" s="596">
        <v>1.3330463615673773</v>
      </c>
      <c r="E17" s="597">
        <v>1.3324396782841825</v>
      </c>
      <c r="F17" s="597">
        <v>1.3189987412517608</v>
      </c>
      <c r="G17" s="595">
        <v>1.3427971126859704</v>
      </c>
      <c r="H17" s="596">
        <v>1.3925763122474542</v>
      </c>
      <c r="I17" s="596">
        <v>1.3528333413318545</v>
      </c>
      <c r="J17" s="597">
        <v>1.3571428571428572</v>
      </c>
      <c r="K17" s="597">
        <v>1.3546550845799885</v>
      </c>
      <c r="L17" s="595">
        <v>1.3588783757695713</v>
      </c>
      <c r="M17" s="596">
        <v>1.2870379390352003</v>
      </c>
      <c r="N17" s="596">
        <v>1.2499707218218592</v>
      </c>
      <c r="O17" s="597">
        <v>1.3074935400516796</v>
      </c>
      <c r="P17" s="597">
        <v>1.3317899065587016</v>
      </c>
      <c r="Q17" s="595">
        <v>1.3126399171705165</v>
      </c>
    </row>
    <row r="18" spans="1:17" ht="19.5" customHeight="1" x14ac:dyDescent="0.35">
      <c r="A18" s="509">
        <v>13</v>
      </c>
      <c r="B18" s="520" t="s">
        <v>24</v>
      </c>
      <c r="C18" s="596">
        <v>1.091638015539347</v>
      </c>
      <c r="D18" s="596">
        <v>1.1819964236853522</v>
      </c>
      <c r="E18" s="597">
        <v>1.2035398230088494</v>
      </c>
      <c r="F18" s="597">
        <v>1.2170415584519778</v>
      </c>
      <c r="G18" s="595">
        <v>1.3417983692992621</v>
      </c>
      <c r="H18" s="596">
        <v>1.4067535470720371</v>
      </c>
      <c r="I18" s="596">
        <v>1.2658408683832243</v>
      </c>
      <c r="J18" s="597">
        <v>1.2096774193548385</v>
      </c>
      <c r="K18" s="597">
        <v>1.3004683475018415</v>
      </c>
      <c r="L18" s="595">
        <v>1.388433226147251</v>
      </c>
      <c r="M18" s="596">
        <v>0.91785726872331141</v>
      </c>
      <c r="N18" s="596">
        <v>0.91667155184201643</v>
      </c>
      <c r="O18" s="597">
        <v>0.89447236180904532</v>
      </c>
      <c r="P18" s="597">
        <v>0.96383753137077299</v>
      </c>
      <c r="Q18" s="595">
        <v>1.0057524546643635</v>
      </c>
    </row>
    <row r="19" spans="1:17" ht="19.5" customHeight="1" x14ac:dyDescent="0.35">
      <c r="A19" s="509">
        <v>14</v>
      </c>
      <c r="B19" s="520" t="s">
        <v>25</v>
      </c>
      <c r="C19" s="596">
        <v>1.0640635287950972</v>
      </c>
      <c r="D19" s="596">
        <v>1.0590349712449547</v>
      </c>
      <c r="E19" s="597">
        <v>1.0053763440860215</v>
      </c>
      <c r="F19" s="597">
        <v>1.0461642875149888</v>
      </c>
      <c r="G19" s="595">
        <v>1.0849993883728657</v>
      </c>
      <c r="H19" s="596">
        <v>0.93283010910110198</v>
      </c>
      <c r="I19" s="596">
        <v>0.93525225824941038</v>
      </c>
      <c r="J19" s="597">
        <v>0.86708860759493667</v>
      </c>
      <c r="K19" s="597">
        <v>0.94074510304691472</v>
      </c>
      <c r="L19" s="595">
        <v>0.97609694660639201</v>
      </c>
      <c r="M19" s="596">
        <v>1.1702346819247123</v>
      </c>
      <c r="N19" s="596">
        <v>1.1428907976241582</v>
      </c>
      <c r="O19" s="597">
        <v>1.1221374045801527</v>
      </c>
      <c r="P19" s="597">
        <v>1.2032734117612107</v>
      </c>
      <c r="Q19" s="595">
        <v>1.2464465038255836</v>
      </c>
    </row>
    <row r="20" spans="1:17" ht="19.5" customHeight="1" x14ac:dyDescent="0.35">
      <c r="A20" s="509">
        <v>15</v>
      </c>
      <c r="B20" s="520" t="s">
        <v>26</v>
      </c>
      <c r="C20" s="596">
        <v>1.0841190048277536</v>
      </c>
      <c r="D20" s="596">
        <v>1.0670107113755329</v>
      </c>
      <c r="E20" s="597">
        <v>1.0055401662049861</v>
      </c>
      <c r="F20" s="597">
        <v>1.0135079629615875</v>
      </c>
      <c r="G20" s="595">
        <v>1.0441179984213469</v>
      </c>
      <c r="H20" s="596">
        <v>1.016075057846896</v>
      </c>
      <c r="I20" s="596">
        <v>1.0215617071859826</v>
      </c>
      <c r="J20" s="597">
        <v>0.93055555555555558</v>
      </c>
      <c r="K20" s="597">
        <v>0.8993617649903124</v>
      </c>
      <c r="L20" s="595">
        <v>0.96459707481537282</v>
      </c>
      <c r="M20" s="596">
        <v>1.0265783781561117</v>
      </c>
      <c r="N20" s="596">
        <v>1.0203256725721999</v>
      </c>
      <c r="O20" s="597">
        <v>0.94696969696969702</v>
      </c>
      <c r="P20" s="597">
        <v>0.93952827784070925</v>
      </c>
      <c r="Q20" s="595">
        <v>1.0070572917085214</v>
      </c>
    </row>
    <row r="21" spans="1:17" ht="19.5" customHeight="1" x14ac:dyDescent="0.35">
      <c r="A21" s="509">
        <v>16</v>
      </c>
      <c r="B21" s="520" t="s">
        <v>27</v>
      </c>
      <c r="C21" s="596">
        <v>1.4164012053546982</v>
      </c>
      <c r="D21" s="596">
        <v>1.5191141349234494</v>
      </c>
      <c r="E21" s="597">
        <v>1.4369501466275658</v>
      </c>
      <c r="F21" s="597">
        <v>1.4724364018783394</v>
      </c>
      <c r="G21" s="595">
        <v>1.4560180094064581</v>
      </c>
      <c r="H21" s="596">
        <v>1.9407302631413037</v>
      </c>
      <c r="I21" s="596">
        <v>1.9060037023378975</v>
      </c>
      <c r="J21" s="597">
        <v>1.803921568627451</v>
      </c>
      <c r="K21" s="597">
        <v>1.7856929813868476</v>
      </c>
      <c r="L21" s="595">
        <v>1.7061565239080236</v>
      </c>
      <c r="M21" s="596">
        <v>1.5629200074396266</v>
      </c>
      <c r="N21" s="596">
        <v>1.5204919609418315</v>
      </c>
      <c r="O21" s="597">
        <v>1.4083333333333332</v>
      </c>
      <c r="P21" s="597">
        <v>1.493341202435438</v>
      </c>
      <c r="Q21" s="595">
        <v>1.4708950080223586</v>
      </c>
    </row>
    <row r="22" spans="1:17" ht="19.5" customHeight="1" x14ac:dyDescent="0.35">
      <c r="A22" s="509">
        <v>17</v>
      </c>
      <c r="B22" s="520" t="s">
        <v>28</v>
      </c>
      <c r="C22" s="596">
        <v>2.2546266084396613</v>
      </c>
      <c r="D22" s="596">
        <v>2.2014348670485853</v>
      </c>
      <c r="E22" s="597">
        <v>2.1866666666666665</v>
      </c>
      <c r="F22" s="597">
        <v>2.2221920215221576</v>
      </c>
      <c r="G22" s="595">
        <v>2.1651121233825483</v>
      </c>
      <c r="H22" s="596"/>
      <c r="I22" s="596"/>
      <c r="J22" s="597">
        <v>14.840707964601767</v>
      </c>
      <c r="K22" s="597"/>
      <c r="L22" s="595"/>
      <c r="M22" s="596">
        <v>1.9063875965467965</v>
      </c>
      <c r="N22" s="596">
        <v>2.0132173574110235</v>
      </c>
      <c r="O22" s="597">
        <v>1.6831683168316833</v>
      </c>
      <c r="P22" s="597">
        <v>1.6444476053228492</v>
      </c>
      <c r="Q22" s="595">
        <v>1.6883635327736095</v>
      </c>
    </row>
    <row r="23" spans="1:17" ht="19.5" customHeight="1" x14ac:dyDescent="0.35">
      <c r="A23" s="509">
        <v>18</v>
      </c>
      <c r="B23" s="520" t="s">
        <v>82</v>
      </c>
      <c r="C23" s="596">
        <v>3.4610612479356639</v>
      </c>
      <c r="D23" s="596">
        <v>3.4840727620332883</v>
      </c>
      <c r="E23" s="597">
        <v>6.333333333333333</v>
      </c>
      <c r="F23" s="597">
        <v>1.8485957089485816</v>
      </c>
      <c r="G23" s="595">
        <v>2.2095391371153594</v>
      </c>
      <c r="H23" s="596"/>
      <c r="I23" s="596"/>
      <c r="J23" s="597"/>
      <c r="K23" s="597"/>
      <c r="L23" s="595"/>
      <c r="M23" s="596">
        <v>3.6520564275779854</v>
      </c>
      <c r="N23" s="596">
        <v>3.6770619358854657</v>
      </c>
      <c r="O23" s="597">
        <v>5</v>
      </c>
      <c r="P23" s="597">
        <v>1.7123189891901096</v>
      </c>
      <c r="Q23" s="595">
        <v>1.9116027466737484</v>
      </c>
    </row>
    <row r="24" spans="1:17" ht="19.5" customHeight="1" x14ac:dyDescent="0.35">
      <c r="A24" s="509">
        <v>19</v>
      </c>
      <c r="B24" s="520" t="s">
        <v>29</v>
      </c>
      <c r="C24" s="596">
        <v>1.0011310568500245</v>
      </c>
      <c r="D24" s="596">
        <v>0.98035018825344744</v>
      </c>
      <c r="E24" s="597">
        <v>0.9427609427609428</v>
      </c>
      <c r="F24" s="597">
        <v>0.98629666616183054</v>
      </c>
      <c r="G24" s="595">
        <v>1.0025901871664806</v>
      </c>
      <c r="H24" s="596">
        <v>1.0112042871255886</v>
      </c>
      <c r="I24" s="596">
        <v>1.0108636027904114</v>
      </c>
      <c r="J24" s="597">
        <v>0.97802197802197799</v>
      </c>
      <c r="K24" s="597">
        <v>1.018521516908379</v>
      </c>
      <c r="L24" s="595">
        <v>1.0505314158027479</v>
      </c>
      <c r="M24" s="596">
        <v>0.96481136854062777</v>
      </c>
      <c r="N24" s="596">
        <v>1.0539638180885105</v>
      </c>
      <c r="O24" s="597">
        <v>0.96629213483146059</v>
      </c>
      <c r="P24" s="597">
        <v>1.0367087170728031</v>
      </c>
      <c r="Q24" s="595">
        <v>1.076420606056343</v>
      </c>
    </row>
    <row r="25" spans="1:17" ht="19.5" customHeight="1" x14ac:dyDescent="0.35">
      <c r="A25" s="509">
        <v>20</v>
      </c>
      <c r="B25" s="520" t="s">
        <v>30</v>
      </c>
      <c r="C25" s="596">
        <v>0.94686620427778601</v>
      </c>
      <c r="D25" s="596">
        <v>0.92390029427823595</v>
      </c>
      <c r="E25" s="597">
        <v>0.89757412398921821</v>
      </c>
      <c r="F25" s="597">
        <v>0.93064027636884894</v>
      </c>
      <c r="G25" s="595">
        <v>0.98464033014599162</v>
      </c>
      <c r="H25" s="596">
        <v>1.0150308299536281</v>
      </c>
      <c r="I25" s="596">
        <v>0.95505165916883028</v>
      </c>
      <c r="J25" s="597">
        <v>0.92819148936170204</v>
      </c>
      <c r="K25" s="597">
        <v>0.97325650197105928</v>
      </c>
      <c r="L25" s="595">
        <v>1.0663088879137121</v>
      </c>
      <c r="M25" s="596">
        <v>0.78363918723181303</v>
      </c>
      <c r="N25" s="596">
        <v>0.77610983306812542</v>
      </c>
      <c r="O25" s="597">
        <v>0.78350515463917525</v>
      </c>
      <c r="P25" s="597">
        <v>0.81654218225083963</v>
      </c>
      <c r="Q25" s="595">
        <v>0.90253874012295354</v>
      </c>
    </row>
    <row r="26" spans="1:17" ht="19.5" customHeight="1" x14ac:dyDescent="0.35">
      <c r="A26" s="509">
        <v>21</v>
      </c>
      <c r="B26" s="520" t="s">
        <v>31</v>
      </c>
      <c r="C26" s="596">
        <v>1.0786414696250219</v>
      </c>
      <c r="D26" s="596">
        <v>1.0452822628866689</v>
      </c>
      <c r="E26" s="597">
        <v>1.0056657223796035</v>
      </c>
      <c r="F26" s="597">
        <v>1.0287000359722827</v>
      </c>
      <c r="G26" s="595">
        <v>1.0522005062295321</v>
      </c>
      <c r="H26" s="596">
        <v>1.0205875086864891</v>
      </c>
      <c r="I26" s="596">
        <v>0.8710368629632913</v>
      </c>
      <c r="J26" s="597">
        <v>1.0116086235489221</v>
      </c>
      <c r="K26" s="597">
        <v>1.0589188426590692</v>
      </c>
      <c r="L26" s="595">
        <v>0.99323289373084256</v>
      </c>
      <c r="M26" s="596">
        <v>1.1066384282311204</v>
      </c>
      <c r="N26" s="596">
        <v>1.0759743642959345</v>
      </c>
      <c r="O26" s="597">
        <v>1.0999999999999999</v>
      </c>
      <c r="P26" s="597">
        <v>1.0908455159790427</v>
      </c>
      <c r="Q26" s="595">
        <v>1.1277244068092491</v>
      </c>
    </row>
    <row r="27" spans="1:17" ht="19.5" customHeight="1" x14ac:dyDescent="0.35">
      <c r="A27" s="509">
        <v>22</v>
      </c>
      <c r="B27" s="520" t="s">
        <v>32</v>
      </c>
      <c r="C27" s="596">
        <v>1.2129721366156387</v>
      </c>
      <c r="D27" s="596">
        <v>1.2836114042708751</v>
      </c>
      <c r="E27" s="597">
        <v>1.2378854625550662</v>
      </c>
      <c r="F27" s="597">
        <v>1.2870951472770835</v>
      </c>
      <c r="G27" s="595">
        <v>1.2955979137215743</v>
      </c>
      <c r="H27" s="596">
        <v>0.85863543336852954</v>
      </c>
      <c r="I27" s="596">
        <v>0.94203246026706067</v>
      </c>
      <c r="J27" s="597">
        <v>1.1717369970559373</v>
      </c>
      <c r="K27" s="597">
        <v>1.1155538028984207</v>
      </c>
      <c r="L27" s="595">
        <v>1.0562654624586161</v>
      </c>
      <c r="M27" s="596">
        <v>1.3290942039183604</v>
      </c>
      <c r="N27" s="596">
        <v>1.3594225660873718</v>
      </c>
      <c r="O27" s="597">
        <v>1.306930693069307</v>
      </c>
      <c r="P27" s="597">
        <v>1.3716406005247941</v>
      </c>
      <c r="Q27" s="595">
        <v>1.4205587235067985</v>
      </c>
    </row>
    <row r="28" spans="1:17" ht="19.5" customHeight="1" x14ac:dyDescent="0.35">
      <c r="A28" s="509">
        <v>23</v>
      </c>
      <c r="B28" s="520" t="s">
        <v>33</v>
      </c>
      <c r="C28" s="596">
        <v>0.96780877767102358</v>
      </c>
      <c r="D28" s="596">
        <v>1.0516285499381828</v>
      </c>
      <c r="E28" s="597">
        <v>1.0573248407643314</v>
      </c>
      <c r="F28" s="597">
        <v>1.048281475285407</v>
      </c>
      <c r="G28" s="595">
        <v>1.0555744876654589</v>
      </c>
      <c r="H28" s="596">
        <v>0.70035761340109171</v>
      </c>
      <c r="I28" s="596">
        <v>1.0259090909090909</v>
      </c>
      <c r="J28" s="597">
        <v>1.4760290556900726</v>
      </c>
      <c r="K28" s="597">
        <v>1.0824287522059592</v>
      </c>
      <c r="L28" s="595">
        <v>0.94952150847742478</v>
      </c>
      <c r="M28" s="596">
        <v>0.99190888765547358</v>
      </c>
      <c r="N28" s="596">
        <v>1.0463001425684892</v>
      </c>
      <c r="O28" s="597">
        <v>1.0471698113207546</v>
      </c>
      <c r="P28" s="597">
        <v>1.0496166681666257</v>
      </c>
      <c r="Q28" s="595">
        <v>1.0540512950081611</v>
      </c>
    </row>
    <row r="29" spans="1:17" ht="19.5" customHeight="1" x14ac:dyDescent="0.35">
      <c r="A29" s="509">
        <v>24</v>
      </c>
      <c r="B29" s="520" t="s">
        <v>34</v>
      </c>
      <c r="C29" s="596">
        <v>1.3012562021616216</v>
      </c>
      <c r="D29" s="596">
        <v>1.2595234438878269</v>
      </c>
      <c r="E29" s="597">
        <v>1.2848484848484849</v>
      </c>
      <c r="F29" s="597">
        <v>1.3474032954192101</v>
      </c>
      <c r="G29" s="595">
        <v>1.3300285568281509</v>
      </c>
      <c r="H29" s="596"/>
      <c r="I29" s="596"/>
      <c r="J29" s="597"/>
      <c r="K29" s="597"/>
      <c r="L29" s="595"/>
      <c r="M29" s="596">
        <v>1.2671077995824385</v>
      </c>
      <c r="N29" s="596">
        <v>1.2428011567767907</v>
      </c>
      <c r="O29" s="597">
        <v>1.25</v>
      </c>
      <c r="P29" s="597">
        <v>1.3288422027910767</v>
      </c>
      <c r="Q29" s="595">
        <v>1.3213087198127942</v>
      </c>
    </row>
    <row r="30" spans="1:17" ht="19.5" customHeight="1" x14ac:dyDescent="0.35">
      <c r="A30" s="509">
        <v>25</v>
      </c>
      <c r="B30" s="520" t="s">
        <v>35</v>
      </c>
      <c r="C30" s="596">
        <v>0.90427652258327174</v>
      </c>
      <c r="D30" s="596">
        <v>0.94362480022489437</v>
      </c>
      <c r="E30" s="597">
        <v>0.87659574468085111</v>
      </c>
      <c r="F30" s="597">
        <v>0.92309380371075789</v>
      </c>
      <c r="G30" s="595">
        <v>0.96472969911917705</v>
      </c>
      <c r="H30" s="596">
        <v>0.8245380388884096</v>
      </c>
      <c r="I30" s="596">
        <v>0.85876768817205362</v>
      </c>
      <c r="J30" s="597">
        <v>0.78968253968253965</v>
      </c>
      <c r="K30" s="597">
        <v>0.85260405900134628</v>
      </c>
      <c r="L30" s="595">
        <v>0.91903227202565541</v>
      </c>
      <c r="M30" s="596">
        <v>0.87247881046337017</v>
      </c>
      <c r="N30" s="596">
        <v>0.89803230903251663</v>
      </c>
      <c r="O30" s="597">
        <v>0.85628742514970069</v>
      </c>
      <c r="P30" s="597">
        <v>0.90914671528201974</v>
      </c>
      <c r="Q30" s="595">
        <v>0.96822336907063278</v>
      </c>
    </row>
    <row r="31" spans="1:17" ht="19.5" customHeight="1" x14ac:dyDescent="0.35">
      <c r="A31" s="509">
        <v>26</v>
      </c>
      <c r="B31" s="520" t="s">
        <v>36</v>
      </c>
      <c r="C31" s="596">
        <v>0.99568901842725077</v>
      </c>
      <c r="D31" s="596">
        <v>1.0136542429576465</v>
      </c>
      <c r="E31" s="597">
        <v>1.0180327868852459</v>
      </c>
      <c r="F31" s="597">
        <v>1.0146026133016037</v>
      </c>
      <c r="G31" s="595">
        <v>1.0141478752291688</v>
      </c>
      <c r="H31" s="596">
        <v>0.94540556968503597</v>
      </c>
      <c r="I31" s="596">
        <v>1.0015245234481418</v>
      </c>
      <c r="J31" s="597">
        <v>1.0093023255813953</v>
      </c>
      <c r="K31" s="597">
        <v>0.97344331542818152</v>
      </c>
      <c r="L31" s="595">
        <v>0.9889040480956971</v>
      </c>
      <c r="M31" s="596"/>
      <c r="N31" s="596"/>
      <c r="O31" s="597"/>
      <c r="P31" s="597"/>
      <c r="Q31" s="595"/>
    </row>
    <row r="32" spans="1:17" ht="19.5" customHeight="1" x14ac:dyDescent="0.35">
      <c r="A32" s="509">
        <v>27</v>
      </c>
      <c r="B32" s="520" t="s">
        <v>37</v>
      </c>
      <c r="C32" s="596">
        <v>1.2781938812532287</v>
      </c>
      <c r="D32" s="596">
        <v>1.2160714547158424</v>
      </c>
      <c r="E32" s="597">
        <v>1.1944444444444446</v>
      </c>
      <c r="F32" s="597">
        <v>1.1738846610627527</v>
      </c>
      <c r="G32" s="595">
        <v>1.2318796813977881</v>
      </c>
      <c r="H32" s="596">
        <v>1.423375868243161</v>
      </c>
      <c r="I32" s="596">
        <v>1.4830703423149054</v>
      </c>
      <c r="J32" s="597">
        <v>1.4074074074074074</v>
      </c>
      <c r="K32" s="597">
        <v>1.420675502178562</v>
      </c>
      <c r="L32" s="595">
        <v>1.5024467432872199</v>
      </c>
      <c r="M32" s="596"/>
      <c r="N32" s="596"/>
      <c r="O32" s="597"/>
      <c r="P32" s="597"/>
      <c r="Q32" s="595"/>
    </row>
    <row r="33" spans="1:17" ht="19.5" customHeight="1" x14ac:dyDescent="0.35">
      <c r="A33" s="509">
        <v>28</v>
      </c>
      <c r="B33" s="520" t="s">
        <v>38</v>
      </c>
      <c r="C33" s="596">
        <v>1.0155160572000941</v>
      </c>
      <c r="D33" s="596">
        <v>0.99806029138468644</v>
      </c>
      <c r="E33" s="597">
        <v>0.96896551724137936</v>
      </c>
      <c r="F33" s="597">
        <v>1.0324880502099592</v>
      </c>
      <c r="G33" s="595">
        <v>1.0535501593138841</v>
      </c>
      <c r="H33" s="596">
        <v>1.0141137893188441</v>
      </c>
      <c r="I33" s="596">
        <v>0.98574805895189943</v>
      </c>
      <c r="J33" s="597">
        <v>0.9595588235294118</v>
      </c>
      <c r="K33" s="597">
        <v>1.0241903283676672</v>
      </c>
      <c r="L33" s="595">
        <v>1.0833250608694343</v>
      </c>
      <c r="M33" s="596">
        <v>1.0212262947857789</v>
      </c>
      <c r="N33" s="596">
        <v>1.0410417236143648</v>
      </c>
      <c r="O33" s="597">
        <v>0.95501730103806237</v>
      </c>
      <c r="P33" s="597">
        <v>1.0185369665968349</v>
      </c>
      <c r="Q33" s="595">
        <v>1.0629161227616271</v>
      </c>
    </row>
    <row r="34" spans="1:17" ht="15.5" x14ac:dyDescent="0.35">
      <c r="A34" s="509">
        <v>29</v>
      </c>
      <c r="B34" s="520" t="s">
        <v>39</v>
      </c>
      <c r="C34" s="596">
        <v>0.84717868892452064</v>
      </c>
      <c r="D34" s="596">
        <v>1.2130655786012292</v>
      </c>
      <c r="E34" s="597">
        <v>1.2108262108262107</v>
      </c>
      <c r="F34" s="597">
        <v>1.2331876673071542</v>
      </c>
      <c r="G34" s="595">
        <v>1.1666289779778056</v>
      </c>
      <c r="H34" s="596">
        <v>0.89633588742509962</v>
      </c>
      <c r="I34" s="596">
        <v>0.88888191203881173</v>
      </c>
      <c r="J34" s="597">
        <v>0.83905579399141628</v>
      </c>
      <c r="K34" s="597">
        <v>0.91874418292763693</v>
      </c>
      <c r="L34" s="595">
        <v>0.87026226139530416</v>
      </c>
      <c r="M34" s="596">
        <v>1.5570945781731194</v>
      </c>
      <c r="N34" s="596">
        <v>1.446600142886846</v>
      </c>
      <c r="O34" s="597">
        <v>1.4222972972972974</v>
      </c>
      <c r="P34" s="597">
        <v>1.3847614626853142</v>
      </c>
      <c r="Q34" s="595">
        <v>1.3070508458777357</v>
      </c>
    </row>
    <row r="35" spans="1:17" ht="19.5" customHeight="1" x14ac:dyDescent="0.35">
      <c r="A35" s="509">
        <v>30</v>
      </c>
      <c r="B35" s="520" t="s">
        <v>40</v>
      </c>
      <c r="C35" s="596">
        <v>1.0377507980906777</v>
      </c>
      <c r="D35" s="596">
        <v>1.0697772733006736</v>
      </c>
      <c r="E35" s="597">
        <v>1.0106837606837606</v>
      </c>
      <c r="F35" s="597">
        <v>1.0104495753640559</v>
      </c>
      <c r="G35" s="595">
        <v>1.0288764431511559</v>
      </c>
      <c r="H35" s="596">
        <v>1.0936979381151468</v>
      </c>
      <c r="I35" s="596">
        <v>1.1225509980198898</v>
      </c>
      <c r="J35" s="597">
        <v>1.0520833333333333</v>
      </c>
      <c r="K35" s="597">
        <v>1.0341888645024593</v>
      </c>
      <c r="L35" s="595">
        <v>1.038254896319363</v>
      </c>
      <c r="M35" s="596">
        <v>0.90576708375340653</v>
      </c>
      <c r="N35" s="596">
        <v>0.89179920219053621</v>
      </c>
      <c r="O35" s="597">
        <v>0.74900398406374502</v>
      </c>
      <c r="P35" s="597">
        <v>0.81672360983476933</v>
      </c>
      <c r="Q35" s="595">
        <v>0.80134575973954392</v>
      </c>
    </row>
    <row r="36" spans="1:17" ht="19.5" customHeight="1" x14ac:dyDescent="0.35">
      <c r="A36" s="509">
        <v>31</v>
      </c>
      <c r="B36" s="520" t="s">
        <v>41</v>
      </c>
      <c r="C36" s="596">
        <v>1.1300453614374897</v>
      </c>
      <c r="D36" s="596">
        <v>1.0946328265941014</v>
      </c>
      <c r="E36" s="597">
        <v>1.0805194805194807</v>
      </c>
      <c r="F36" s="597">
        <v>1.1099839499019772</v>
      </c>
      <c r="G36" s="595">
        <v>1.1127466100804324</v>
      </c>
      <c r="H36" s="596">
        <v>1.3102852395420206</v>
      </c>
      <c r="I36" s="596">
        <v>1.2368002122332218</v>
      </c>
      <c r="J36" s="597">
        <v>1.2050561797752808</v>
      </c>
      <c r="K36" s="597">
        <v>1.2346928406671409</v>
      </c>
      <c r="L36" s="595">
        <v>1.2346999316262843</v>
      </c>
      <c r="M36" s="596">
        <v>0.99317989786422523</v>
      </c>
      <c r="N36" s="596">
        <v>0.97386352102584839</v>
      </c>
      <c r="O36" s="597">
        <v>0.94373401534526846</v>
      </c>
      <c r="P36" s="597">
        <v>0.98224280317756407</v>
      </c>
      <c r="Q36" s="595">
        <v>0.98346641464500284</v>
      </c>
    </row>
    <row r="37" spans="1:17" ht="30" x14ac:dyDescent="0.35">
      <c r="A37" s="509">
        <v>32</v>
      </c>
      <c r="B37" s="555" t="s">
        <v>58</v>
      </c>
      <c r="C37" s="596">
        <v>1.9461163503775543</v>
      </c>
      <c r="D37" s="596">
        <v>1.9682493977189939</v>
      </c>
      <c r="E37" s="597">
        <v>1.9302325581395352</v>
      </c>
      <c r="F37" s="597">
        <v>2.0556822279699514</v>
      </c>
      <c r="G37" s="595">
        <v>2.0796147364751398</v>
      </c>
      <c r="H37" s="596">
        <v>1.4260504408649821</v>
      </c>
      <c r="I37" s="596">
        <v>1.3460422405876953</v>
      </c>
      <c r="J37" s="597">
        <v>1.2782258064516128</v>
      </c>
      <c r="K37" s="597">
        <v>1.4145769172605533</v>
      </c>
      <c r="L37" s="595">
        <v>1.1434060022011419</v>
      </c>
      <c r="M37" s="596">
        <v>1.2728541206231143</v>
      </c>
      <c r="N37" s="596">
        <v>1.1980968242742782</v>
      </c>
      <c r="O37" s="597">
        <v>1.1739130434782608</v>
      </c>
      <c r="P37" s="597">
        <v>1.1695916036080376</v>
      </c>
      <c r="Q37" s="595">
        <v>1.3057641419426826</v>
      </c>
    </row>
    <row r="38" spans="1:17" ht="19.5" customHeight="1" x14ac:dyDescent="0.35">
      <c r="A38" s="509">
        <v>33</v>
      </c>
      <c r="B38" s="520" t="s">
        <v>42</v>
      </c>
      <c r="C38" s="596">
        <v>0.83907802347075988</v>
      </c>
      <c r="D38" s="596">
        <v>0.92139677660627295</v>
      </c>
      <c r="E38" s="597">
        <v>0.8904109589041096</v>
      </c>
      <c r="F38" s="597">
        <v>0.97241245108046681</v>
      </c>
      <c r="G38" s="595">
        <v>1.0167452216888033</v>
      </c>
      <c r="H38" s="596">
        <v>0.78935689538510367</v>
      </c>
      <c r="I38" s="596">
        <v>0.93675015567570608</v>
      </c>
      <c r="J38" s="597">
        <v>0.8867924528301887</v>
      </c>
      <c r="K38" s="597">
        <v>0.99661493623298025</v>
      </c>
      <c r="L38" s="595">
        <v>1.0461036340565251</v>
      </c>
      <c r="M38" s="596">
        <v>0.72115536734546759</v>
      </c>
      <c r="N38" s="596">
        <v>0.88696127689049553</v>
      </c>
      <c r="O38" s="597">
        <v>0.8439306358381502</v>
      </c>
      <c r="P38" s="597">
        <v>0.93960212089059569</v>
      </c>
      <c r="Q38" s="595">
        <v>1.0013348177058177</v>
      </c>
    </row>
    <row r="39" spans="1:17" ht="15.5" x14ac:dyDescent="0.35">
      <c r="A39" s="509">
        <v>34</v>
      </c>
      <c r="B39" s="520" t="s">
        <v>43</v>
      </c>
      <c r="C39" s="596">
        <v>1.1795150154417295</v>
      </c>
      <c r="D39" s="596">
        <v>1.0873426582234205</v>
      </c>
      <c r="E39" s="597">
        <v>1.0209205020920502</v>
      </c>
      <c r="F39" s="597">
        <v>1.0648113256108382</v>
      </c>
      <c r="G39" s="595">
        <v>1.0864255593081338</v>
      </c>
      <c r="H39" s="596">
        <v>1.2372965412050614</v>
      </c>
      <c r="I39" s="596">
        <v>1.1829860938832608</v>
      </c>
      <c r="J39" s="597">
        <v>1.0761904761904764</v>
      </c>
      <c r="K39" s="597">
        <v>1.1362407180931555</v>
      </c>
      <c r="L39" s="595">
        <v>1.1802562256304552</v>
      </c>
      <c r="M39" s="596">
        <v>1.064654138298752</v>
      </c>
      <c r="N39" s="596">
        <v>1.1109582211518858</v>
      </c>
      <c r="O39" s="597">
        <v>0.90338164251207731</v>
      </c>
      <c r="P39" s="597">
        <v>0.94197869896326814</v>
      </c>
      <c r="Q39" s="595">
        <v>1.0182394545467455</v>
      </c>
    </row>
    <row r="40" spans="1:17" ht="15.5" x14ac:dyDescent="0.35">
      <c r="A40" s="509">
        <v>35</v>
      </c>
      <c r="B40" s="520" t="s">
        <v>44</v>
      </c>
      <c r="C40" s="596">
        <v>1.0800809986620756</v>
      </c>
      <c r="D40" s="596">
        <v>1.1430023549515391</v>
      </c>
      <c r="E40" s="597">
        <v>1.0897755610972568</v>
      </c>
      <c r="F40" s="597">
        <v>1.1039739311728638</v>
      </c>
      <c r="G40" s="595">
        <v>1.1365397919724225</v>
      </c>
      <c r="H40" s="596">
        <v>1.1385245754192548</v>
      </c>
      <c r="I40" s="596">
        <v>1.2513178111001544</v>
      </c>
      <c r="J40" s="597">
        <v>1.2233676975945018</v>
      </c>
      <c r="K40" s="597">
        <v>1.2642968244610766</v>
      </c>
      <c r="L40" s="595">
        <v>1.3131201601663371</v>
      </c>
      <c r="M40" s="596">
        <v>1.0456722909736573</v>
      </c>
      <c r="N40" s="596">
        <v>1.1147725056730449</v>
      </c>
      <c r="O40" s="597">
        <v>0.99762470308788598</v>
      </c>
      <c r="P40" s="597">
        <v>1.0334823542456402</v>
      </c>
      <c r="Q40" s="595">
        <v>1.1650380607386963</v>
      </c>
    </row>
    <row r="41" spans="1:17" ht="15.5" x14ac:dyDescent="0.35">
      <c r="A41" s="509">
        <v>36</v>
      </c>
      <c r="B41" s="520" t="s">
        <v>45</v>
      </c>
      <c r="C41" s="596">
        <v>1.0774920045537444</v>
      </c>
      <c r="D41" s="596">
        <v>1.097136785417437</v>
      </c>
      <c r="E41" s="597">
        <v>1.0347490347490349</v>
      </c>
      <c r="F41" s="597">
        <v>1.0296692979604432</v>
      </c>
      <c r="G41" s="595">
        <v>1.0971188408070807</v>
      </c>
      <c r="H41" s="596">
        <v>1.0299374158540586</v>
      </c>
      <c r="I41" s="596">
        <v>1.0465469905167748</v>
      </c>
      <c r="J41" s="597">
        <v>0.95726495726495731</v>
      </c>
      <c r="K41" s="597">
        <v>0.9805320949154831</v>
      </c>
      <c r="L41" s="595">
        <v>1.0736211195736673</v>
      </c>
      <c r="M41" s="596">
        <v>1.0158238146383347</v>
      </c>
      <c r="N41" s="596">
        <v>1.0293826563986388</v>
      </c>
      <c r="O41" s="597">
        <v>1.0466666666666666</v>
      </c>
      <c r="P41" s="597">
        <v>1.0782918486158548</v>
      </c>
      <c r="Q41" s="595">
        <v>1.1335312644020679</v>
      </c>
    </row>
  </sheetData>
  <mergeCells count="8">
    <mergeCell ref="C1:G1"/>
    <mergeCell ref="H1:L1"/>
    <mergeCell ref="M1:Q1"/>
    <mergeCell ref="B2:B3"/>
    <mergeCell ref="A2:A3"/>
    <mergeCell ref="C2:G2"/>
    <mergeCell ref="H2:L2"/>
    <mergeCell ref="M2:Q2"/>
  </mergeCells>
  <pageMargins left="0.59055118110236227" right="0.27559055118110237" top="0.39370078740157483" bottom="0.39370078740157483" header="0.31496062992125984" footer="0.19685039370078741"/>
  <pageSetup paperSize="9" scale="90" firstPageNumber="2" orientation="portrait" r:id="rId1"/>
  <headerFooter>
    <oddFooter>&amp;L&amp;"Arial,Italic"&amp;9AISHE 2023-24&amp;RT-48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DC45-6EE7-4043-BF68-AD10EA68162C}">
  <dimension ref="A1:H227"/>
  <sheetViews>
    <sheetView view="pageBreakPreview" zoomScaleNormal="100" zoomScaleSheetLayoutView="100" workbookViewId="0">
      <selection activeCell="H18" sqref="H18"/>
    </sheetView>
  </sheetViews>
  <sheetFormatPr defaultColWidth="9.1796875" defaultRowHeight="14" x14ac:dyDescent="0.35"/>
  <cols>
    <col min="1" max="1" width="3.54296875" style="510" bestFit="1" customWidth="1"/>
    <col min="2" max="2" width="9.26953125" style="523" bestFit="1" customWidth="1"/>
    <col min="3" max="3" width="21.1796875" style="523" bestFit="1" customWidth="1"/>
    <col min="4" max="4" width="11.7265625" style="523" bestFit="1" customWidth="1"/>
    <col min="5" max="5" width="21.1796875" style="523" bestFit="1" customWidth="1"/>
    <col min="6" max="6" width="11.7265625" style="523" bestFit="1" customWidth="1"/>
    <col min="7" max="7" width="21.1796875" style="523" bestFit="1" customWidth="1"/>
    <col min="8" max="8" width="11.7265625" style="523" bestFit="1" customWidth="1"/>
    <col min="9" max="16384" width="9.1796875" style="523"/>
  </cols>
  <sheetData>
    <row r="1" spans="1:8" s="522" customFormat="1" ht="23.15" customHeight="1" x14ac:dyDescent="0.35">
      <c r="A1" s="510"/>
      <c r="B1" s="654" t="s">
        <v>1027</v>
      </c>
      <c r="C1" s="654"/>
      <c r="D1" s="654"/>
      <c r="E1" s="654"/>
      <c r="F1" s="654"/>
      <c r="G1" s="654"/>
      <c r="H1" s="654"/>
    </row>
    <row r="2" spans="1:8" ht="28.5" customHeight="1" x14ac:dyDescent="0.35">
      <c r="A2" s="656" t="s">
        <v>84</v>
      </c>
      <c r="B2" s="968" t="s">
        <v>1</v>
      </c>
      <c r="C2" s="972" t="s">
        <v>901</v>
      </c>
      <c r="D2" s="968"/>
      <c r="E2" s="972" t="s">
        <v>902</v>
      </c>
      <c r="F2" s="968"/>
      <c r="G2" s="972" t="s">
        <v>903</v>
      </c>
      <c r="H2" s="968"/>
    </row>
    <row r="3" spans="1:8" s="524" customFormat="1" ht="27" customHeight="1" x14ac:dyDescent="0.35">
      <c r="A3" s="656"/>
      <c r="B3" s="968"/>
      <c r="C3" s="637" t="s">
        <v>904</v>
      </c>
      <c r="D3" s="637" t="s">
        <v>905</v>
      </c>
      <c r="E3" s="637" t="s">
        <v>904</v>
      </c>
      <c r="F3" s="637" t="s">
        <v>905</v>
      </c>
      <c r="G3" s="637" t="s">
        <v>904</v>
      </c>
      <c r="H3" s="637" t="s">
        <v>905</v>
      </c>
    </row>
    <row r="4" spans="1:8" s="524" customFormat="1" ht="13" x14ac:dyDescent="0.35">
      <c r="A4" s="525">
        <v>1</v>
      </c>
      <c r="B4" s="526">
        <v>2</v>
      </c>
      <c r="C4" s="525">
        <v>3</v>
      </c>
      <c r="D4" s="526">
        <v>4</v>
      </c>
      <c r="E4" s="525">
        <v>5</v>
      </c>
      <c r="F4" s="526">
        <v>6</v>
      </c>
      <c r="G4" s="525">
        <v>7</v>
      </c>
      <c r="H4" s="525">
        <v>8</v>
      </c>
    </row>
    <row r="5" spans="1:8" ht="15" customHeight="1" x14ac:dyDescent="0.35">
      <c r="A5" s="655"/>
      <c r="B5" s="965" t="s">
        <v>46</v>
      </c>
      <c r="C5" s="969"/>
      <c r="D5" s="969"/>
      <c r="E5" s="969"/>
      <c r="F5" s="969"/>
      <c r="G5" s="969"/>
      <c r="H5" s="970"/>
    </row>
    <row r="6" spans="1:8" ht="15" customHeight="1" x14ac:dyDescent="0.35">
      <c r="A6" s="655"/>
      <c r="B6" s="518" t="s">
        <v>960</v>
      </c>
      <c r="C6" s="598">
        <v>25.017764882866299</v>
      </c>
      <c r="D6" s="598">
        <v>22.475517435262141</v>
      </c>
      <c r="E6" s="598">
        <v>26.263822821118161</v>
      </c>
      <c r="F6" s="598">
        <v>23.46048935765808</v>
      </c>
      <c r="G6" s="598">
        <v>33.186030417208563</v>
      </c>
      <c r="H6" s="598">
        <v>18.5410037210764</v>
      </c>
    </row>
    <row r="7" spans="1:8" ht="15" customHeight="1" x14ac:dyDescent="0.35">
      <c r="A7" s="655"/>
      <c r="B7" s="509" t="s">
        <v>959</v>
      </c>
      <c r="C7" s="599">
        <v>26</v>
      </c>
      <c r="D7" s="599">
        <v>23</v>
      </c>
      <c r="E7" s="599">
        <v>27</v>
      </c>
      <c r="F7" s="599">
        <v>24</v>
      </c>
      <c r="G7" s="599">
        <v>35</v>
      </c>
      <c r="H7" s="581">
        <v>19</v>
      </c>
    </row>
    <row r="8" spans="1:8" ht="15" customHeight="1" x14ac:dyDescent="0.35">
      <c r="A8" s="655"/>
      <c r="B8" s="509" t="s">
        <v>958</v>
      </c>
      <c r="C8" s="599">
        <v>26.254938212399924</v>
      </c>
      <c r="D8" s="599">
        <v>23.369252844551685</v>
      </c>
      <c r="E8" s="599">
        <v>27.753300474029704</v>
      </c>
      <c r="F8" s="599">
        <v>24.543545145417902</v>
      </c>
      <c r="G8" s="599">
        <v>36.839968711116875</v>
      </c>
      <c r="H8" s="599">
        <v>18.354042629076776</v>
      </c>
    </row>
    <row r="9" spans="1:8" ht="15" customHeight="1" x14ac:dyDescent="0.35">
      <c r="A9" s="655"/>
      <c r="B9" s="509" t="s">
        <v>957</v>
      </c>
      <c r="C9" s="599">
        <v>26.678817203607831</v>
      </c>
      <c r="D9" s="599">
        <v>23.731255842740818</v>
      </c>
      <c r="E9" s="599">
        <v>26.898640291319836</v>
      </c>
      <c r="F9" s="599">
        <v>24</v>
      </c>
      <c r="G9" s="599">
        <v>38.250026479572597</v>
      </c>
      <c r="H9" s="599">
        <v>18.881608771729137</v>
      </c>
    </row>
    <row r="10" spans="1:8" ht="15" customHeight="1" x14ac:dyDescent="0.35">
      <c r="A10" s="655"/>
      <c r="B10" s="509" t="s">
        <v>956</v>
      </c>
      <c r="C10" s="599">
        <v>25.6369658239065</v>
      </c>
      <c r="D10" s="599">
        <v>22.785018321451666</v>
      </c>
      <c r="E10" s="599">
        <v>32</v>
      </c>
      <c r="F10" s="599">
        <v>28</v>
      </c>
      <c r="G10" s="599">
        <v>38</v>
      </c>
      <c r="H10" s="599">
        <v>18</v>
      </c>
    </row>
    <row r="11" spans="1:8" ht="15" customHeight="1" x14ac:dyDescent="0.35">
      <c r="A11" s="655">
        <v>1</v>
      </c>
      <c r="B11" s="964" t="s">
        <v>56</v>
      </c>
      <c r="C11" s="650"/>
      <c r="D11" s="650"/>
      <c r="E11" s="650"/>
      <c r="F11" s="650"/>
      <c r="G11" s="650"/>
      <c r="H11" s="651"/>
    </row>
    <row r="12" spans="1:8" ht="15" customHeight="1" x14ac:dyDescent="0.35">
      <c r="A12" s="655"/>
      <c r="B12" s="518" t="s">
        <v>960</v>
      </c>
      <c r="C12" s="615">
        <v>44.28776978417266</v>
      </c>
      <c r="D12" s="598">
        <v>12.776978417266189</v>
      </c>
      <c r="E12" s="598">
        <v>57.390476190476193</v>
      </c>
      <c r="F12" s="598">
        <v>15.676190476190479</v>
      </c>
      <c r="G12" s="598"/>
      <c r="H12" s="598"/>
    </row>
    <row r="13" spans="1:8" ht="15" customHeight="1" x14ac:dyDescent="0.35">
      <c r="A13" s="655"/>
      <c r="B13" s="512" t="s">
        <v>959</v>
      </c>
      <c r="C13" s="599">
        <v>50</v>
      </c>
      <c r="D13" s="599">
        <v>16</v>
      </c>
      <c r="E13" s="599">
        <v>56</v>
      </c>
      <c r="F13" s="599">
        <v>17</v>
      </c>
      <c r="G13" s="599"/>
      <c r="H13" s="599"/>
    </row>
    <row r="14" spans="1:8" ht="15" customHeight="1" x14ac:dyDescent="0.35">
      <c r="A14" s="655"/>
      <c r="B14" s="512" t="s">
        <v>958</v>
      </c>
      <c r="C14" s="599">
        <v>27.337320574162678</v>
      </c>
      <c r="D14" s="599">
        <v>17.696172248803826</v>
      </c>
      <c r="E14" s="599">
        <v>28.044665012406949</v>
      </c>
      <c r="F14" s="599">
        <v>18.044665012406949</v>
      </c>
      <c r="G14" s="599"/>
      <c r="H14" s="599"/>
    </row>
    <row r="15" spans="1:8" ht="15" customHeight="1" x14ac:dyDescent="0.35">
      <c r="A15" s="655"/>
      <c r="B15" s="512" t="s">
        <v>957</v>
      </c>
      <c r="C15" s="599">
        <v>26.41280353200883</v>
      </c>
      <c r="D15" s="599">
        <v>17.079470198675498</v>
      </c>
      <c r="E15" s="599">
        <v>26.9</v>
      </c>
      <c r="F15" s="599">
        <v>17</v>
      </c>
      <c r="G15" s="599"/>
      <c r="H15" s="599"/>
    </row>
    <row r="16" spans="1:8" ht="15" customHeight="1" x14ac:dyDescent="0.35">
      <c r="A16" s="655"/>
      <c r="B16" s="512" t="s">
        <v>956</v>
      </c>
      <c r="C16" s="599">
        <v>21.881209503239742</v>
      </c>
      <c r="D16" s="599">
        <v>13.025917926565874</v>
      </c>
      <c r="E16" s="599">
        <v>22</v>
      </c>
      <c r="F16" s="599">
        <v>13</v>
      </c>
      <c r="G16" s="599"/>
      <c r="H16" s="599"/>
    </row>
    <row r="17" spans="1:8" ht="15" customHeight="1" x14ac:dyDescent="0.35">
      <c r="A17" s="655">
        <v>2</v>
      </c>
      <c r="B17" s="964" t="s">
        <v>13</v>
      </c>
      <c r="C17" s="650"/>
      <c r="D17" s="650"/>
      <c r="E17" s="650"/>
      <c r="F17" s="650"/>
      <c r="G17" s="650"/>
      <c r="H17" s="651"/>
    </row>
    <row r="18" spans="1:8" ht="15" customHeight="1" x14ac:dyDescent="0.35">
      <c r="A18" s="655"/>
      <c r="B18" s="518" t="s">
        <v>960</v>
      </c>
      <c r="C18" s="598">
        <v>16.58924451335438</v>
      </c>
      <c r="D18" s="598">
        <v>14.60334643852557</v>
      </c>
      <c r="E18" s="598">
        <v>16.978244606038839</v>
      </c>
      <c r="F18" s="598">
        <v>14.83307897178083</v>
      </c>
      <c r="G18" s="598">
        <v>42.901496259351617</v>
      </c>
      <c r="H18" s="598">
        <v>18.52437089095443</v>
      </c>
    </row>
    <row r="19" spans="1:8" ht="15" customHeight="1" x14ac:dyDescent="0.35">
      <c r="A19" s="655"/>
      <c r="B19" s="512" t="s">
        <v>959</v>
      </c>
      <c r="C19" s="599">
        <v>17</v>
      </c>
      <c r="D19" s="599">
        <v>15</v>
      </c>
      <c r="E19" s="599">
        <v>18</v>
      </c>
      <c r="F19" s="599">
        <v>15</v>
      </c>
      <c r="G19" s="599">
        <v>41</v>
      </c>
      <c r="H19" s="599">
        <v>17</v>
      </c>
    </row>
    <row r="20" spans="1:8" ht="15" customHeight="1" x14ac:dyDescent="0.35">
      <c r="A20" s="655"/>
      <c r="B20" s="512" t="s">
        <v>958</v>
      </c>
      <c r="C20" s="599">
        <v>17.934452265273325</v>
      </c>
      <c r="D20" s="599">
        <v>16.038022384903815</v>
      </c>
      <c r="E20" s="599">
        <v>18.492012779552716</v>
      </c>
      <c r="F20" s="599">
        <v>16.412315778625167</v>
      </c>
      <c r="G20" s="599">
        <v>40.422145713016434</v>
      </c>
      <c r="H20" s="599">
        <v>18.010661928031986</v>
      </c>
    </row>
    <row r="21" spans="1:8" ht="15" customHeight="1" x14ac:dyDescent="0.35">
      <c r="A21" s="655"/>
      <c r="B21" s="512" t="s">
        <v>957</v>
      </c>
      <c r="C21" s="599">
        <v>19.370229602775503</v>
      </c>
      <c r="D21" s="599">
        <v>17.879468288309358</v>
      </c>
      <c r="E21" s="599">
        <v>19.09401296063449</v>
      </c>
      <c r="F21" s="599">
        <v>18</v>
      </c>
      <c r="G21" s="599">
        <v>42.904062029857656</v>
      </c>
      <c r="H21" s="599">
        <v>25.201249855340816</v>
      </c>
    </row>
    <row r="22" spans="1:8" ht="15" customHeight="1" x14ac:dyDescent="0.35">
      <c r="A22" s="655"/>
      <c r="B22" s="512" t="s">
        <v>956</v>
      </c>
      <c r="C22" s="599">
        <v>19.021516588628092</v>
      </c>
      <c r="D22" s="599">
        <v>16.368138203475141</v>
      </c>
      <c r="E22" s="599">
        <v>22</v>
      </c>
      <c r="F22" s="599">
        <v>19</v>
      </c>
      <c r="G22" s="599">
        <v>46</v>
      </c>
      <c r="H22" s="599">
        <v>16</v>
      </c>
    </row>
    <row r="23" spans="1:8" ht="15" customHeight="1" x14ac:dyDescent="0.35">
      <c r="A23" s="655">
        <v>3</v>
      </c>
      <c r="B23" s="964" t="s">
        <v>14</v>
      </c>
      <c r="C23" s="650"/>
      <c r="D23" s="650"/>
      <c r="E23" s="650"/>
      <c r="F23" s="650"/>
      <c r="G23" s="650"/>
      <c r="H23" s="651"/>
    </row>
    <row r="24" spans="1:8" ht="15" customHeight="1" x14ac:dyDescent="0.35">
      <c r="A24" s="655"/>
      <c r="B24" s="518" t="s">
        <v>960</v>
      </c>
      <c r="C24" s="598">
        <v>24.954393305439329</v>
      </c>
      <c r="D24" s="598">
        <v>21.212133891213391</v>
      </c>
      <c r="E24" s="598">
        <v>26.001332741003999</v>
      </c>
      <c r="F24" s="598">
        <v>22.027987561083961</v>
      </c>
      <c r="G24" s="598">
        <v>25.817042606516289</v>
      </c>
      <c r="H24" s="598">
        <v>18.345029239766081</v>
      </c>
    </row>
    <row r="25" spans="1:8" ht="15" customHeight="1" x14ac:dyDescent="0.35">
      <c r="A25" s="655"/>
      <c r="B25" s="512" t="s">
        <v>959</v>
      </c>
      <c r="C25" s="599">
        <v>27</v>
      </c>
      <c r="D25" s="599">
        <v>23</v>
      </c>
      <c r="E25" s="599">
        <v>28</v>
      </c>
      <c r="F25" s="599">
        <v>23</v>
      </c>
      <c r="G25" s="599">
        <v>29</v>
      </c>
      <c r="H25" s="599">
        <v>20</v>
      </c>
    </row>
    <row r="26" spans="1:8" ht="15" customHeight="1" x14ac:dyDescent="0.35">
      <c r="A26" s="655"/>
      <c r="B26" s="512" t="s">
        <v>958</v>
      </c>
      <c r="C26" s="599">
        <v>28.373414954088325</v>
      </c>
      <c r="D26" s="599">
        <v>23.390905115872322</v>
      </c>
      <c r="E26" s="599">
        <v>29.61778398510242</v>
      </c>
      <c r="F26" s="599">
        <v>24.312849162011172</v>
      </c>
      <c r="G26" s="599">
        <v>30.863315696649028</v>
      </c>
      <c r="H26" s="599">
        <v>20.814814814814813</v>
      </c>
    </row>
    <row r="27" spans="1:8" ht="15" customHeight="1" x14ac:dyDescent="0.35">
      <c r="A27" s="655"/>
      <c r="B27" s="512" t="s">
        <v>957</v>
      </c>
      <c r="C27" s="599">
        <v>27.66790180639185</v>
      </c>
      <c r="D27" s="599">
        <v>22.604446503010653</v>
      </c>
      <c r="E27" s="599">
        <v>28.904244817374135</v>
      </c>
      <c r="F27" s="599">
        <v>24</v>
      </c>
      <c r="G27" s="599">
        <v>32.673094582185492</v>
      </c>
      <c r="H27" s="599">
        <v>22.634527089072545</v>
      </c>
    </row>
    <row r="28" spans="1:8" ht="15" customHeight="1" x14ac:dyDescent="0.35">
      <c r="A28" s="655"/>
      <c r="B28" s="512" t="s">
        <v>956</v>
      </c>
      <c r="C28" s="599">
        <v>27.852295409181636</v>
      </c>
      <c r="D28" s="599">
        <v>19.83882235528942</v>
      </c>
      <c r="E28" s="599">
        <v>63</v>
      </c>
      <c r="F28" s="599">
        <v>45</v>
      </c>
      <c r="G28" s="599">
        <v>33</v>
      </c>
      <c r="H28" s="599">
        <v>18</v>
      </c>
    </row>
    <row r="29" spans="1:8" ht="15" customHeight="1" x14ac:dyDescent="0.35">
      <c r="A29" s="655">
        <v>4</v>
      </c>
      <c r="B29" s="964" t="s">
        <v>15</v>
      </c>
      <c r="C29" s="650"/>
      <c r="D29" s="650"/>
      <c r="E29" s="650"/>
      <c r="F29" s="650"/>
      <c r="G29" s="650"/>
      <c r="H29" s="651"/>
    </row>
    <row r="30" spans="1:8" ht="15" customHeight="1" x14ac:dyDescent="0.35">
      <c r="A30" s="655"/>
      <c r="B30" s="518" t="s">
        <v>960</v>
      </c>
      <c r="C30" s="598">
        <v>28.192714453584021</v>
      </c>
      <c r="D30" s="598">
        <v>24.425809208417899</v>
      </c>
      <c r="E30" s="598">
        <v>29.25308807220161</v>
      </c>
      <c r="F30" s="598">
        <v>25.21128915063673</v>
      </c>
      <c r="G30" s="598">
        <v>39.411332633788042</v>
      </c>
      <c r="H30" s="598">
        <v>17.231059811122769</v>
      </c>
    </row>
    <row r="31" spans="1:8" ht="15" customHeight="1" x14ac:dyDescent="0.35">
      <c r="A31" s="655"/>
      <c r="B31" s="512" t="s">
        <v>959</v>
      </c>
      <c r="C31" s="599">
        <v>28</v>
      </c>
      <c r="D31" s="599">
        <v>25</v>
      </c>
      <c r="E31" s="599">
        <v>29</v>
      </c>
      <c r="F31" s="599">
        <v>25</v>
      </c>
      <c r="G31" s="599">
        <v>41</v>
      </c>
      <c r="H31" s="599">
        <v>18</v>
      </c>
    </row>
    <row r="32" spans="1:8" ht="15" customHeight="1" x14ac:dyDescent="0.35">
      <c r="A32" s="655"/>
      <c r="B32" s="512" t="s">
        <v>958</v>
      </c>
      <c r="C32" s="599">
        <v>27.572017167381976</v>
      </c>
      <c r="D32" s="599">
        <v>25.290300429184548</v>
      </c>
      <c r="E32" s="599">
        <v>28.484927377363661</v>
      </c>
      <c r="F32" s="599">
        <v>26.058372156755276</v>
      </c>
      <c r="G32" s="599">
        <v>31.947697111631538</v>
      </c>
      <c r="H32" s="599">
        <v>18.123341139734581</v>
      </c>
    </row>
    <row r="33" spans="1:8" ht="15" customHeight="1" x14ac:dyDescent="0.35">
      <c r="A33" s="655"/>
      <c r="B33" s="512" t="s">
        <v>957</v>
      </c>
      <c r="C33" s="599">
        <v>29.433310445455326</v>
      </c>
      <c r="D33" s="599">
        <v>27.291648785511974</v>
      </c>
      <c r="E33" s="599">
        <v>27.060708417016613</v>
      </c>
      <c r="F33" s="599">
        <v>28</v>
      </c>
      <c r="G33" s="599">
        <v>30.736760925449872</v>
      </c>
      <c r="H33" s="599">
        <v>17.907712082262211</v>
      </c>
    </row>
    <row r="34" spans="1:8" ht="15" customHeight="1" x14ac:dyDescent="0.35">
      <c r="A34" s="655"/>
      <c r="B34" s="512" t="s">
        <v>956</v>
      </c>
      <c r="C34" s="599">
        <v>28.188951473136914</v>
      </c>
      <c r="D34" s="599">
        <v>24.427772963604852</v>
      </c>
      <c r="E34" s="599">
        <v>35</v>
      </c>
      <c r="F34" s="599">
        <v>30</v>
      </c>
      <c r="G34" s="599">
        <v>38</v>
      </c>
      <c r="H34" s="599">
        <v>15</v>
      </c>
    </row>
    <row r="35" spans="1:8" ht="15" customHeight="1" x14ac:dyDescent="0.35">
      <c r="A35" s="655">
        <v>5</v>
      </c>
      <c r="B35" s="964" t="s">
        <v>16</v>
      </c>
      <c r="C35" s="650"/>
      <c r="D35" s="650"/>
      <c r="E35" s="650"/>
      <c r="F35" s="650"/>
      <c r="G35" s="650"/>
      <c r="H35" s="651"/>
    </row>
    <row r="36" spans="1:8" ht="15" customHeight="1" x14ac:dyDescent="0.35">
      <c r="A36" s="655"/>
      <c r="B36" s="518" t="s">
        <v>960</v>
      </c>
      <c r="C36" s="598">
        <v>61.083713513752933</v>
      </c>
      <c r="D36" s="598">
        <v>57.381627319838771</v>
      </c>
      <c r="E36" s="598">
        <v>65.354500208399742</v>
      </c>
      <c r="F36" s="598">
        <v>61.264594110868657</v>
      </c>
      <c r="G36" s="598">
        <v>58.567837190742218</v>
      </c>
      <c r="H36" s="598">
        <v>25.284716679968081</v>
      </c>
    </row>
    <row r="37" spans="1:8" ht="15" customHeight="1" x14ac:dyDescent="0.35">
      <c r="A37" s="655"/>
      <c r="B37" s="512" t="s">
        <v>959</v>
      </c>
      <c r="C37" s="599">
        <v>64</v>
      </c>
      <c r="D37" s="599">
        <v>60</v>
      </c>
      <c r="E37" s="599">
        <v>68</v>
      </c>
      <c r="F37" s="599">
        <v>64</v>
      </c>
      <c r="G37" s="599">
        <v>61</v>
      </c>
      <c r="H37" s="599">
        <v>26</v>
      </c>
    </row>
    <row r="38" spans="1:8" ht="15" customHeight="1" x14ac:dyDescent="0.35">
      <c r="A38" s="655"/>
      <c r="B38" s="512" t="s">
        <v>958</v>
      </c>
      <c r="C38" s="599">
        <v>69.238714956971648</v>
      </c>
      <c r="D38" s="599">
        <v>64.653107016524999</v>
      </c>
      <c r="E38" s="599">
        <v>74.239333177896953</v>
      </c>
      <c r="F38" s="599">
        <v>69.176614595476806</v>
      </c>
      <c r="G38" s="599">
        <v>72.198550046772681</v>
      </c>
      <c r="H38" s="599">
        <v>31.573666978484564</v>
      </c>
    </row>
    <row r="39" spans="1:8" ht="15" customHeight="1" x14ac:dyDescent="0.35">
      <c r="A39" s="655"/>
      <c r="B39" s="512" t="s">
        <v>957</v>
      </c>
      <c r="C39" s="599">
        <v>65.828551512616755</v>
      </c>
      <c r="D39" s="599">
        <v>59.445643384915655</v>
      </c>
      <c r="E39" s="599">
        <v>70.044245885531808</v>
      </c>
      <c r="F39" s="599">
        <v>63</v>
      </c>
      <c r="G39" s="599">
        <v>90.301861343404369</v>
      </c>
      <c r="H39" s="599">
        <v>31.093336930132182</v>
      </c>
    </row>
    <row r="40" spans="1:8" ht="15" customHeight="1" x14ac:dyDescent="0.35">
      <c r="A40" s="655"/>
      <c r="B40" s="512" t="s">
        <v>956</v>
      </c>
      <c r="C40" s="599">
        <v>58.736763861202149</v>
      </c>
      <c r="D40" s="599">
        <v>54.179376288137313</v>
      </c>
      <c r="E40" s="599">
        <v>70</v>
      </c>
      <c r="F40" s="599">
        <v>65</v>
      </c>
      <c r="G40" s="599">
        <v>71</v>
      </c>
      <c r="H40" s="599">
        <v>27</v>
      </c>
    </row>
    <row r="41" spans="1:8" ht="15" customHeight="1" x14ac:dyDescent="0.35">
      <c r="A41" s="655">
        <v>6</v>
      </c>
      <c r="B41" s="964" t="s">
        <v>17</v>
      </c>
      <c r="C41" s="650"/>
      <c r="D41" s="650"/>
      <c r="E41" s="650"/>
      <c r="F41" s="650"/>
      <c r="G41" s="650"/>
      <c r="H41" s="651"/>
    </row>
    <row r="42" spans="1:8" ht="15" customHeight="1" x14ac:dyDescent="0.35">
      <c r="A42" s="655"/>
      <c r="B42" s="518" t="s">
        <v>960</v>
      </c>
      <c r="C42" s="598">
        <v>29.00664819944598</v>
      </c>
      <c r="D42" s="598">
        <v>20.5</v>
      </c>
      <c r="E42" s="598">
        <v>29.67603983596954</v>
      </c>
      <c r="F42" s="598">
        <v>20.681019332161689</v>
      </c>
      <c r="G42" s="598">
        <v>33.912596401028267</v>
      </c>
      <c r="H42" s="598">
        <v>14.176735218509</v>
      </c>
    </row>
    <row r="43" spans="1:8" ht="15" customHeight="1" x14ac:dyDescent="0.35">
      <c r="A43" s="655"/>
      <c r="B43" s="512" t="s">
        <v>959</v>
      </c>
      <c r="C43" s="599">
        <v>29</v>
      </c>
      <c r="D43" s="599">
        <v>20</v>
      </c>
      <c r="E43" s="599">
        <v>29</v>
      </c>
      <c r="F43" s="599">
        <v>20</v>
      </c>
      <c r="G43" s="599">
        <v>34</v>
      </c>
      <c r="H43" s="599">
        <v>13</v>
      </c>
    </row>
    <row r="44" spans="1:8" ht="15" customHeight="1" x14ac:dyDescent="0.35">
      <c r="A44" s="655"/>
      <c r="B44" s="512" t="s">
        <v>958</v>
      </c>
      <c r="C44" s="599">
        <v>29.879676985195154</v>
      </c>
      <c r="D44" s="599">
        <v>20.16742934051144</v>
      </c>
      <c r="E44" s="599">
        <v>30.581548129105968</v>
      </c>
      <c r="F44" s="599">
        <v>20.275635532704943</v>
      </c>
      <c r="G44" s="599">
        <v>36.13084112149533</v>
      </c>
      <c r="H44" s="599">
        <v>13.650467289719627</v>
      </c>
    </row>
    <row r="45" spans="1:8" ht="15" customHeight="1" x14ac:dyDescent="0.35">
      <c r="A45" s="655"/>
      <c r="B45" s="512" t="s">
        <v>957</v>
      </c>
      <c r="C45" s="599">
        <v>30.156975156975157</v>
      </c>
      <c r="D45" s="599">
        <v>20.26945126945127</v>
      </c>
      <c r="E45" s="599">
        <v>30.919756662804172</v>
      </c>
      <c r="F45" s="599">
        <v>20</v>
      </c>
      <c r="G45" s="599">
        <v>35.90336658354115</v>
      </c>
      <c r="H45" s="599">
        <v>13.32356608478803</v>
      </c>
    </row>
    <row r="46" spans="1:8" ht="15" customHeight="1" x14ac:dyDescent="0.35">
      <c r="A46" s="655"/>
      <c r="B46" s="512" t="s">
        <v>956</v>
      </c>
      <c r="C46" s="599">
        <v>28.338735387885229</v>
      </c>
      <c r="D46" s="599">
        <v>20.299681190223168</v>
      </c>
      <c r="E46" s="599">
        <v>54</v>
      </c>
      <c r="F46" s="599">
        <v>38</v>
      </c>
      <c r="G46" s="599">
        <v>32</v>
      </c>
      <c r="H46" s="599">
        <v>13</v>
      </c>
    </row>
    <row r="47" spans="1:8" ht="15" customHeight="1" x14ac:dyDescent="0.35">
      <c r="A47" s="655">
        <v>7</v>
      </c>
      <c r="B47" s="964" t="s">
        <v>18</v>
      </c>
      <c r="C47" s="650"/>
      <c r="D47" s="650"/>
      <c r="E47" s="650"/>
      <c r="F47" s="650"/>
      <c r="G47" s="650"/>
      <c r="H47" s="651"/>
    </row>
    <row r="48" spans="1:8" ht="15" customHeight="1" x14ac:dyDescent="0.35">
      <c r="A48" s="655"/>
      <c r="B48" s="518" t="s">
        <v>960</v>
      </c>
      <c r="C48" s="598">
        <v>23.9894611331205</v>
      </c>
      <c r="D48" s="598">
        <v>22.785299434593639</v>
      </c>
      <c r="E48" s="598">
        <v>24.248993288590601</v>
      </c>
      <c r="F48" s="598">
        <v>23.037228582708249</v>
      </c>
      <c r="G48" s="598">
        <v>30.88515330823023</v>
      </c>
      <c r="H48" s="598">
        <v>22.629639591178051</v>
      </c>
    </row>
    <row r="49" spans="1:8" ht="15" customHeight="1" x14ac:dyDescent="0.35">
      <c r="A49" s="655"/>
      <c r="B49" s="512" t="s">
        <v>959</v>
      </c>
      <c r="C49" s="599">
        <v>27</v>
      </c>
      <c r="D49" s="599">
        <v>26</v>
      </c>
      <c r="E49" s="599">
        <v>27</v>
      </c>
      <c r="F49" s="599">
        <v>26</v>
      </c>
      <c r="G49" s="599">
        <v>32</v>
      </c>
      <c r="H49" s="599">
        <v>21</v>
      </c>
    </row>
    <row r="50" spans="1:8" ht="15" customHeight="1" x14ac:dyDescent="0.35">
      <c r="A50" s="655"/>
      <c r="B50" s="512" t="s">
        <v>958</v>
      </c>
      <c r="C50" s="599">
        <v>27.626091400826269</v>
      </c>
      <c r="D50" s="599">
        <v>25.752842966054772</v>
      </c>
      <c r="E50" s="599">
        <v>28.116584852734924</v>
      </c>
      <c r="F50" s="599">
        <v>26.200999298737727</v>
      </c>
      <c r="G50" s="599">
        <v>33.798093292475315</v>
      </c>
      <c r="H50" s="599">
        <v>18.916922029281579</v>
      </c>
    </row>
    <row r="51" spans="1:8" ht="15" customHeight="1" x14ac:dyDescent="0.35">
      <c r="A51" s="655"/>
      <c r="B51" s="512" t="s">
        <v>957</v>
      </c>
      <c r="C51" s="599">
        <v>29.481793980959257</v>
      </c>
      <c r="D51" s="599">
        <v>25.791860307720075</v>
      </c>
      <c r="E51" s="599">
        <v>28.181210235452561</v>
      </c>
      <c r="F51" s="599">
        <v>26</v>
      </c>
      <c r="G51" s="599">
        <v>48.452878621195453</v>
      </c>
      <c r="H51" s="599">
        <v>18.463879721305464</v>
      </c>
    </row>
    <row r="52" spans="1:8" ht="15" customHeight="1" x14ac:dyDescent="0.35">
      <c r="A52" s="655"/>
      <c r="B52" s="512" t="s">
        <v>956</v>
      </c>
      <c r="C52" s="599">
        <v>26.372610748819429</v>
      </c>
      <c r="D52" s="599">
        <v>22.668540589161232</v>
      </c>
      <c r="E52" s="599">
        <v>30</v>
      </c>
      <c r="F52" s="599">
        <v>26</v>
      </c>
      <c r="G52" s="599">
        <v>49</v>
      </c>
      <c r="H52" s="599">
        <v>18</v>
      </c>
    </row>
    <row r="53" spans="1:8" ht="15" customHeight="1" x14ac:dyDescent="0.35">
      <c r="A53" s="655">
        <v>8</v>
      </c>
      <c r="B53" s="964" t="s">
        <v>19</v>
      </c>
      <c r="C53" s="650"/>
      <c r="D53" s="650"/>
      <c r="E53" s="650"/>
      <c r="F53" s="650"/>
      <c r="G53" s="650"/>
      <c r="H53" s="651"/>
    </row>
    <row r="54" spans="1:8" ht="15" customHeight="1" x14ac:dyDescent="0.35">
      <c r="A54" s="655"/>
      <c r="B54" s="518" t="s">
        <v>960</v>
      </c>
      <c r="C54" s="598">
        <v>48.838126102473638</v>
      </c>
      <c r="D54" s="598">
        <v>20.10887311810313</v>
      </c>
      <c r="E54" s="598">
        <v>50.98652537938252</v>
      </c>
      <c r="F54" s="598">
        <v>20.45783185068899</v>
      </c>
      <c r="G54" s="598">
        <v>108.2935949648278</v>
      </c>
      <c r="H54" s="598">
        <v>21.895470813279029</v>
      </c>
    </row>
    <row r="55" spans="1:8" ht="15" customHeight="1" x14ac:dyDescent="0.35">
      <c r="A55" s="655"/>
      <c r="B55" s="512" t="s">
        <v>959</v>
      </c>
      <c r="C55" s="599">
        <v>54</v>
      </c>
      <c r="D55" s="599">
        <v>26</v>
      </c>
      <c r="E55" s="599">
        <v>57</v>
      </c>
      <c r="F55" s="599">
        <v>27</v>
      </c>
      <c r="G55" s="599">
        <v>114</v>
      </c>
      <c r="H55" s="599">
        <v>24</v>
      </c>
    </row>
    <row r="56" spans="1:8" ht="15" customHeight="1" x14ac:dyDescent="0.35">
      <c r="A56" s="655"/>
      <c r="B56" s="512" t="s">
        <v>958</v>
      </c>
      <c r="C56" s="599">
        <v>49.85186486842683</v>
      </c>
      <c r="D56" s="599">
        <v>20.773008830119053</v>
      </c>
      <c r="E56" s="599">
        <v>52.69109127172571</v>
      </c>
      <c r="F56" s="599">
        <v>21.258714027922881</v>
      </c>
      <c r="G56" s="599">
        <v>120.585380378145</v>
      </c>
      <c r="H56" s="599">
        <v>22.043918415959507</v>
      </c>
    </row>
    <row r="57" spans="1:8" ht="15" customHeight="1" x14ac:dyDescent="0.35">
      <c r="A57" s="655"/>
      <c r="B57" s="512" t="s">
        <v>957</v>
      </c>
      <c r="C57" s="599">
        <v>50.123283947261115</v>
      </c>
      <c r="D57" s="599">
        <v>20.459245163336504</v>
      </c>
      <c r="E57" s="599">
        <v>52.852258792367685</v>
      </c>
      <c r="F57" s="599">
        <v>21</v>
      </c>
      <c r="G57" s="599">
        <v>122.76481481481481</v>
      </c>
      <c r="H57" s="599">
        <v>22.338888888888889</v>
      </c>
    </row>
    <row r="58" spans="1:8" ht="15" customHeight="1" x14ac:dyDescent="0.35">
      <c r="A58" s="655"/>
      <c r="B58" s="512" t="s">
        <v>956</v>
      </c>
      <c r="C58" s="599">
        <v>52.05661244370922</v>
      </c>
      <c r="D58" s="599">
        <v>20.74892013601691</v>
      </c>
      <c r="E58" s="599">
        <v>80</v>
      </c>
      <c r="F58" s="599">
        <v>30</v>
      </c>
      <c r="G58" s="599">
        <v>125</v>
      </c>
      <c r="H58" s="599">
        <v>21</v>
      </c>
    </row>
    <row r="59" spans="1:8" ht="15" customHeight="1" x14ac:dyDescent="0.35">
      <c r="A59" s="655">
        <v>9</v>
      </c>
      <c r="B59" s="964" t="s">
        <v>20</v>
      </c>
      <c r="C59" s="650"/>
      <c r="D59" s="650"/>
      <c r="E59" s="650"/>
      <c r="F59" s="650"/>
      <c r="G59" s="650"/>
      <c r="H59" s="651"/>
    </row>
    <row r="60" spans="1:8" ht="15" customHeight="1" x14ac:dyDescent="0.35">
      <c r="A60" s="655"/>
      <c r="B60" s="518" t="s">
        <v>960</v>
      </c>
      <c r="C60" s="598">
        <v>15.257554296506139</v>
      </c>
      <c r="D60" s="598">
        <v>13.9789896128423</v>
      </c>
      <c r="E60" s="598">
        <v>15.523848019401781</v>
      </c>
      <c r="F60" s="598">
        <v>14.151172190784161</v>
      </c>
      <c r="G60" s="598">
        <v>24.412724306688421</v>
      </c>
      <c r="H60" s="598">
        <v>16.10277324632953</v>
      </c>
    </row>
    <row r="61" spans="1:8" ht="15" customHeight="1" x14ac:dyDescent="0.35">
      <c r="A61" s="655"/>
      <c r="B61" s="512" t="s">
        <v>959</v>
      </c>
      <c r="C61" s="599">
        <v>16</v>
      </c>
      <c r="D61" s="599">
        <v>15</v>
      </c>
      <c r="E61" s="599">
        <v>16</v>
      </c>
      <c r="F61" s="599">
        <v>15</v>
      </c>
      <c r="G61" s="599">
        <v>28</v>
      </c>
      <c r="H61" s="599">
        <v>17</v>
      </c>
    </row>
    <row r="62" spans="1:8" ht="15" customHeight="1" x14ac:dyDescent="0.35">
      <c r="A62" s="655"/>
      <c r="B62" s="512" t="s">
        <v>958</v>
      </c>
      <c r="C62" s="599">
        <v>17.119863909971212</v>
      </c>
      <c r="D62" s="599">
        <v>15.660821774404607</v>
      </c>
      <c r="E62" s="599">
        <v>16.758208955223882</v>
      </c>
      <c r="F62" s="599">
        <v>15.094029850746269</v>
      </c>
      <c r="G62" s="599">
        <v>28.581632653061224</v>
      </c>
      <c r="H62" s="599">
        <v>17.204081632653061</v>
      </c>
    </row>
    <row r="63" spans="1:8" ht="15" customHeight="1" x14ac:dyDescent="0.35">
      <c r="A63" s="655"/>
      <c r="B63" s="512" t="s">
        <v>957</v>
      </c>
      <c r="C63" s="599">
        <v>16.948271014900197</v>
      </c>
      <c r="D63" s="599">
        <v>14.996907506325556</v>
      </c>
      <c r="E63" s="599">
        <v>17.062479661568499</v>
      </c>
      <c r="F63" s="599">
        <v>15</v>
      </c>
      <c r="G63" s="599">
        <v>35.812709030100336</v>
      </c>
      <c r="H63" s="599">
        <v>12.59866220735786</v>
      </c>
    </row>
    <row r="64" spans="1:8" ht="15" customHeight="1" x14ac:dyDescent="0.35">
      <c r="A64" s="655"/>
      <c r="B64" s="512" t="s">
        <v>956</v>
      </c>
      <c r="C64" s="599">
        <v>14.504534212695795</v>
      </c>
      <c r="D64" s="599">
        <v>13.153888430887607</v>
      </c>
      <c r="E64" s="599">
        <v>17</v>
      </c>
      <c r="F64" s="599">
        <v>15</v>
      </c>
      <c r="G64" s="599">
        <v>31</v>
      </c>
      <c r="H64" s="599">
        <v>12</v>
      </c>
    </row>
    <row r="65" spans="1:8" ht="15" customHeight="1" x14ac:dyDescent="0.35">
      <c r="A65" s="655">
        <v>10</v>
      </c>
      <c r="B65" s="964" t="s">
        <v>21</v>
      </c>
      <c r="C65" s="650"/>
      <c r="D65" s="650"/>
      <c r="E65" s="650"/>
      <c r="F65" s="650"/>
      <c r="G65" s="650"/>
      <c r="H65" s="651"/>
    </row>
    <row r="66" spans="1:8" ht="15" customHeight="1" x14ac:dyDescent="0.35">
      <c r="A66" s="655"/>
      <c r="B66" s="518" t="s">
        <v>960</v>
      </c>
      <c r="C66" s="598">
        <v>27.212572385807331</v>
      </c>
      <c r="D66" s="598">
        <v>25.833220211705921</v>
      </c>
      <c r="E66" s="598">
        <v>28.067713654036751</v>
      </c>
      <c r="F66" s="598">
        <v>26.628665091103151</v>
      </c>
      <c r="G66" s="598">
        <v>26.041284623877871</v>
      </c>
      <c r="H66" s="598">
        <v>21.510537180164182</v>
      </c>
    </row>
    <row r="67" spans="1:8" ht="15" customHeight="1" x14ac:dyDescent="0.35">
      <c r="A67" s="655"/>
      <c r="B67" s="512" t="s">
        <v>959</v>
      </c>
      <c r="C67" s="599">
        <v>28</v>
      </c>
      <c r="D67" s="599">
        <v>26</v>
      </c>
      <c r="E67" s="599">
        <v>28</v>
      </c>
      <c r="F67" s="599">
        <v>27</v>
      </c>
      <c r="G67" s="599">
        <v>27</v>
      </c>
      <c r="H67" s="599">
        <v>22</v>
      </c>
    </row>
    <row r="68" spans="1:8" ht="15" customHeight="1" x14ac:dyDescent="0.35">
      <c r="A68" s="655"/>
      <c r="B68" s="512" t="s">
        <v>958</v>
      </c>
      <c r="C68" s="599">
        <v>29.489726315082073</v>
      </c>
      <c r="D68" s="599">
        <v>27.992725256632113</v>
      </c>
      <c r="E68" s="599">
        <v>30.336762555710184</v>
      </c>
      <c r="F68" s="599">
        <v>28.778480455194039</v>
      </c>
      <c r="G68" s="599">
        <v>28.668801639659257</v>
      </c>
      <c r="H68" s="599">
        <v>23.003074361109331</v>
      </c>
    </row>
    <row r="69" spans="1:8" ht="15" customHeight="1" x14ac:dyDescent="0.35">
      <c r="A69" s="655"/>
      <c r="B69" s="512" t="s">
        <v>957</v>
      </c>
      <c r="C69" s="599">
        <v>27.277122349641118</v>
      </c>
      <c r="D69" s="599">
        <v>25.837422654896461</v>
      </c>
      <c r="E69" s="599">
        <v>27.649229074889867</v>
      </c>
      <c r="F69" s="599">
        <v>26</v>
      </c>
      <c r="G69" s="599">
        <v>26.530417520491802</v>
      </c>
      <c r="H69" s="599">
        <v>20.943007172131146</v>
      </c>
    </row>
    <row r="70" spans="1:8" ht="15" customHeight="1" x14ac:dyDescent="0.35">
      <c r="A70" s="655"/>
      <c r="B70" s="512" t="s">
        <v>956</v>
      </c>
      <c r="C70" s="599">
        <v>25.581903689474728</v>
      </c>
      <c r="D70" s="599">
        <v>24.536811949393918</v>
      </c>
      <c r="E70" s="599">
        <v>34</v>
      </c>
      <c r="F70" s="599">
        <v>32</v>
      </c>
      <c r="G70" s="599">
        <v>25</v>
      </c>
      <c r="H70" s="599">
        <v>20</v>
      </c>
    </row>
    <row r="71" spans="1:8" ht="15" customHeight="1" x14ac:dyDescent="0.35">
      <c r="A71" s="655">
        <v>11</v>
      </c>
      <c r="B71" s="964" t="s">
        <v>22</v>
      </c>
      <c r="C71" s="650"/>
      <c r="D71" s="650"/>
      <c r="E71" s="650"/>
      <c r="F71" s="650"/>
      <c r="G71" s="650"/>
      <c r="H71" s="651"/>
    </row>
    <row r="72" spans="1:8" ht="15" customHeight="1" x14ac:dyDescent="0.35">
      <c r="A72" s="655"/>
      <c r="B72" s="518" t="s">
        <v>960</v>
      </c>
      <c r="C72" s="598">
        <v>24.96806000712251</v>
      </c>
      <c r="D72" s="598">
        <v>21.97484864672365</v>
      </c>
      <c r="E72" s="598">
        <v>25.932364408034349</v>
      </c>
      <c r="F72" s="598">
        <v>22.61617233381039</v>
      </c>
      <c r="G72" s="598">
        <v>32.413439019996403</v>
      </c>
      <c r="H72" s="598">
        <v>20.308232750855701</v>
      </c>
    </row>
    <row r="73" spans="1:8" ht="15" customHeight="1" x14ac:dyDescent="0.35">
      <c r="A73" s="655"/>
      <c r="B73" s="512" t="s">
        <v>959</v>
      </c>
      <c r="C73" s="599">
        <v>26</v>
      </c>
      <c r="D73" s="599">
        <v>22</v>
      </c>
      <c r="E73" s="599">
        <v>27</v>
      </c>
      <c r="F73" s="599">
        <v>23</v>
      </c>
      <c r="G73" s="599">
        <v>33</v>
      </c>
      <c r="H73" s="599">
        <v>19</v>
      </c>
    </row>
    <row r="74" spans="1:8" ht="15" customHeight="1" x14ac:dyDescent="0.35">
      <c r="A74" s="655"/>
      <c r="B74" s="512" t="s">
        <v>958</v>
      </c>
      <c r="C74" s="599">
        <v>26.355249230769232</v>
      </c>
      <c r="D74" s="599">
        <v>22.375212307692308</v>
      </c>
      <c r="E74" s="599">
        <v>27.216790417863532</v>
      </c>
      <c r="F74" s="599">
        <v>22.835212183621483</v>
      </c>
      <c r="G74" s="599">
        <v>35.82497331910352</v>
      </c>
      <c r="H74" s="599">
        <v>18.568943436499467</v>
      </c>
    </row>
    <row r="75" spans="1:8" ht="15" customHeight="1" x14ac:dyDescent="0.35">
      <c r="A75" s="655"/>
      <c r="B75" s="512" t="s">
        <v>957</v>
      </c>
      <c r="C75" s="599">
        <v>26.216603831261462</v>
      </c>
      <c r="D75" s="599">
        <v>21.839514978601997</v>
      </c>
      <c r="E75" s="599">
        <v>27.178012840455921</v>
      </c>
      <c r="F75" s="599">
        <v>22</v>
      </c>
      <c r="G75" s="599">
        <v>38.538109219025252</v>
      </c>
      <c r="H75" s="599">
        <v>18.358778625954198</v>
      </c>
    </row>
    <row r="76" spans="1:8" ht="15" customHeight="1" x14ac:dyDescent="0.35">
      <c r="A76" s="655"/>
      <c r="B76" s="512" t="s">
        <v>956</v>
      </c>
      <c r="C76" s="599">
        <v>23.796003160765721</v>
      </c>
      <c r="D76" s="599">
        <v>20.184445973847211</v>
      </c>
      <c r="E76" s="599">
        <v>32</v>
      </c>
      <c r="F76" s="599">
        <v>27</v>
      </c>
      <c r="G76" s="599">
        <v>33</v>
      </c>
      <c r="H76" s="599">
        <v>16</v>
      </c>
    </row>
    <row r="77" spans="1:8" ht="15" customHeight="1" x14ac:dyDescent="0.35">
      <c r="A77" s="655">
        <v>12</v>
      </c>
      <c r="B77" s="964" t="s">
        <v>23</v>
      </c>
      <c r="C77" s="650"/>
      <c r="D77" s="650"/>
      <c r="E77" s="650"/>
      <c r="F77" s="650"/>
      <c r="G77" s="650"/>
      <c r="H77" s="651"/>
    </row>
    <row r="78" spans="1:8" ht="15" customHeight="1" x14ac:dyDescent="0.35">
      <c r="A78" s="655"/>
      <c r="B78" s="518" t="s">
        <v>960</v>
      </c>
      <c r="C78" s="598">
        <v>28.662818366087951</v>
      </c>
      <c r="D78" s="598">
        <v>23.19723274874416</v>
      </c>
      <c r="E78" s="598">
        <v>30.765048927547689</v>
      </c>
      <c r="F78" s="598">
        <v>24.6593851932391</v>
      </c>
      <c r="G78" s="598">
        <v>35.098027671474831</v>
      </c>
      <c r="H78" s="598">
        <v>16.91404180158964</v>
      </c>
    </row>
    <row r="79" spans="1:8" ht="15" customHeight="1" x14ac:dyDescent="0.35">
      <c r="A79" s="655"/>
      <c r="B79" s="512" t="s">
        <v>959</v>
      </c>
      <c r="C79" s="599">
        <v>29</v>
      </c>
      <c r="D79" s="599">
        <v>24</v>
      </c>
      <c r="E79" s="599">
        <v>32</v>
      </c>
      <c r="F79" s="599">
        <v>25</v>
      </c>
      <c r="G79" s="599">
        <v>35</v>
      </c>
      <c r="H79" s="599">
        <v>16</v>
      </c>
    </row>
    <row r="80" spans="1:8" ht="15" customHeight="1" x14ac:dyDescent="0.35">
      <c r="A80" s="655"/>
      <c r="B80" s="512" t="s">
        <v>958</v>
      </c>
      <c r="C80" s="599">
        <v>29.474504379898569</v>
      </c>
      <c r="D80" s="599">
        <v>24.126602120792992</v>
      </c>
      <c r="E80" s="599">
        <v>31.880253849354972</v>
      </c>
      <c r="F80" s="599">
        <v>25.846337910944651</v>
      </c>
      <c r="G80" s="599">
        <v>34.176413570274633</v>
      </c>
      <c r="H80" s="599">
        <v>15.437156704361874</v>
      </c>
    </row>
    <row r="81" spans="1:8" ht="15" customHeight="1" x14ac:dyDescent="0.35">
      <c r="A81" s="655"/>
      <c r="B81" s="512" t="s">
        <v>957</v>
      </c>
      <c r="C81" s="599">
        <v>26.933128720238095</v>
      </c>
      <c r="D81" s="599">
        <v>22.221354166666668</v>
      </c>
      <c r="E81" s="599">
        <v>28.659572237366323</v>
      </c>
      <c r="F81" s="599">
        <v>23</v>
      </c>
      <c r="G81" s="599">
        <v>33.081146408839778</v>
      </c>
      <c r="H81" s="599">
        <v>15.587707182320441</v>
      </c>
    </row>
    <row r="82" spans="1:8" ht="15" customHeight="1" x14ac:dyDescent="0.35">
      <c r="A82" s="655"/>
      <c r="B82" s="512" t="s">
        <v>956</v>
      </c>
      <c r="C82" s="599">
        <v>26.851683517298952</v>
      </c>
      <c r="D82" s="599">
        <v>22.57156107967721</v>
      </c>
      <c r="E82" s="599">
        <v>42</v>
      </c>
      <c r="F82" s="599">
        <v>35</v>
      </c>
      <c r="G82" s="599">
        <v>31</v>
      </c>
      <c r="H82" s="599">
        <v>15</v>
      </c>
    </row>
    <row r="83" spans="1:8" ht="15" customHeight="1" x14ac:dyDescent="0.35">
      <c r="A83" s="655">
        <v>13</v>
      </c>
      <c r="B83" s="964" t="s">
        <v>24</v>
      </c>
      <c r="C83" s="650"/>
      <c r="D83" s="650"/>
      <c r="E83" s="650"/>
      <c r="F83" s="650"/>
      <c r="G83" s="650"/>
      <c r="H83" s="651"/>
    </row>
    <row r="84" spans="1:8" ht="15" customHeight="1" x14ac:dyDescent="0.35">
      <c r="A84" s="655"/>
      <c r="B84" s="518" t="s">
        <v>960</v>
      </c>
      <c r="C84" s="598">
        <v>29.318575233022639</v>
      </c>
      <c r="D84" s="598">
        <v>20.627330226364851</v>
      </c>
      <c r="E84" s="598">
        <v>31.17579413705344</v>
      </c>
      <c r="F84" s="598">
        <v>21.3509284569705</v>
      </c>
      <c r="G84" s="598">
        <v>50.242301184433167</v>
      </c>
      <c r="H84" s="598">
        <v>14.96920473773266</v>
      </c>
    </row>
    <row r="85" spans="1:8" ht="15" customHeight="1" x14ac:dyDescent="0.35">
      <c r="A85" s="655"/>
      <c r="B85" s="512" t="s">
        <v>959</v>
      </c>
      <c r="C85" s="599">
        <v>34</v>
      </c>
      <c r="D85" s="599">
        <v>24</v>
      </c>
      <c r="E85" s="599">
        <v>36</v>
      </c>
      <c r="F85" s="599">
        <v>25</v>
      </c>
      <c r="G85" s="599">
        <v>57</v>
      </c>
      <c r="H85" s="599">
        <v>15</v>
      </c>
    </row>
    <row r="86" spans="1:8" ht="15" customHeight="1" x14ac:dyDescent="0.35">
      <c r="A86" s="655"/>
      <c r="B86" s="512" t="s">
        <v>958</v>
      </c>
      <c r="C86" s="599">
        <v>35.231061946902656</v>
      </c>
      <c r="D86" s="599">
        <v>24.149026548672566</v>
      </c>
      <c r="E86" s="599">
        <v>38.30996758508914</v>
      </c>
      <c r="F86" s="599">
        <v>25.629355753646678</v>
      </c>
      <c r="G86" s="599">
        <v>63.163476263399694</v>
      </c>
      <c r="H86" s="599">
        <v>15.237366003062787</v>
      </c>
    </row>
    <row r="87" spans="1:8" ht="15" customHeight="1" x14ac:dyDescent="0.35">
      <c r="A87" s="655"/>
      <c r="B87" s="512" t="s">
        <v>957</v>
      </c>
      <c r="C87" s="599">
        <v>34.491573033707866</v>
      </c>
      <c r="D87" s="599">
        <v>25.111218398876403</v>
      </c>
      <c r="E87" s="599">
        <v>37.578840284842322</v>
      </c>
      <c r="F87" s="599">
        <v>27</v>
      </c>
      <c r="G87" s="599">
        <v>65.453960595094486</v>
      </c>
      <c r="H87" s="599">
        <v>22.486127864897465</v>
      </c>
    </row>
    <row r="88" spans="1:8" ht="15" customHeight="1" x14ac:dyDescent="0.35">
      <c r="A88" s="655"/>
      <c r="B88" s="512" t="s">
        <v>956</v>
      </c>
      <c r="C88" s="599">
        <v>34.927656567441041</v>
      </c>
      <c r="D88" s="599">
        <v>24.528133557106262</v>
      </c>
      <c r="E88" s="599">
        <v>51</v>
      </c>
      <c r="F88" s="599">
        <v>35</v>
      </c>
      <c r="G88" s="599">
        <v>61</v>
      </c>
      <c r="H88" s="599">
        <v>14</v>
      </c>
    </row>
    <row r="89" spans="1:8" ht="15" customHeight="1" x14ac:dyDescent="0.35">
      <c r="A89" s="655">
        <v>14</v>
      </c>
      <c r="B89" s="964" t="s">
        <v>25</v>
      </c>
      <c r="C89" s="650"/>
      <c r="D89" s="650"/>
      <c r="E89" s="650"/>
      <c r="F89" s="650"/>
      <c r="G89" s="650"/>
      <c r="H89" s="651"/>
    </row>
    <row r="90" spans="1:8" ht="15" customHeight="1" x14ac:dyDescent="0.35">
      <c r="A90" s="655"/>
      <c r="B90" s="518" t="s">
        <v>960</v>
      </c>
      <c r="C90" s="598">
        <v>50.707095709570957</v>
      </c>
      <c r="D90" s="598">
        <v>48.105665566556652</v>
      </c>
      <c r="E90" s="598">
        <v>56.777941082497293</v>
      </c>
      <c r="F90" s="598">
        <v>53.785609304108888</v>
      </c>
      <c r="G90" s="598">
        <v>38.391974057559793</v>
      </c>
      <c r="H90" s="598">
        <v>28.90129712201054</v>
      </c>
    </row>
    <row r="91" spans="1:8" ht="15" customHeight="1" x14ac:dyDescent="0.35">
      <c r="A91" s="655"/>
      <c r="B91" s="512" t="s">
        <v>959</v>
      </c>
      <c r="C91" s="599">
        <v>53</v>
      </c>
      <c r="D91" s="599">
        <v>50</v>
      </c>
      <c r="E91" s="599">
        <v>58</v>
      </c>
      <c r="F91" s="599">
        <v>55</v>
      </c>
      <c r="G91" s="599">
        <v>44</v>
      </c>
      <c r="H91" s="599">
        <v>31</v>
      </c>
    </row>
    <row r="92" spans="1:8" ht="15" customHeight="1" x14ac:dyDescent="0.35">
      <c r="A92" s="655"/>
      <c r="B92" s="512" t="s">
        <v>958</v>
      </c>
      <c r="C92" s="599">
        <v>58.691722803975189</v>
      </c>
      <c r="D92" s="599">
        <v>54.809444407390117</v>
      </c>
      <c r="E92" s="599">
        <v>64.970018309429349</v>
      </c>
      <c r="F92" s="599">
        <v>60.529447665547757</v>
      </c>
      <c r="G92" s="599">
        <v>48.712283594394066</v>
      </c>
      <c r="H92" s="599">
        <v>32.716955207474584</v>
      </c>
    </row>
    <row r="93" spans="1:8" ht="15" customHeight="1" x14ac:dyDescent="0.35">
      <c r="A93" s="655"/>
      <c r="B93" s="512" t="s">
        <v>957</v>
      </c>
      <c r="C93" s="599">
        <v>54.443208675100792</v>
      </c>
      <c r="D93" s="599">
        <v>49.911372167384961</v>
      </c>
      <c r="E93" s="599">
        <v>60.68863728265265</v>
      </c>
      <c r="F93" s="599">
        <v>55</v>
      </c>
      <c r="G93" s="599">
        <v>47.32776617954071</v>
      </c>
      <c r="H93" s="599">
        <v>26.849985087980912</v>
      </c>
    </row>
    <row r="94" spans="1:8" ht="15" customHeight="1" x14ac:dyDescent="0.35">
      <c r="A94" s="655"/>
      <c r="B94" s="512" t="s">
        <v>956</v>
      </c>
      <c r="C94" s="599">
        <v>59.728229105786092</v>
      </c>
      <c r="D94" s="599">
        <v>54.290838690824081</v>
      </c>
      <c r="E94" s="599">
        <v>85</v>
      </c>
      <c r="F94" s="599">
        <v>77</v>
      </c>
      <c r="G94" s="599">
        <v>64</v>
      </c>
      <c r="H94" s="599">
        <v>37</v>
      </c>
    </row>
    <row r="95" spans="1:8" ht="15" customHeight="1" x14ac:dyDescent="0.35">
      <c r="A95" s="655">
        <v>15</v>
      </c>
      <c r="B95" s="964" t="s">
        <v>26</v>
      </c>
      <c r="C95" s="650"/>
      <c r="D95" s="650"/>
      <c r="E95" s="650"/>
      <c r="F95" s="650"/>
      <c r="G95" s="650"/>
      <c r="H95" s="651"/>
    </row>
    <row r="96" spans="1:8" ht="15" customHeight="1" x14ac:dyDescent="0.35">
      <c r="A96" s="655"/>
      <c r="B96" s="518" t="s">
        <v>960</v>
      </c>
      <c r="C96" s="598">
        <v>16.875206516309991</v>
      </c>
      <c r="D96" s="598">
        <v>16.114739821467449</v>
      </c>
      <c r="E96" s="598">
        <v>17.303694681282991</v>
      </c>
      <c r="F96" s="598">
        <v>16.467968795313499</v>
      </c>
      <c r="G96" s="598">
        <v>19.96229440942826</v>
      </c>
      <c r="H96" s="598">
        <v>15.663260358781191</v>
      </c>
    </row>
    <row r="97" spans="1:8" ht="15" customHeight="1" x14ac:dyDescent="0.35">
      <c r="A97" s="655"/>
      <c r="B97" s="512" t="s">
        <v>959</v>
      </c>
      <c r="C97" s="599">
        <v>17</v>
      </c>
      <c r="D97" s="599">
        <v>16</v>
      </c>
      <c r="E97" s="599">
        <v>17</v>
      </c>
      <c r="F97" s="599">
        <v>16</v>
      </c>
      <c r="G97" s="599">
        <v>21</v>
      </c>
      <c r="H97" s="599">
        <v>17</v>
      </c>
    </row>
    <row r="98" spans="1:8" ht="15" customHeight="1" x14ac:dyDescent="0.35">
      <c r="A98" s="655"/>
      <c r="B98" s="512" t="s">
        <v>958</v>
      </c>
      <c r="C98" s="599">
        <v>15.949251593209446</v>
      </c>
      <c r="D98" s="599">
        <v>15.381553580035344</v>
      </c>
      <c r="E98" s="599">
        <v>16.587803699983901</v>
      </c>
      <c r="F98" s="599">
        <v>15.946278932478744</v>
      </c>
      <c r="G98" s="599">
        <v>18.048126629763484</v>
      </c>
      <c r="H98" s="599">
        <v>14.220138158195709</v>
      </c>
    </row>
    <row r="99" spans="1:8" ht="15" customHeight="1" x14ac:dyDescent="0.35">
      <c r="A99" s="655"/>
      <c r="B99" s="512" t="s">
        <v>957</v>
      </c>
      <c r="C99" s="599">
        <v>16.077401461200452</v>
      </c>
      <c r="D99" s="599">
        <v>15.283504509430607</v>
      </c>
      <c r="E99" s="599">
        <v>15.792246954429238</v>
      </c>
      <c r="F99" s="599">
        <v>15</v>
      </c>
      <c r="G99" s="599">
        <v>18.821394870035171</v>
      </c>
      <c r="H99" s="599">
        <v>13.654027622887535</v>
      </c>
    </row>
    <row r="100" spans="1:8" ht="15" customHeight="1" x14ac:dyDescent="0.35">
      <c r="A100" s="655"/>
      <c r="B100" s="512" t="s">
        <v>956</v>
      </c>
      <c r="C100" s="599">
        <v>14.746387361156044</v>
      </c>
      <c r="D100" s="599">
        <v>14.167488946403537</v>
      </c>
      <c r="E100" s="599">
        <v>18</v>
      </c>
      <c r="F100" s="599">
        <v>18</v>
      </c>
      <c r="G100" s="599">
        <v>17</v>
      </c>
      <c r="H100" s="599">
        <v>13</v>
      </c>
    </row>
    <row r="101" spans="1:8" ht="15" customHeight="1" x14ac:dyDescent="0.35">
      <c r="A101" s="655">
        <v>16</v>
      </c>
      <c r="B101" s="964" t="s">
        <v>27</v>
      </c>
      <c r="C101" s="650"/>
      <c r="D101" s="650"/>
      <c r="E101" s="650"/>
      <c r="F101" s="650"/>
      <c r="G101" s="650"/>
      <c r="H101" s="651"/>
    </row>
    <row r="102" spans="1:8" ht="15" customHeight="1" x14ac:dyDescent="0.35">
      <c r="A102" s="655"/>
      <c r="B102" s="518" t="s">
        <v>960</v>
      </c>
      <c r="C102" s="598">
        <v>17.531798650384651</v>
      </c>
      <c r="D102" s="598">
        <v>14.16068396261241</v>
      </c>
      <c r="E102" s="598">
        <v>17.662939732751571</v>
      </c>
      <c r="F102" s="598">
        <v>14.004234909125911</v>
      </c>
      <c r="G102" s="598">
        <v>54.550353837778992</v>
      </c>
      <c r="H102" s="598">
        <v>13.164035565233171</v>
      </c>
    </row>
    <row r="103" spans="1:8" ht="15" customHeight="1" x14ac:dyDescent="0.35">
      <c r="A103" s="655"/>
      <c r="B103" s="512" t="s">
        <v>959</v>
      </c>
      <c r="C103" s="599">
        <v>17</v>
      </c>
      <c r="D103" s="599">
        <v>14</v>
      </c>
      <c r="E103" s="599">
        <v>18</v>
      </c>
      <c r="F103" s="599">
        <v>14</v>
      </c>
      <c r="G103" s="599">
        <v>50</v>
      </c>
      <c r="H103" s="599">
        <v>13</v>
      </c>
    </row>
    <row r="104" spans="1:8" ht="15" customHeight="1" x14ac:dyDescent="0.35">
      <c r="A104" s="655"/>
      <c r="B104" s="512" t="s">
        <v>958</v>
      </c>
      <c r="C104" s="599">
        <v>19.201481835564053</v>
      </c>
      <c r="D104" s="599">
        <v>14.910197578075207</v>
      </c>
      <c r="E104" s="599">
        <v>19.512257370047571</v>
      </c>
      <c r="F104" s="599">
        <v>14.838501336851975</v>
      </c>
      <c r="G104" s="599">
        <v>68.92987174182872</v>
      </c>
      <c r="H104" s="599">
        <v>13.241208109226314</v>
      </c>
    </row>
    <row r="105" spans="1:8" ht="15" customHeight="1" x14ac:dyDescent="0.35">
      <c r="A105" s="655"/>
      <c r="B105" s="512" t="s">
        <v>957</v>
      </c>
      <c r="C105" s="599">
        <v>22.34014407334643</v>
      </c>
      <c r="D105" s="599">
        <v>16.465897184020957</v>
      </c>
      <c r="E105" s="599">
        <v>21.676242581932886</v>
      </c>
      <c r="F105" s="599">
        <v>16</v>
      </c>
      <c r="G105" s="599">
        <v>93.597114781517874</v>
      </c>
      <c r="H105" s="599">
        <v>18.581643320091992</v>
      </c>
    </row>
    <row r="106" spans="1:8" ht="15" customHeight="1" x14ac:dyDescent="0.35">
      <c r="A106" s="655"/>
      <c r="B106" s="512" t="s">
        <v>956</v>
      </c>
      <c r="C106" s="599">
        <v>18.484242503005294</v>
      </c>
      <c r="D106" s="599">
        <v>14.319454823093668</v>
      </c>
      <c r="E106" s="599">
        <v>20</v>
      </c>
      <c r="F106" s="599">
        <v>16</v>
      </c>
      <c r="G106" s="599">
        <v>67</v>
      </c>
      <c r="H106" s="599">
        <v>12</v>
      </c>
    </row>
    <row r="107" spans="1:8" ht="15" customHeight="1" x14ac:dyDescent="0.35">
      <c r="A107" s="655">
        <v>17</v>
      </c>
      <c r="B107" s="964" t="s">
        <v>28</v>
      </c>
      <c r="C107" s="650"/>
      <c r="D107" s="650"/>
      <c r="E107" s="650"/>
      <c r="F107" s="650"/>
      <c r="G107" s="650"/>
      <c r="H107" s="651"/>
    </row>
    <row r="108" spans="1:8" ht="15" customHeight="1" x14ac:dyDescent="0.35">
      <c r="A108" s="655"/>
      <c r="B108" s="518" t="s">
        <v>960</v>
      </c>
      <c r="C108" s="598">
        <v>12.36079545454546</v>
      </c>
      <c r="D108" s="598">
        <v>12.36079545454546</v>
      </c>
      <c r="E108" s="598">
        <v>13.240157480314959</v>
      </c>
      <c r="F108" s="598">
        <v>13.240157480314959</v>
      </c>
      <c r="G108" s="598">
        <v>8.1914893617021285</v>
      </c>
      <c r="H108" s="598">
        <v>8.1914893617021285</v>
      </c>
    </row>
    <row r="109" spans="1:8" ht="15" customHeight="1" x14ac:dyDescent="0.35">
      <c r="A109" s="655"/>
      <c r="B109" s="512" t="s">
        <v>959</v>
      </c>
      <c r="C109" s="599">
        <v>15</v>
      </c>
      <c r="D109" s="599">
        <v>14</v>
      </c>
      <c r="E109" s="599">
        <v>17</v>
      </c>
      <c r="F109" s="599">
        <v>17</v>
      </c>
      <c r="G109" s="599">
        <v>9</v>
      </c>
      <c r="H109" s="599">
        <v>9</v>
      </c>
    </row>
    <row r="110" spans="1:8" ht="15" customHeight="1" x14ac:dyDescent="0.35">
      <c r="A110" s="655"/>
      <c r="B110" s="512" t="s">
        <v>958</v>
      </c>
      <c r="C110" s="599">
        <v>16.167883211678831</v>
      </c>
      <c r="D110" s="599">
        <v>15.558394160583942</v>
      </c>
      <c r="E110" s="599">
        <v>17.539534883720929</v>
      </c>
      <c r="F110" s="599">
        <v>17.539534883720929</v>
      </c>
      <c r="G110" s="599">
        <v>6.9696969696969697</v>
      </c>
      <c r="H110" s="599">
        <v>6.9696969696969697</v>
      </c>
    </row>
    <row r="111" spans="1:8" ht="15" customHeight="1" x14ac:dyDescent="0.35">
      <c r="A111" s="655"/>
      <c r="B111" s="512" t="s">
        <v>957</v>
      </c>
      <c r="C111" s="599">
        <v>17.448484848484849</v>
      </c>
      <c r="D111" s="599">
        <v>17.448484848484849</v>
      </c>
      <c r="E111" s="599">
        <v>21.658536585365855</v>
      </c>
      <c r="F111" s="599">
        <v>22</v>
      </c>
      <c r="G111" s="599">
        <v>7.7209302325581399</v>
      </c>
      <c r="H111" s="599">
        <v>7.7209302325581399</v>
      </c>
    </row>
    <row r="112" spans="1:8" ht="15" customHeight="1" x14ac:dyDescent="0.35">
      <c r="A112" s="655"/>
      <c r="B112" s="512" t="s">
        <v>956</v>
      </c>
      <c r="C112" s="599">
        <v>14.557788944723619</v>
      </c>
      <c r="D112" s="599">
        <v>14.557788944723619</v>
      </c>
      <c r="E112" s="599">
        <v>28</v>
      </c>
      <c r="F112" s="599">
        <v>28</v>
      </c>
      <c r="G112" s="599">
        <v>7</v>
      </c>
      <c r="H112" s="599">
        <v>7</v>
      </c>
    </row>
    <row r="113" spans="1:8" ht="15" customHeight="1" x14ac:dyDescent="0.35">
      <c r="A113" s="655">
        <v>18</v>
      </c>
      <c r="B113" s="964" t="s">
        <v>969</v>
      </c>
      <c r="C113" s="650"/>
      <c r="D113" s="650"/>
      <c r="E113" s="650"/>
      <c r="F113" s="650"/>
      <c r="G113" s="650"/>
      <c r="H113" s="651"/>
    </row>
    <row r="114" spans="1:8" ht="15" customHeight="1" x14ac:dyDescent="0.35">
      <c r="A114" s="655"/>
      <c r="B114" s="518" t="s">
        <v>960</v>
      </c>
      <c r="C114" s="598">
        <v>8.8358208955223887</v>
      </c>
      <c r="D114" s="598">
        <v>8.8358208955223887</v>
      </c>
      <c r="E114" s="598">
        <v>8.8358208955223887</v>
      </c>
      <c r="F114" s="598">
        <v>8.8358208955223887</v>
      </c>
      <c r="G114" s="598"/>
      <c r="H114" s="598"/>
    </row>
    <row r="115" spans="1:8" ht="15" customHeight="1" x14ac:dyDescent="0.35">
      <c r="A115" s="655"/>
      <c r="B115" s="512" t="s">
        <v>959</v>
      </c>
      <c r="C115" s="599">
        <v>9</v>
      </c>
      <c r="D115" s="599">
        <v>9</v>
      </c>
      <c r="E115" s="599">
        <v>9</v>
      </c>
      <c r="F115" s="599">
        <v>9</v>
      </c>
      <c r="G115" s="599"/>
      <c r="H115" s="599"/>
    </row>
    <row r="116" spans="1:8" ht="15" customHeight="1" x14ac:dyDescent="0.35">
      <c r="A116" s="655"/>
      <c r="B116" s="512" t="s">
        <v>958</v>
      </c>
      <c r="C116" s="599">
        <v>8.8000000000000007</v>
      </c>
      <c r="D116" s="599">
        <v>8.8000000000000007</v>
      </c>
      <c r="E116" s="599">
        <v>8.8000000000000007</v>
      </c>
      <c r="F116" s="599">
        <v>8.8000000000000007</v>
      </c>
      <c r="G116" s="599">
        <v>8.8000000000000007</v>
      </c>
      <c r="H116" s="599">
        <v>8.8000000000000007</v>
      </c>
    </row>
    <row r="117" spans="1:8" ht="15" customHeight="1" x14ac:dyDescent="0.35">
      <c r="A117" s="655"/>
      <c r="B117" s="512" t="s">
        <v>957</v>
      </c>
      <c r="C117" s="599">
        <v>12.88</v>
      </c>
      <c r="D117" s="599">
        <v>12.88</v>
      </c>
      <c r="E117" s="599">
        <v>12.88</v>
      </c>
      <c r="F117" s="599">
        <v>13</v>
      </c>
      <c r="G117" s="599">
        <v>12.88</v>
      </c>
      <c r="H117" s="599">
        <v>12.88</v>
      </c>
    </row>
    <row r="118" spans="1:8" ht="15" customHeight="1" x14ac:dyDescent="0.35">
      <c r="A118" s="655"/>
      <c r="B118" s="512" t="s">
        <v>956</v>
      </c>
      <c r="C118" s="599">
        <v>12.444444444444445</v>
      </c>
      <c r="D118" s="599">
        <v>12.444444444444445</v>
      </c>
      <c r="E118" s="599">
        <v>0</v>
      </c>
      <c r="F118" s="599">
        <v>0</v>
      </c>
      <c r="G118" s="599">
        <v>12</v>
      </c>
      <c r="H118" s="599">
        <v>12</v>
      </c>
    </row>
    <row r="119" spans="1:8" ht="15" customHeight="1" x14ac:dyDescent="0.35">
      <c r="A119" s="655">
        <v>19</v>
      </c>
      <c r="B119" s="964" t="s">
        <v>29</v>
      </c>
      <c r="C119" s="650"/>
      <c r="D119" s="650"/>
      <c r="E119" s="650"/>
      <c r="F119" s="650"/>
      <c r="G119" s="650"/>
      <c r="H119" s="651"/>
    </row>
    <row r="120" spans="1:8" ht="15" customHeight="1" x14ac:dyDescent="0.35">
      <c r="A120" s="655"/>
      <c r="B120" s="518" t="s">
        <v>960</v>
      </c>
      <c r="C120" s="598">
        <v>28.927504452359749</v>
      </c>
      <c r="D120" s="598">
        <v>27.03541852181656</v>
      </c>
      <c r="E120" s="598">
        <v>29.854730843498331</v>
      </c>
      <c r="F120" s="598">
        <v>27.878514576366971</v>
      </c>
      <c r="G120" s="598">
        <v>28.23082931909908</v>
      </c>
      <c r="H120" s="598">
        <v>20.94688191641713</v>
      </c>
    </row>
    <row r="121" spans="1:8" ht="15" customHeight="1" x14ac:dyDescent="0.35">
      <c r="A121" s="655"/>
      <c r="B121" s="512" t="s">
        <v>959</v>
      </c>
      <c r="C121" s="599">
        <v>30</v>
      </c>
      <c r="D121" s="599">
        <v>28</v>
      </c>
      <c r="E121" s="599">
        <v>31</v>
      </c>
      <c r="F121" s="599">
        <v>29</v>
      </c>
      <c r="G121" s="599">
        <v>28</v>
      </c>
      <c r="H121" s="599">
        <v>22</v>
      </c>
    </row>
    <row r="122" spans="1:8" ht="15" customHeight="1" x14ac:dyDescent="0.35">
      <c r="A122" s="655"/>
      <c r="B122" s="512" t="s">
        <v>958</v>
      </c>
      <c r="C122" s="599">
        <v>31.159455137985329</v>
      </c>
      <c r="D122" s="599">
        <v>29.830816926851298</v>
      </c>
      <c r="E122" s="599">
        <v>32.144253237112871</v>
      </c>
      <c r="F122" s="599">
        <v>30.744606963504214</v>
      </c>
      <c r="G122" s="599">
        <v>25.879726509893299</v>
      </c>
      <c r="H122" s="599">
        <v>20.263959390862944</v>
      </c>
    </row>
    <row r="123" spans="1:8" ht="15" customHeight="1" x14ac:dyDescent="0.35">
      <c r="A123" s="655"/>
      <c r="B123" s="512" t="s">
        <v>957</v>
      </c>
      <c r="C123" s="599">
        <v>32.8244080807033</v>
      </c>
      <c r="D123" s="599">
        <v>31.070239361012423</v>
      </c>
      <c r="E123" s="599">
        <v>32.426073653152663</v>
      </c>
      <c r="F123" s="599">
        <v>32</v>
      </c>
      <c r="G123" s="599">
        <v>35.417158445607392</v>
      </c>
      <c r="H123" s="599">
        <v>27.885424785658614</v>
      </c>
    </row>
    <row r="124" spans="1:8" ht="15" customHeight="1" x14ac:dyDescent="0.35">
      <c r="A124" s="655"/>
      <c r="B124" s="512" t="s">
        <v>956</v>
      </c>
      <c r="C124" s="599">
        <v>34.039777867906281</v>
      </c>
      <c r="D124" s="599">
        <v>31.601862540167847</v>
      </c>
      <c r="E124" s="599">
        <v>44</v>
      </c>
      <c r="F124" s="599">
        <v>41</v>
      </c>
      <c r="G124" s="599">
        <v>40</v>
      </c>
      <c r="H124" s="599">
        <v>28</v>
      </c>
    </row>
    <row r="125" spans="1:8" ht="15" customHeight="1" x14ac:dyDescent="0.35">
      <c r="A125" s="655">
        <v>20</v>
      </c>
      <c r="B125" s="964" t="s">
        <v>30</v>
      </c>
      <c r="C125" s="650"/>
      <c r="D125" s="650"/>
      <c r="E125" s="650"/>
      <c r="F125" s="650"/>
      <c r="G125" s="650"/>
      <c r="H125" s="651"/>
    </row>
    <row r="126" spans="1:8" ht="15" customHeight="1" x14ac:dyDescent="0.35">
      <c r="A126" s="655"/>
      <c r="B126" s="518" t="s">
        <v>960</v>
      </c>
      <c r="C126" s="598">
        <v>24.43680047193843</v>
      </c>
      <c r="D126" s="598">
        <v>21.355766497734159</v>
      </c>
      <c r="E126" s="598">
        <v>26.081526403829169</v>
      </c>
      <c r="F126" s="598">
        <v>22.51813403334231</v>
      </c>
      <c r="G126" s="598">
        <v>39.042626062556742</v>
      </c>
      <c r="H126" s="598">
        <v>15.572377651233801</v>
      </c>
    </row>
    <row r="127" spans="1:8" ht="15" customHeight="1" x14ac:dyDescent="0.35">
      <c r="A127" s="655"/>
      <c r="B127" s="512" t="s">
        <v>959</v>
      </c>
      <c r="C127" s="599">
        <v>26</v>
      </c>
      <c r="D127" s="599">
        <v>22</v>
      </c>
      <c r="E127" s="599">
        <v>28</v>
      </c>
      <c r="F127" s="599">
        <v>24</v>
      </c>
      <c r="G127" s="599">
        <v>43</v>
      </c>
      <c r="H127" s="599">
        <v>15</v>
      </c>
    </row>
    <row r="128" spans="1:8" ht="15" customHeight="1" x14ac:dyDescent="0.35">
      <c r="A128" s="655"/>
      <c r="B128" s="512" t="s">
        <v>958</v>
      </c>
      <c r="C128" s="599">
        <v>27.864394798103525</v>
      </c>
      <c r="D128" s="599">
        <v>23.631784221239045</v>
      </c>
      <c r="E128" s="599">
        <v>30.437117891336946</v>
      </c>
      <c r="F128" s="599">
        <v>25.441631099319412</v>
      </c>
      <c r="G128" s="599">
        <v>52.069317598768599</v>
      </c>
      <c r="H128" s="599">
        <v>16.51806054386865</v>
      </c>
    </row>
    <row r="129" spans="1:8" ht="15" customHeight="1" x14ac:dyDescent="0.35">
      <c r="A129" s="655"/>
      <c r="B129" s="512" t="s">
        <v>957</v>
      </c>
      <c r="C129" s="599">
        <v>27.397386167341846</v>
      </c>
      <c r="D129" s="599">
        <v>22.420500021515554</v>
      </c>
      <c r="E129" s="599">
        <v>30.07264944821361</v>
      </c>
      <c r="F129" s="599">
        <v>24</v>
      </c>
      <c r="G129" s="599">
        <v>57.198706488589757</v>
      </c>
      <c r="H129" s="599">
        <v>14.628246923966769</v>
      </c>
    </row>
    <row r="130" spans="1:8" ht="15" customHeight="1" x14ac:dyDescent="0.35">
      <c r="A130" s="655"/>
      <c r="B130" s="512" t="s">
        <v>956</v>
      </c>
      <c r="C130" s="599">
        <v>26.147365323786872</v>
      </c>
      <c r="D130" s="599">
        <v>22.066001765441484</v>
      </c>
      <c r="E130" s="599">
        <v>33</v>
      </c>
      <c r="F130" s="599">
        <v>27</v>
      </c>
      <c r="G130" s="599">
        <v>62</v>
      </c>
      <c r="H130" s="599">
        <v>19</v>
      </c>
    </row>
    <row r="131" spans="1:8" ht="15" customHeight="1" x14ac:dyDescent="0.35">
      <c r="A131" s="655">
        <v>21</v>
      </c>
      <c r="B131" s="964" t="s">
        <v>31</v>
      </c>
      <c r="C131" s="650"/>
      <c r="D131" s="650"/>
      <c r="E131" s="650"/>
      <c r="F131" s="650"/>
      <c r="G131" s="650"/>
      <c r="H131" s="651"/>
    </row>
    <row r="132" spans="1:8" ht="15" customHeight="1" x14ac:dyDescent="0.35">
      <c r="A132" s="655"/>
      <c r="B132" s="518" t="s">
        <v>960</v>
      </c>
      <c r="C132" s="598">
        <v>16.406720233747262</v>
      </c>
      <c r="D132" s="598">
        <v>15.73732651570489</v>
      </c>
      <c r="E132" s="598">
        <v>16.71294587945879</v>
      </c>
      <c r="F132" s="598">
        <v>16.010455104551049</v>
      </c>
      <c r="G132" s="598">
        <v>19.762859633827379</v>
      </c>
      <c r="H132" s="598">
        <v>15.7794245858762</v>
      </c>
    </row>
    <row r="133" spans="1:8" ht="15" customHeight="1" x14ac:dyDescent="0.35">
      <c r="A133" s="655"/>
      <c r="B133" s="512" t="s">
        <v>959</v>
      </c>
      <c r="C133" s="599">
        <v>18</v>
      </c>
      <c r="D133" s="599">
        <v>17</v>
      </c>
      <c r="E133" s="599">
        <v>18</v>
      </c>
      <c r="F133" s="599">
        <v>17</v>
      </c>
      <c r="G133" s="599">
        <v>19</v>
      </c>
      <c r="H133" s="599">
        <v>14</v>
      </c>
    </row>
    <row r="134" spans="1:8" ht="15" customHeight="1" x14ac:dyDescent="0.35">
      <c r="A134" s="655"/>
      <c r="B134" s="512" t="s">
        <v>958</v>
      </c>
      <c r="C134" s="599">
        <v>20.337840012876228</v>
      </c>
      <c r="D134" s="599">
        <v>19.478190890069211</v>
      </c>
      <c r="E134" s="599">
        <v>20.766127659574469</v>
      </c>
      <c r="F134" s="599">
        <v>19.868936170212766</v>
      </c>
      <c r="G134" s="599">
        <v>19.658888888888889</v>
      </c>
      <c r="H134" s="599">
        <v>13.802222222222222</v>
      </c>
    </row>
    <row r="135" spans="1:8" ht="15" customHeight="1" x14ac:dyDescent="0.35">
      <c r="A135" s="655"/>
      <c r="B135" s="512" t="s">
        <v>957</v>
      </c>
      <c r="C135" s="599">
        <v>22.996734834163945</v>
      </c>
      <c r="D135" s="599">
        <v>22.105172710087643</v>
      </c>
      <c r="E135" s="599">
        <v>23.673913043478262</v>
      </c>
      <c r="F135" s="599">
        <v>23</v>
      </c>
      <c r="G135" s="599">
        <v>18.243273542600896</v>
      </c>
      <c r="H135" s="599">
        <v>12.42713004484305</v>
      </c>
    </row>
    <row r="136" spans="1:8" ht="15" customHeight="1" x14ac:dyDescent="0.35">
      <c r="A136" s="655"/>
      <c r="B136" s="512" t="s">
        <v>956</v>
      </c>
      <c r="C136" s="599">
        <v>22.668001456133965</v>
      </c>
      <c r="D136" s="599">
        <v>21.585729887149618</v>
      </c>
      <c r="E136" s="599">
        <v>28</v>
      </c>
      <c r="F136" s="599">
        <v>26</v>
      </c>
      <c r="G136" s="599">
        <v>19</v>
      </c>
      <c r="H136" s="599">
        <v>12</v>
      </c>
    </row>
    <row r="137" spans="1:8" ht="15" customHeight="1" x14ac:dyDescent="0.35">
      <c r="A137" s="655">
        <v>22</v>
      </c>
      <c r="B137" s="964" t="s">
        <v>32</v>
      </c>
      <c r="C137" s="650"/>
      <c r="D137" s="650"/>
      <c r="E137" s="650"/>
      <c r="F137" s="650"/>
      <c r="G137" s="650"/>
      <c r="H137" s="651"/>
    </row>
    <row r="138" spans="1:8" ht="15" customHeight="1" x14ac:dyDescent="0.35">
      <c r="A138" s="655"/>
      <c r="B138" s="518" t="s">
        <v>960</v>
      </c>
      <c r="C138" s="598">
        <v>25.451459767386659</v>
      </c>
      <c r="D138" s="598">
        <v>23.6589128886779</v>
      </c>
      <c r="E138" s="598">
        <v>26.8886866059818</v>
      </c>
      <c r="F138" s="598">
        <v>24.92457737321196</v>
      </c>
      <c r="G138" s="598">
        <v>28.99388379204893</v>
      </c>
      <c r="H138" s="598">
        <v>21.29561671763507</v>
      </c>
    </row>
    <row r="139" spans="1:8" ht="15" customHeight="1" x14ac:dyDescent="0.35">
      <c r="A139" s="655"/>
      <c r="B139" s="512" t="s">
        <v>959</v>
      </c>
      <c r="C139" s="599">
        <v>25</v>
      </c>
      <c r="D139" s="599">
        <v>23</v>
      </c>
      <c r="E139" s="599">
        <v>26</v>
      </c>
      <c r="F139" s="599">
        <v>24</v>
      </c>
      <c r="G139" s="599">
        <v>30</v>
      </c>
      <c r="H139" s="599">
        <v>21</v>
      </c>
    </row>
    <row r="140" spans="1:8" ht="15" customHeight="1" x14ac:dyDescent="0.35">
      <c r="A140" s="655"/>
      <c r="B140" s="512" t="s">
        <v>958</v>
      </c>
      <c r="C140" s="599">
        <v>24.125065963060685</v>
      </c>
      <c r="D140" s="599">
        <v>22.278891820580476</v>
      </c>
      <c r="E140" s="599">
        <v>25.464420563462095</v>
      </c>
      <c r="F140" s="599">
        <v>23.432181237293058</v>
      </c>
      <c r="G140" s="599">
        <v>27.038961038961038</v>
      </c>
      <c r="H140" s="599">
        <v>19.466450216450216</v>
      </c>
    </row>
    <row r="141" spans="1:8" ht="15" customHeight="1" x14ac:dyDescent="0.35">
      <c r="A141" s="655"/>
      <c r="B141" s="512" t="s">
        <v>957</v>
      </c>
      <c r="C141" s="599">
        <v>27.016611295681063</v>
      </c>
      <c r="D141" s="599">
        <v>25.463178294573645</v>
      </c>
      <c r="E141" s="599">
        <v>25.033333333333335</v>
      </c>
      <c r="F141" s="599">
        <v>27</v>
      </c>
      <c r="G141" s="599">
        <v>24.502380952380953</v>
      </c>
      <c r="H141" s="599">
        <v>17.822619047619046</v>
      </c>
    </row>
    <row r="142" spans="1:8" ht="15" customHeight="1" x14ac:dyDescent="0.35">
      <c r="A142" s="655"/>
      <c r="B142" s="512" t="s">
        <v>956</v>
      </c>
      <c r="C142" s="599">
        <v>24.155905077262695</v>
      </c>
      <c r="D142" s="599">
        <v>22.227649006622517</v>
      </c>
      <c r="E142" s="599">
        <v>37</v>
      </c>
      <c r="F142" s="599">
        <v>34</v>
      </c>
      <c r="G142" s="599">
        <v>20</v>
      </c>
      <c r="H142" s="599">
        <v>14</v>
      </c>
    </row>
    <row r="143" spans="1:8" ht="15" customHeight="1" x14ac:dyDescent="0.35">
      <c r="A143" s="655">
        <v>23</v>
      </c>
      <c r="B143" s="964" t="s">
        <v>33</v>
      </c>
      <c r="C143" s="650"/>
      <c r="D143" s="650"/>
      <c r="E143" s="650"/>
      <c r="F143" s="650"/>
      <c r="G143" s="650"/>
      <c r="H143" s="651"/>
    </row>
    <row r="144" spans="1:8" ht="15" customHeight="1" x14ac:dyDescent="0.35">
      <c r="A144" s="655"/>
      <c r="B144" s="518" t="s">
        <v>960</v>
      </c>
      <c r="C144" s="598">
        <v>19.80663465735487</v>
      </c>
      <c r="D144" s="598">
        <v>16.90353557398516</v>
      </c>
      <c r="E144" s="598">
        <v>19.111774281063479</v>
      </c>
      <c r="F144" s="598">
        <v>15.806294085729791</v>
      </c>
      <c r="G144" s="598">
        <v>33.737160120845921</v>
      </c>
      <c r="H144" s="598">
        <v>15.33232628398792</v>
      </c>
    </row>
    <row r="145" spans="1:8" ht="15" customHeight="1" x14ac:dyDescent="0.35">
      <c r="A145" s="655"/>
      <c r="B145" s="512" t="s">
        <v>959</v>
      </c>
      <c r="C145" s="599">
        <v>21</v>
      </c>
      <c r="D145" s="599">
        <v>18</v>
      </c>
      <c r="E145" s="599">
        <v>21</v>
      </c>
      <c r="F145" s="599">
        <v>17</v>
      </c>
      <c r="G145" s="599">
        <v>37</v>
      </c>
      <c r="H145" s="599">
        <v>15</v>
      </c>
    </row>
    <row r="146" spans="1:8" ht="15" customHeight="1" x14ac:dyDescent="0.35">
      <c r="A146" s="655"/>
      <c r="B146" s="512" t="s">
        <v>958</v>
      </c>
      <c r="C146" s="599">
        <v>21.278889899909007</v>
      </c>
      <c r="D146" s="599">
        <v>17.505914467697906</v>
      </c>
      <c r="E146" s="599">
        <v>21.761177753544168</v>
      </c>
      <c r="F146" s="599">
        <v>17.239367502726282</v>
      </c>
      <c r="G146" s="599">
        <v>41.784126984126985</v>
      </c>
      <c r="H146" s="599">
        <v>15.457142857142857</v>
      </c>
    </row>
    <row r="147" spans="1:8" ht="15" customHeight="1" x14ac:dyDescent="0.35">
      <c r="A147" s="655"/>
      <c r="B147" s="512" t="s">
        <v>957</v>
      </c>
      <c r="C147" s="599">
        <v>19.040826364977864</v>
      </c>
      <c r="D147" s="599">
        <v>15.88047220855878</v>
      </c>
      <c r="E147" s="599">
        <v>20.312255176273084</v>
      </c>
      <c r="F147" s="599">
        <v>17</v>
      </c>
      <c r="G147" s="599">
        <v>36.072607260726073</v>
      </c>
      <c r="H147" s="599">
        <v>14.867986798679867</v>
      </c>
    </row>
    <row r="148" spans="1:8" ht="15" customHeight="1" x14ac:dyDescent="0.35">
      <c r="A148" s="655"/>
      <c r="B148" s="512" t="s">
        <v>956</v>
      </c>
      <c r="C148" s="599">
        <v>17.247535028541776</v>
      </c>
      <c r="D148" s="599">
        <v>13.503892060197197</v>
      </c>
      <c r="E148" s="599">
        <v>22</v>
      </c>
      <c r="F148" s="599">
        <v>17</v>
      </c>
      <c r="G148" s="599">
        <v>38</v>
      </c>
      <c r="H148" s="599">
        <v>14</v>
      </c>
    </row>
    <row r="149" spans="1:8" ht="15" customHeight="1" x14ac:dyDescent="0.35">
      <c r="A149" s="655">
        <v>24</v>
      </c>
      <c r="B149" s="964" t="s">
        <v>34</v>
      </c>
      <c r="C149" s="650"/>
      <c r="D149" s="650"/>
      <c r="E149" s="650"/>
      <c r="F149" s="650"/>
      <c r="G149" s="650"/>
      <c r="H149" s="651"/>
    </row>
    <row r="150" spans="1:8" ht="15" customHeight="1" x14ac:dyDescent="0.35">
      <c r="A150" s="655"/>
      <c r="B150" s="518" t="s">
        <v>960</v>
      </c>
      <c r="C150" s="598">
        <v>17.07137883008356</v>
      </c>
      <c r="D150" s="598">
        <v>15.742688022284121</v>
      </c>
      <c r="E150" s="598">
        <v>18.4327946393378</v>
      </c>
      <c r="F150" s="598">
        <v>17.01103665746945</v>
      </c>
      <c r="G150" s="598">
        <v>22.3377358490566</v>
      </c>
      <c r="H150" s="598">
        <v>15.532075471698111</v>
      </c>
    </row>
    <row r="151" spans="1:8" ht="15" customHeight="1" x14ac:dyDescent="0.35">
      <c r="A151" s="655"/>
      <c r="B151" s="512" t="s">
        <v>959</v>
      </c>
      <c r="C151" s="599">
        <v>19</v>
      </c>
      <c r="D151" s="599">
        <v>17</v>
      </c>
      <c r="E151" s="599">
        <v>21</v>
      </c>
      <c r="F151" s="599">
        <v>19</v>
      </c>
      <c r="G151" s="599">
        <v>25</v>
      </c>
      <c r="H151" s="599">
        <v>16</v>
      </c>
    </row>
    <row r="152" spans="1:8" ht="15" customHeight="1" x14ac:dyDescent="0.35">
      <c r="A152" s="655"/>
      <c r="B152" s="512" t="s">
        <v>958</v>
      </c>
      <c r="C152" s="599">
        <v>20.310467882632832</v>
      </c>
      <c r="D152" s="599">
        <v>18.533703409992071</v>
      </c>
      <c r="E152" s="599">
        <v>22.100806451612904</v>
      </c>
      <c r="F152" s="599">
        <v>20.093189964157705</v>
      </c>
      <c r="G152" s="599">
        <v>28.004282655246254</v>
      </c>
      <c r="H152" s="599">
        <v>18.408993576017131</v>
      </c>
    </row>
    <row r="153" spans="1:8" ht="15" customHeight="1" x14ac:dyDescent="0.35">
      <c r="A153" s="655"/>
      <c r="B153" s="512" t="s">
        <v>957</v>
      </c>
      <c r="C153" s="599">
        <v>19.298808055898068</v>
      </c>
      <c r="D153" s="599">
        <v>17.941224825318535</v>
      </c>
      <c r="E153" s="599">
        <v>20.903988868274581</v>
      </c>
      <c r="F153" s="599">
        <v>19</v>
      </c>
      <c r="G153" s="599">
        <v>28.997536945812808</v>
      </c>
      <c r="H153" s="599">
        <v>20.862068965517242</v>
      </c>
    </row>
    <row r="154" spans="1:8" ht="15" customHeight="1" x14ac:dyDescent="0.35">
      <c r="A154" s="655"/>
      <c r="B154" s="512" t="s">
        <v>956</v>
      </c>
      <c r="C154" s="599">
        <v>18.406030565881867</v>
      </c>
      <c r="D154" s="599">
        <v>17.06030565881867</v>
      </c>
      <c r="E154" s="599">
        <v>24</v>
      </c>
      <c r="F154" s="599">
        <v>22</v>
      </c>
      <c r="G154" s="599">
        <v>22</v>
      </c>
      <c r="H154" s="599">
        <v>15</v>
      </c>
    </row>
    <row r="155" spans="1:8" ht="15" customHeight="1" x14ac:dyDescent="0.35">
      <c r="A155" s="655">
        <v>25</v>
      </c>
      <c r="B155" s="964" t="s">
        <v>35</v>
      </c>
      <c r="C155" s="650"/>
      <c r="D155" s="650"/>
      <c r="E155" s="650"/>
      <c r="F155" s="650"/>
      <c r="G155" s="650"/>
      <c r="H155" s="651"/>
    </row>
    <row r="156" spans="1:8" ht="15" customHeight="1" x14ac:dyDescent="0.35">
      <c r="A156" s="655"/>
      <c r="B156" s="518" t="s">
        <v>960</v>
      </c>
      <c r="C156" s="598">
        <v>24.024493020805899</v>
      </c>
      <c r="D156" s="598">
        <v>22.750450760722028</v>
      </c>
      <c r="E156" s="598">
        <v>25.681884348960949</v>
      </c>
      <c r="F156" s="598">
        <v>24.11007930930629</v>
      </c>
      <c r="G156" s="598">
        <v>27.396784486990668</v>
      </c>
      <c r="H156" s="598">
        <v>19.710603829160529</v>
      </c>
    </row>
    <row r="157" spans="1:8" ht="15" customHeight="1" x14ac:dyDescent="0.35">
      <c r="A157" s="655"/>
      <c r="B157" s="512" t="s">
        <v>959</v>
      </c>
      <c r="C157" s="599">
        <v>23</v>
      </c>
      <c r="D157" s="599">
        <v>26</v>
      </c>
      <c r="E157" s="599">
        <v>24</v>
      </c>
      <c r="F157" s="599">
        <v>25</v>
      </c>
      <c r="G157" s="599">
        <v>19</v>
      </c>
      <c r="H157" s="599"/>
    </row>
    <row r="158" spans="1:8" ht="15" customHeight="1" x14ac:dyDescent="0.35">
      <c r="A158" s="655"/>
      <c r="B158" s="512" t="s">
        <v>958</v>
      </c>
      <c r="C158" s="599">
        <v>24.696525078766413</v>
      </c>
      <c r="D158" s="599">
        <v>23.032449463008533</v>
      </c>
      <c r="E158" s="599">
        <v>26.839581893572909</v>
      </c>
      <c r="F158" s="599">
        <v>24.75598940336328</v>
      </c>
      <c r="G158" s="599">
        <v>29.104518905625575</v>
      </c>
      <c r="H158" s="599">
        <v>17.982631417153396</v>
      </c>
    </row>
    <row r="159" spans="1:8" ht="15" customHeight="1" x14ac:dyDescent="0.35">
      <c r="A159" s="655"/>
      <c r="B159" s="512" t="s">
        <v>957</v>
      </c>
      <c r="C159" s="599">
        <v>23.992137802873277</v>
      </c>
      <c r="D159" s="599">
        <v>22.381840707121246</v>
      </c>
      <c r="E159" s="599">
        <v>26.046785895560266</v>
      </c>
      <c r="F159" s="599">
        <v>24</v>
      </c>
      <c r="G159" s="599">
        <v>28.894938527862045</v>
      </c>
      <c r="H159" s="599">
        <v>18.103145457448505</v>
      </c>
    </row>
    <row r="160" spans="1:8" ht="15" customHeight="1" x14ac:dyDescent="0.35">
      <c r="A160" s="655"/>
      <c r="B160" s="512" t="s">
        <v>956</v>
      </c>
      <c r="C160" s="599">
        <v>24.838451168364291</v>
      </c>
      <c r="D160" s="599">
        <v>23.329763331336128</v>
      </c>
      <c r="E160" s="599">
        <v>33</v>
      </c>
      <c r="F160" s="599">
        <v>30</v>
      </c>
      <c r="G160" s="599">
        <v>28</v>
      </c>
      <c r="H160" s="599">
        <v>18</v>
      </c>
    </row>
    <row r="161" spans="1:8" ht="15" customHeight="1" x14ac:dyDescent="0.35">
      <c r="A161" s="655">
        <v>26</v>
      </c>
      <c r="B161" s="964" t="s">
        <v>36</v>
      </c>
      <c r="C161" s="650"/>
      <c r="D161" s="650"/>
      <c r="E161" s="650"/>
      <c r="F161" s="650"/>
      <c r="G161" s="650"/>
      <c r="H161" s="651"/>
    </row>
    <row r="162" spans="1:8" ht="15" customHeight="1" x14ac:dyDescent="0.35">
      <c r="A162" s="655"/>
      <c r="B162" s="518" t="s">
        <v>960</v>
      </c>
      <c r="C162" s="598">
        <v>13.157409653165169</v>
      </c>
      <c r="D162" s="598">
        <v>9.9577977201067185</v>
      </c>
      <c r="E162" s="598">
        <v>13.203158290512601</v>
      </c>
      <c r="F162" s="598">
        <v>9.8964782554204795</v>
      </c>
      <c r="G162" s="598">
        <v>16.030541276081038</v>
      </c>
      <c r="H162" s="598">
        <v>8.0523132748714854</v>
      </c>
    </row>
    <row r="163" spans="1:8" ht="15" customHeight="1" x14ac:dyDescent="0.35">
      <c r="A163" s="655"/>
      <c r="B163" s="512" t="s">
        <v>959</v>
      </c>
      <c r="C163" s="599">
        <v>13</v>
      </c>
      <c r="D163" s="599">
        <v>10</v>
      </c>
      <c r="E163" s="599">
        <v>13</v>
      </c>
      <c r="F163" s="599">
        <v>10</v>
      </c>
      <c r="G163" s="599">
        <v>15</v>
      </c>
      <c r="H163" s="599">
        <v>8</v>
      </c>
    </row>
    <row r="164" spans="1:8" ht="15" customHeight="1" x14ac:dyDescent="0.35">
      <c r="A164" s="655"/>
      <c r="B164" s="512" t="s">
        <v>958</v>
      </c>
      <c r="C164" s="599">
        <v>13.233884422872745</v>
      </c>
      <c r="D164" s="599">
        <v>11.090247231912635</v>
      </c>
      <c r="E164" s="599">
        <v>13.355848696757787</v>
      </c>
      <c r="F164" s="599">
        <v>11.109663064208519</v>
      </c>
      <c r="G164" s="599">
        <v>14.727148703956344</v>
      </c>
      <c r="H164" s="599">
        <v>8.3001364256480219</v>
      </c>
    </row>
    <row r="165" spans="1:8" ht="15" customHeight="1" x14ac:dyDescent="0.35">
      <c r="A165" s="655"/>
      <c r="B165" s="512" t="s">
        <v>957</v>
      </c>
      <c r="C165" s="599">
        <v>13.707826348204897</v>
      </c>
      <c r="D165" s="599">
        <v>11.550247859396125</v>
      </c>
      <c r="E165" s="599">
        <v>12.855784469096672</v>
      </c>
      <c r="F165" s="599">
        <v>12</v>
      </c>
      <c r="G165" s="599">
        <v>14.635691169671752</v>
      </c>
      <c r="H165" s="599">
        <v>7.9953767914932961</v>
      </c>
    </row>
    <row r="166" spans="1:8" ht="15" customHeight="1" x14ac:dyDescent="0.35">
      <c r="A166" s="655"/>
      <c r="B166" s="512" t="s">
        <v>956</v>
      </c>
      <c r="C166" s="599">
        <v>12.576361638675246</v>
      </c>
      <c r="D166" s="599">
        <v>10.433526918851044</v>
      </c>
      <c r="E166" s="599">
        <v>19</v>
      </c>
      <c r="F166" s="599">
        <v>16</v>
      </c>
      <c r="G166" s="599">
        <v>15</v>
      </c>
      <c r="H166" s="599">
        <v>8</v>
      </c>
    </row>
    <row r="167" spans="1:8" ht="15.75" customHeight="1" x14ac:dyDescent="0.35">
      <c r="A167" s="655">
        <v>27</v>
      </c>
      <c r="B167" s="964" t="s">
        <v>37</v>
      </c>
      <c r="C167" s="650"/>
      <c r="D167" s="650"/>
      <c r="E167" s="650"/>
      <c r="F167" s="650"/>
      <c r="G167" s="650"/>
      <c r="H167" s="651"/>
    </row>
    <row r="168" spans="1:8" ht="15.75" customHeight="1" x14ac:dyDescent="0.35">
      <c r="A168" s="655"/>
      <c r="B168" s="518" t="s">
        <v>960</v>
      </c>
      <c r="C168" s="598">
        <v>17.508844692220141</v>
      </c>
      <c r="D168" s="598">
        <v>15.826192634888789</v>
      </c>
      <c r="E168" s="598">
        <v>18.463415159345391</v>
      </c>
      <c r="F168" s="598">
        <v>16.585745047372949</v>
      </c>
      <c r="G168" s="598">
        <v>20.902890840330748</v>
      </c>
      <c r="H168" s="598">
        <v>15.313569642971601</v>
      </c>
    </row>
    <row r="169" spans="1:8" ht="15.75" customHeight="1" x14ac:dyDescent="0.35">
      <c r="A169" s="655"/>
      <c r="B169" s="512" t="s">
        <v>959</v>
      </c>
      <c r="C169" s="599">
        <v>18</v>
      </c>
      <c r="D169" s="599">
        <v>16</v>
      </c>
      <c r="E169" s="599">
        <v>19</v>
      </c>
      <c r="F169" s="599">
        <v>16</v>
      </c>
      <c r="G169" s="599">
        <v>22</v>
      </c>
      <c r="H169" s="599">
        <v>15</v>
      </c>
    </row>
    <row r="170" spans="1:8" ht="15.75" customHeight="1" x14ac:dyDescent="0.35">
      <c r="A170" s="655"/>
      <c r="B170" s="512" t="s">
        <v>958</v>
      </c>
      <c r="C170" s="599">
        <v>16.74190545973028</v>
      </c>
      <c r="D170" s="599">
        <v>15.113214646414638</v>
      </c>
      <c r="E170" s="599">
        <v>17.978982679537207</v>
      </c>
      <c r="F170" s="599">
        <v>16.110563428493187</v>
      </c>
      <c r="G170" s="599">
        <v>21.159910776094147</v>
      </c>
      <c r="H170" s="599">
        <v>14.862241366048766</v>
      </c>
    </row>
    <row r="171" spans="1:8" ht="15" customHeight="1" x14ac:dyDescent="0.35">
      <c r="A171" s="655"/>
      <c r="B171" s="512" t="s">
        <v>957</v>
      </c>
      <c r="C171" s="599">
        <v>16.363821862989816</v>
      </c>
      <c r="D171" s="599">
        <v>14.85064780696541</v>
      </c>
      <c r="E171" s="599">
        <v>17.541939022717923</v>
      </c>
      <c r="F171" s="599">
        <v>16</v>
      </c>
      <c r="G171" s="599">
        <v>21.880579710144929</v>
      </c>
      <c r="H171" s="599">
        <v>14.948571428571428</v>
      </c>
    </row>
    <row r="172" spans="1:8" ht="15.75" customHeight="1" x14ac:dyDescent="0.35">
      <c r="A172" s="655"/>
      <c r="B172" s="512" t="s">
        <v>956</v>
      </c>
      <c r="C172" s="599">
        <v>16.697322937471192</v>
      </c>
      <c r="D172" s="599">
        <v>15.467660162851436</v>
      </c>
      <c r="E172" s="599">
        <v>24</v>
      </c>
      <c r="F172" s="599">
        <v>22</v>
      </c>
      <c r="G172" s="599">
        <v>23</v>
      </c>
      <c r="H172" s="599">
        <v>17</v>
      </c>
    </row>
    <row r="173" spans="1:8" ht="15" customHeight="1" x14ac:dyDescent="0.35">
      <c r="A173" s="655">
        <v>28</v>
      </c>
      <c r="B173" s="964" t="s">
        <v>38</v>
      </c>
      <c r="C173" s="650"/>
      <c r="D173" s="650"/>
      <c r="E173" s="650"/>
      <c r="F173" s="650"/>
      <c r="G173" s="650"/>
      <c r="H173" s="651"/>
    </row>
    <row r="174" spans="1:8" ht="15" customHeight="1" x14ac:dyDescent="0.35">
      <c r="A174" s="655"/>
      <c r="B174" s="518" t="s">
        <v>960</v>
      </c>
      <c r="C174" s="598">
        <v>27.022465187119231</v>
      </c>
      <c r="D174" s="598">
        <v>25.019027415143601</v>
      </c>
      <c r="E174" s="598">
        <v>28.409727400778859</v>
      </c>
      <c r="F174" s="598">
        <v>26.23292259981298</v>
      </c>
      <c r="G174" s="598">
        <v>29.058673191952149</v>
      </c>
      <c r="H174" s="598">
        <v>19.05851005981512</v>
      </c>
    </row>
    <row r="175" spans="1:8" ht="15" customHeight="1" x14ac:dyDescent="0.35">
      <c r="A175" s="655"/>
      <c r="B175" s="512" t="s">
        <v>959</v>
      </c>
      <c r="C175" s="599">
        <v>28</v>
      </c>
      <c r="D175" s="599">
        <v>26</v>
      </c>
      <c r="E175" s="599">
        <v>29</v>
      </c>
      <c r="F175" s="599">
        <v>27</v>
      </c>
      <c r="G175" s="599">
        <v>29</v>
      </c>
      <c r="H175" s="599">
        <v>19</v>
      </c>
    </row>
    <row r="176" spans="1:8" ht="15" customHeight="1" x14ac:dyDescent="0.35">
      <c r="A176" s="655"/>
      <c r="B176" s="512" t="s">
        <v>958</v>
      </c>
      <c r="C176" s="599">
        <v>28.624411899534344</v>
      </c>
      <c r="D176" s="599">
        <v>26.282408859507324</v>
      </c>
      <c r="E176" s="599">
        <v>30.168169268413958</v>
      </c>
      <c r="F176" s="599">
        <v>27.629666461667298</v>
      </c>
      <c r="G176" s="599">
        <v>32.314868804664727</v>
      </c>
      <c r="H176" s="599">
        <v>19.746031746031747</v>
      </c>
    </row>
    <row r="177" spans="1:8" ht="15" customHeight="1" x14ac:dyDescent="0.35">
      <c r="A177" s="655"/>
      <c r="B177" s="512" t="s">
        <v>957</v>
      </c>
      <c r="C177" s="599">
        <v>29.266314349664263</v>
      </c>
      <c r="D177" s="599">
        <v>26.392626212384979</v>
      </c>
      <c r="E177" s="599">
        <v>30.23584229390681</v>
      </c>
      <c r="F177" s="599">
        <v>28</v>
      </c>
      <c r="G177" s="599">
        <v>34.944155844155844</v>
      </c>
      <c r="H177" s="599">
        <v>19.147710184552288</v>
      </c>
    </row>
    <row r="178" spans="1:8" ht="15" customHeight="1" x14ac:dyDescent="0.35">
      <c r="A178" s="655"/>
      <c r="B178" s="512" t="s">
        <v>956</v>
      </c>
      <c r="C178" s="599">
        <v>28.516445455367876</v>
      </c>
      <c r="D178" s="599">
        <v>26.234798454321052</v>
      </c>
      <c r="E178" s="599">
        <v>37</v>
      </c>
      <c r="F178" s="599">
        <v>34</v>
      </c>
      <c r="G178" s="599">
        <v>32</v>
      </c>
      <c r="H178" s="599">
        <v>19</v>
      </c>
    </row>
    <row r="179" spans="1:8" ht="15" customHeight="1" x14ac:dyDescent="0.35">
      <c r="A179" s="655">
        <v>29</v>
      </c>
      <c r="B179" s="964" t="s">
        <v>39</v>
      </c>
      <c r="C179" s="650"/>
      <c r="D179" s="650"/>
      <c r="E179" s="650"/>
      <c r="F179" s="650"/>
      <c r="G179" s="650"/>
      <c r="H179" s="651"/>
    </row>
    <row r="180" spans="1:8" ht="15" customHeight="1" x14ac:dyDescent="0.35">
      <c r="A180" s="655"/>
      <c r="B180" s="518" t="s">
        <v>960</v>
      </c>
      <c r="C180" s="598">
        <v>20.053750738334319</v>
      </c>
      <c r="D180" s="598">
        <v>16.93089190785588</v>
      </c>
      <c r="E180" s="598">
        <v>20.23604060913706</v>
      </c>
      <c r="F180" s="598">
        <v>16.881345177664979</v>
      </c>
      <c r="G180" s="598">
        <v>19.29449838187702</v>
      </c>
      <c r="H180" s="598">
        <v>13.59115426105717</v>
      </c>
    </row>
    <row r="181" spans="1:8" ht="15" customHeight="1" x14ac:dyDescent="0.35">
      <c r="A181" s="655"/>
      <c r="B181" s="512" t="s">
        <v>959</v>
      </c>
      <c r="C181" s="599">
        <v>20</v>
      </c>
      <c r="D181" s="599">
        <v>17</v>
      </c>
      <c r="E181" s="599">
        <v>21</v>
      </c>
      <c r="F181" s="599">
        <v>17</v>
      </c>
      <c r="G181" s="599">
        <v>20</v>
      </c>
      <c r="H181" s="599">
        <v>13</v>
      </c>
    </row>
    <row r="182" spans="1:8" ht="15" customHeight="1" x14ac:dyDescent="0.35">
      <c r="A182" s="655"/>
      <c r="B182" s="512" t="s">
        <v>958</v>
      </c>
      <c r="C182" s="599">
        <v>21.563660477453581</v>
      </c>
      <c r="D182" s="599">
        <v>17.00663129973475</v>
      </c>
      <c r="E182" s="599">
        <v>22.450909090909089</v>
      </c>
      <c r="F182" s="599">
        <v>17.453090909090911</v>
      </c>
      <c r="G182" s="599">
        <v>22.463513513513515</v>
      </c>
      <c r="H182" s="599">
        <v>13.177027027027027</v>
      </c>
    </row>
    <row r="183" spans="1:8" ht="15" customHeight="1" x14ac:dyDescent="0.35">
      <c r="A183" s="655"/>
      <c r="B183" s="512" t="s">
        <v>957</v>
      </c>
      <c r="C183" s="599">
        <v>20.170533642691414</v>
      </c>
      <c r="D183" s="599">
        <v>16.009280742459396</v>
      </c>
      <c r="E183" s="599">
        <v>20.356608478802993</v>
      </c>
      <c r="F183" s="599">
        <v>16</v>
      </c>
      <c r="G183" s="599">
        <v>19.675813008130081</v>
      </c>
      <c r="H183" s="599">
        <v>12.385162601626016</v>
      </c>
    </row>
    <row r="184" spans="1:8" ht="15" customHeight="1" x14ac:dyDescent="0.35">
      <c r="A184" s="655"/>
      <c r="B184" s="512" t="s">
        <v>956</v>
      </c>
      <c r="C184" s="599">
        <v>33.939801285797778</v>
      </c>
      <c r="D184" s="599">
        <v>13.866160140268848</v>
      </c>
      <c r="E184" s="599">
        <v>97</v>
      </c>
      <c r="F184" s="599">
        <v>38</v>
      </c>
      <c r="G184" s="599">
        <v>44</v>
      </c>
      <c r="H184" s="599">
        <v>10</v>
      </c>
    </row>
    <row r="185" spans="1:8" ht="15" customHeight="1" x14ac:dyDescent="0.35">
      <c r="A185" s="655">
        <v>30</v>
      </c>
      <c r="B185" s="964" t="s">
        <v>40</v>
      </c>
      <c r="C185" s="650"/>
      <c r="D185" s="650"/>
      <c r="E185" s="650"/>
      <c r="F185" s="650"/>
      <c r="G185" s="650"/>
      <c r="H185" s="651"/>
    </row>
    <row r="186" spans="1:8" ht="15" customHeight="1" x14ac:dyDescent="0.35">
      <c r="A186" s="655"/>
      <c r="B186" s="518" t="s">
        <v>960</v>
      </c>
      <c r="C186" s="598">
        <v>16.057249743889951</v>
      </c>
      <c r="D186" s="598">
        <v>14.42720071710815</v>
      </c>
      <c r="E186" s="598">
        <v>16.77796672115004</v>
      </c>
      <c r="F186" s="598">
        <v>14.96994954365945</v>
      </c>
      <c r="G186" s="598">
        <v>26.910917337421751</v>
      </c>
      <c r="H186" s="598">
        <v>15.534176568289251</v>
      </c>
    </row>
    <row r="187" spans="1:8" ht="15" customHeight="1" x14ac:dyDescent="0.35">
      <c r="A187" s="655"/>
      <c r="B187" s="512" t="s">
        <v>959</v>
      </c>
      <c r="C187" s="599">
        <v>16</v>
      </c>
      <c r="D187" s="599">
        <v>14</v>
      </c>
      <c r="E187" s="599">
        <v>16</v>
      </c>
      <c r="F187" s="599">
        <v>15</v>
      </c>
      <c r="G187" s="599">
        <v>25</v>
      </c>
      <c r="H187" s="599">
        <v>15</v>
      </c>
    </row>
    <row r="188" spans="1:8" ht="15" customHeight="1" x14ac:dyDescent="0.35">
      <c r="A188" s="655"/>
      <c r="B188" s="512" t="s">
        <v>958</v>
      </c>
      <c r="C188" s="599">
        <v>15.800910496643263</v>
      </c>
      <c r="D188" s="599">
        <v>14.109101124674652</v>
      </c>
      <c r="E188" s="599">
        <v>16.534350855725865</v>
      </c>
      <c r="F188" s="599">
        <v>14.626924097305317</v>
      </c>
      <c r="G188" s="599">
        <v>27.8643551017514</v>
      </c>
      <c r="H188" s="599">
        <v>15.374246614195561</v>
      </c>
    </row>
    <row r="189" spans="1:8" ht="15" customHeight="1" x14ac:dyDescent="0.35">
      <c r="A189" s="655"/>
      <c r="B189" s="512" t="s">
        <v>957</v>
      </c>
      <c r="C189" s="599">
        <v>16.402128653245828</v>
      </c>
      <c r="D189" s="599">
        <v>14.36472728166556</v>
      </c>
      <c r="E189" s="599">
        <v>16.923581418136468</v>
      </c>
      <c r="F189" s="599">
        <v>15</v>
      </c>
      <c r="G189" s="599">
        <v>29.358151757363409</v>
      </c>
      <c r="H189" s="599">
        <v>14.232125260045986</v>
      </c>
    </row>
    <row r="190" spans="1:8" ht="15" customHeight="1" x14ac:dyDescent="0.35">
      <c r="A190" s="655"/>
      <c r="B190" s="512" t="s">
        <v>956</v>
      </c>
      <c r="C190" s="599">
        <v>17.419952000395874</v>
      </c>
      <c r="D190" s="599">
        <v>14.758586733305293</v>
      </c>
      <c r="E190" s="599">
        <v>21</v>
      </c>
      <c r="F190" s="599">
        <v>18</v>
      </c>
      <c r="G190" s="599">
        <v>34</v>
      </c>
      <c r="H190" s="599">
        <v>14</v>
      </c>
    </row>
    <row r="191" spans="1:8" ht="15" customHeight="1" x14ac:dyDescent="0.35">
      <c r="A191" s="655">
        <v>31</v>
      </c>
      <c r="B191" s="964" t="s">
        <v>41</v>
      </c>
      <c r="C191" s="650"/>
      <c r="D191" s="650"/>
      <c r="E191" s="650"/>
      <c r="F191" s="650"/>
      <c r="G191" s="650"/>
      <c r="H191" s="651"/>
    </row>
    <row r="192" spans="1:8" ht="15" customHeight="1" x14ac:dyDescent="0.35">
      <c r="A192" s="655"/>
      <c r="B192" s="518" t="s">
        <v>960</v>
      </c>
      <c r="C192" s="598">
        <v>18.82546589726611</v>
      </c>
      <c r="D192" s="598">
        <v>16.76149370920443</v>
      </c>
      <c r="E192" s="598">
        <v>19.146029271236731</v>
      </c>
      <c r="F192" s="598">
        <v>16.95136548810542</v>
      </c>
      <c r="G192" s="598">
        <v>36.796012537001573</v>
      </c>
      <c r="H192" s="598">
        <v>21.599599512449942</v>
      </c>
    </row>
    <row r="193" spans="1:8" ht="15" customHeight="1" x14ac:dyDescent="0.35">
      <c r="A193" s="655"/>
      <c r="B193" s="512" t="s">
        <v>959</v>
      </c>
      <c r="C193" s="599">
        <v>18</v>
      </c>
      <c r="D193" s="599">
        <v>17</v>
      </c>
      <c r="E193" s="599">
        <v>19</v>
      </c>
      <c r="F193" s="599">
        <v>17</v>
      </c>
      <c r="G193" s="599">
        <v>40</v>
      </c>
      <c r="H193" s="599">
        <v>20</v>
      </c>
    </row>
    <row r="194" spans="1:8" ht="15" customHeight="1" x14ac:dyDescent="0.35">
      <c r="A194" s="655"/>
      <c r="B194" s="512" t="s">
        <v>958</v>
      </c>
      <c r="C194" s="599">
        <v>18.088767123287671</v>
      </c>
      <c r="D194" s="599">
        <v>16.450899344848125</v>
      </c>
      <c r="E194" s="599">
        <v>18.554063485498631</v>
      </c>
      <c r="F194" s="599">
        <v>16.776947733030038</v>
      </c>
      <c r="G194" s="599">
        <v>40.246652685917084</v>
      </c>
      <c r="H194" s="599">
        <v>18.065817067268913</v>
      </c>
    </row>
    <row r="195" spans="1:8" ht="15" customHeight="1" x14ac:dyDescent="0.35">
      <c r="A195" s="655"/>
      <c r="B195" s="512" t="s">
        <v>957</v>
      </c>
      <c r="C195" s="599">
        <v>18.393652092306951</v>
      </c>
      <c r="D195" s="599">
        <v>17.191652429193638</v>
      </c>
      <c r="E195" s="599">
        <v>18.189460178044683</v>
      </c>
      <c r="F195" s="599">
        <v>17</v>
      </c>
      <c r="G195" s="599">
        <v>41.477223427331886</v>
      </c>
      <c r="H195" s="599">
        <v>15.280730296456978</v>
      </c>
    </row>
    <row r="196" spans="1:8" ht="15" customHeight="1" x14ac:dyDescent="0.35">
      <c r="A196" s="655"/>
      <c r="B196" s="512" t="s">
        <v>956</v>
      </c>
      <c r="C196" s="599">
        <v>16.802389272456864</v>
      </c>
      <c r="D196" s="599">
        <v>16.128084833681971</v>
      </c>
      <c r="E196" s="599">
        <v>18</v>
      </c>
      <c r="F196" s="599">
        <v>17</v>
      </c>
      <c r="G196" s="599">
        <v>28</v>
      </c>
      <c r="H196" s="599">
        <v>15</v>
      </c>
    </row>
    <row r="197" spans="1:8" ht="15" customHeight="1" x14ac:dyDescent="0.35">
      <c r="A197" s="966">
        <v>32</v>
      </c>
      <c r="B197" s="964" t="s">
        <v>58</v>
      </c>
      <c r="C197" s="650"/>
      <c r="D197" s="650"/>
      <c r="E197" s="650"/>
      <c r="F197" s="650"/>
      <c r="G197" s="650"/>
      <c r="H197" s="651"/>
    </row>
    <row r="198" spans="1:8" ht="15" customHeight="1" x14ac:dyDescent="0.35">
      <c r="A198" s="967"/>
      <c r="B198" s="518" t="s">
        <v>960</v>
      </c>
      <c r="C198" s="598">
        <v>19.32618683001531</v>
      </c>
      <c r="D198" s="598">
        <v>19.272588055130171</v>
      </c>
      <c r="E198" s="598">
        <v>19.587774294670851</v>
      </c>
      <c r="F198" s="598">
        <v>19.587774294670851</v>
      </c>
      <c r="G198" s="598">
        <v>24</v>
      </c>
      <c r="H198" s="598">
        <v>24</v>
      </c>
    </row>
    <row r="199" spans="1:8" ht="15" customHeight="1" x14ac:dyDescent="0.35">
      <c r="A199" s="967"/>
      <c r="B199" s="512" t="s">
        <v>959</v>
      </c>
      <c r="C199" s="599">
        <v>19</v>
      </c>
      <c r="D199" s="599">
        <v>19</v>
      </c>
      <c r="E199" s="599">
        <v>20</v>
      </c>
      <c r="F199" s="599">
        <v>20</v>
      </c>
      <c r="G199" s="599">
        <v>25</v>
      </c>
      <c r="H199" s="599">
        <v>25</v>
      </c>
    </row>
    <row r="200" spans="1:8" ht="15" customHeight="1" x14ac:dyDescent="0.35">
      <c r="A200" s="967"/>
      <c r="B200" s="512" t="s">
        <v>958</v>
      </c>
      <c r="C200" s="599">
        <v>20.855048859934854</v>
      </c>
      <c r="D200" s="599">
        <v>20.855048859934854</v>
      </c>
      <c r="E200" s="599">
        <v>20.782324058919805</v>
      </c>
      <c r="F200" s="599">
        <v>20.782324058919805</v>
      </c>
      <c r="G200" s="599">
        <v>44.333333333333336</v>
      </c>
      <c r="H200" s="599">
        <v>44.333333333333336</v>
      </c>
    </row>
    <row r="201" spans="1:8" ht="15" customHeight="1" x14ac:dyDescent="0.35">
      <c r="A201" s="967"/>
      <c r="B201" s="509" t="s">
        <v>957</v>
      </c>
      <c r="C201" s="599">
        <v>20.051993067590988</v>
      </c>
      <c r="D201" s="599">
        <v>20.051993067590988</v>
      </c>
      <c r="E201" s="599">
        <v>19.695121951219512</v>
      </c>
      <c r="F201" s="599">
        <v>20</v>
      </c>
      <c r="G201" s="599">
        <v>19</v>
      </c>
      <c r="H201" s="599">
        <v>19</v>
      </c>
    </row>
    <row r="202" spans="1:8" ht="15" customHeight="1" x14ac:dyDescent="0.35">
      <c r="A202" s="967"/>
      <c r="B202" s="509" t="s">
        <v>956</v>
      </c>
      <c r="C202" s="599">
        <v>41.660137672090109</v>
      </c>
      <c r="D202" s="599">
        <v>41.660137672090109</v>
      </c>
      <c r="E202" s="599">
        <v>42</v>
      </c>
      <c r="F202" s="599">
        <v>42</v>
      </c>
      <c r="G202" s="599">
        <v>20</v>
      </c>
      <c r="H202" s="599">
        <v>20</v>
      </c>
    </row>
    <row r="203" spans="1:8" ht="15" customHeight="1" x14ac:dyDescent="0.35">
      <c r="A203" s="655">
        <v>33</v>
      </c>
      <c r="B203" s="965" t="s">
        <v>42</v>
      </c>
      <c r="C203" s="650"/>
      <c r="D203" s="650"/>
      <c r="E203" s="650"/>
      <c r="F203" s="650"/>
      <c r="G203" s="650"/>
      <c r="H203" s="651"/>
    </row>
    <row r="204" spans="1:8" ht="15" customHeight="1" x14ac:dyDescent="0.35">
      <c r="A204" s="655"/>
      <c r="B204" s="518" t="s">
        <v>960</v>
      </c>
      <c r="C204" s="598">
        <v>36.925058548009368</v>
      </c>
      <c r="D204" s="598">
        <v>34.687186349949819</v>
      </c>
      <c r="E204" s="598">
        <v>38.48828956706884</v>
      </c>
      <c r="F204" s="598">
        <v>36.11462029808375</v>
      </c>
      <c r="G204" s="598">
        <v>35.129850746268659</v>
      </c>
      <c r="H204" s="598">
        <v>25.146268656716419</v>
      </c>
    </row>
    <row r="205" spans="1:8" ht="15" customHeight="1" x14ac:dyDescent="0.35">
      <c r="A205" s="655"/>
      <c r="B205" s="512" t="s">
        <v>959</v>
      </c>
      <c r="C205" s="599">
        <v>36</v>
      </c>
      <c r="D205" s="599">
        <v>34</v>
      </c>
      <c r="E205" s="599">
        <v>38</v>
      </c>
      <c r="F205" s="599">
        <v>35</v>
      </c>
      <c r="G205" s="599">
        <v>38</v>
      </c>
      <c r="H205" s="599">
        <v>26</v>
      </c>
    </row>
    <row r="206" spans="1:8" ht="15" customHeight="1" x14ac:dyDescent="0.35">
      <c r="A206" s="655"/>
      <c r="B206" s="512" t="s">
        <v>958</v>
      </c>
      <c r="C206" s="599">
        <v>41.091540662035143</v>
      </c>
      <c r="D206" s="599">
        <v>37.147936248467509</v>
      </c>
      <c r="E206" s="599">
        <v>42.415272415272412</v>
      </c>
      <c r="F206" s="599">
        <v>38.275418275418275</v>
      </c>
      <c r="G206" s="599">
        <v>45.224528301886792</v>
      </c>
      <c r="H206" s="599">
        <v>27.016981132075472</v>
      </c>
    </row>
    <row r="207" spans="1:8" ht="15" customHeight="1" x14ac:dyDescent="0.35">
      <c r="A207" s="655"/>
      <c r="B207" s="512" t="s">
        <v>957</v>
      </c>
      <c r="C207" s="599">
        <v>37.636068237205521</v>
      </c>
      <c r="D207" s="599">
        <v>32.62144597887896</v>
      </c>
      <c r="E207" s="599">
        <v>38.672340425531914</v>
      </c>
      <c r="F207" s="599">
        <v>33</v>
      </c>
      <c r="G207" s="599">
        <v>49.183864915572229</v>
      </c>
      <c r="H207" s="599">
        <v>26.02063789868668</v>
      </c>
    </row>
    <row r="208" spans="1:8" ht="15" customHeight="1" x14ac:dyDescent="0.35">
      <c r="A208" s="655"/>
      <c r="B208" s="512" t="s">
        <v>956</v>
      </c>
      <c r="C208" s="599">
        <v>35.772293654085445</v>
      </c>
      <c r="D208" s="599">
        <v>30.459975114060555</v>
      </c>
      <c r="E208" s="599">
        <v>44</v>
      </c>
      <c r="F208" s="599">
        <v>37</v>
      </c>
      <c r="G208" s="599">
        <v>59</v>
      </c>
      <c r="H208" s="599">
        <v>25</v>
      </c>
    </row>
    <row r="209" spans="1:8" ht="15" customHeight="1" x14ac:dyDescent="0.35">
      <c r="A209" s="655">
        <v>34</v>
      </c>
      <c r="B209" s="964" t="s">
        <v>43</v>
      </c>
      <c r="C209" s="650"/>
      <c r="D209" s="650"/>
      <c r="E209" s="650"/>
      <c r="F209" s="650"/>
      <c r="G209" s="650"/>
      <c r="H209" s="651"/>
    </row>
    <row r="210" spans="1:8" ht="15" customHeight="1" x14ac:dyDescent="0.35">
      <c r="A210" s="655"/>
      <c r="B210" s="518" t="s">
        <v>960</v>
      </c>
      <c r="C210" s="598">
        <v>33.857025409632342</v>
      </c>
      <c r="D210" s="598">
        <v>32.992141942144812</v>
      </c>
      <c r="E210" s="598">
        <v>36.04866512898009</v>
      </c>
      <c r="F210" s="598">
        <v>35.12293008828442</v>
      </c>
      <c r="G210" s="598">
        <v>25.493722075465541</v>
      </c>
      <c r="H210" s="598">
        <v>19.799921729772041</v>
      </c>
    </row>
    <row r="211" spans="1:8" ht="15" customHeight="1" x14ac:dyDescent="0.35">
      <c r="A211" s="655"/>
      <c r="B211" s="512" t="s">
        <v>959</v>
      </c>
      <c r="C211" s="599">
        <v>36</v>
      </c>
      <c r="D211" s="599">
        <v>35</v>
      </c>
      <c r="E211" s="599">
        <v>38</v>
      </c>
      <c r="F211" s="599">
        <v>37</v>
      </c>
      <c r="G211" s="599">
        <v>26</v>
      </c>
      <c r="H211" s="599">
        <v>20</v>
      </c>
    </row>
    <row r="212" spans="1:8" ht="15" customHeight="1" x14ac:dyDescent="0.35">
      <c r="A212" s="655"/>
      <c r="B212" s="512" t="s">
        <v>958</v>
      </c>
      <c r="C212" s="599" t="s">
        <v>1031</v>
      </c>
      <c r="D212" s="599">
        <v>34.971875140708718</v>
      </c>
      <c r="E212" s="599">
        <v>37.848402341908752</v>
      </c>
      <c r="F212" s="599">
        <v>36.992501674563997</v>
      </c>
      <c r="G212" s="599">
        <v>25.512515469679428</v>
      </c>
      <c r="H212" s="599">
        <v>20.003233662022435</v>
      </c>
    </row>
    <row r="213" spans="1:8" ht="15" customHeight="1" x14ac:dyDescent="0.35">
      <c r="A213" s="655"/>
      <c r="B213" s="512" t="s">
        <v>957</v>
      </c>
      <c r="C213" s="599">
        <v>37.743172519902558</v>
      </c>
      <c r="D213" s="599">
        <v>36.842667816721644</v>
      </c>
      <c r="E213" s="599">
        <v>35.99258877692283</v>
      </c>
      <c r="F213" s="599">
        <v>39</v>
      </c>
      <c r="G213" s="599">
        <v>27.136503409242835</v>
      </c>
      <c r="H213" s="599">
        <v>20.25054592450644</v>
      </c>
    </row>
    <row r="214" spans="1:8" ht="15" customHeight="1" x14ac:dyDescent="0.35">
      <c r="A214" s="655"/>
      <c r="B214" s="512" t="s">
        <v>956</v>
      </c>
      <c r="C214" s="599">
        <v>39.570450758490821</v>
      </c>
      <c r="D214" s="599">
        <v>38.787139414887356</v>
      </c>
      <c r="E214" s="599">
        <v>49</v>
      </c>
      <c r="F214" s="599">
        <v>48</v>
      </c>
      <c r="G214" s="599">
        <v>26</v>
      </c>
      <c r="H214" s="599">
        <v>20</v>
      </c>
    </row>
    <row r="215" spans="1:8" ht="15" customHeight="1" x14ac:dyDescent="0.35">
      <c r="A215" s="655">
        <v>35</v>
      </c>
      <c r="B215" s="964" t="s">
        <v>44</v>
      </c>
      <c r="C215" s="650"/>
      <c r="D215" s="650"/>
      <c r="E215" s="650"/>
      <c r="F215" s="650"/>
      <c r="G215" s="650"/>
      <c r="H215" s="651"/>
    </row>
    <row r="216" spans="1:8" ht="15" customHeight="1" x14ac:dyDescent="0.35">
      <c r="A216" s="655"/>
      <c r="B216" s="518" t="s">
        <v>960</v>
      </c>
      <c r="C216" s="598">
        <v>27.881230063795851</v>
      </c>
      <c r="D216" s="598">
        <v>21.915221291866029</v>
      </c>
      <c r="E216" s="598">
        <v>29.469431592861859</v>
      </c>
      <c r="F216" s="598">
        <v>22.876459572593081</v>
      </c>
      <c r="G216" s="598">
        <v>34.728881547899952</v>
      </c>
      <c r="H216" s="598">
        <v>20.606418121755549</v>
      </c>
    </row>
    <row r="217" spans="1:8" ht="15" customHeight="1" x14ac:dyDescent="0.35">
      <c r="A217" s="655"/>
      <c r="B217" s="512" t="s">
        <v>959</v>
      </c>
      <c r="C217" s="599">
        <v>27</v>
      </c>
      <c r="D217" s="599">
        <v>22</v>
      </c>
      <c r="E217" s="599">
        <v>29</v>
      </c>
      <c r="F217" s="599">
        <v>23</v>
      </c>
      <c r="G217" s="599">
        <v>34</v>
      </c>
      <c r="H217" s="599">
        <v>20</v>
      </c>
    </row>
    <row r="218" spans="1:8" ht="15" customHeight="1" x14ac:dyDescent="0.35">
      <c r="A218" s="655"/>
      <c r="B218" s="512" t="s">
        <v>958</v>
      </c>
      <c r="C218" s="599">
        <v>27.074298633233994</v>
      </c>
      <c r="D218" s="599">
        <v>21.962285479395746</v>
      </c>
      <c r="E218" s="599">
        <v>28.579054282812322</v>
      </c>
      <c r="F218" s="599">
        <v>22.965240943460106</v>
      </c>
      <c r="G218" s="599">
        <v>33.415380449499054</v>
      </c>
      <c r="H218" s="599">
        <v>19.94557270511779</v>
      </c>
    </row>
    <row r="219" spans="1:8" ht="15" customHeight="1" x14ac:dyDescent="0.35">
      <c r="A219" s="655"/>
      <c r="B219" s="512" t="s">
        <v>957</v>
      </c>
      <c r="C219" s="599">
        <v>32.448419388830345</v>
      </c>
      <c r="D219" s="599">
        <v>27.256269757639622</v>
      </c>
      <c r="E219" s="599">
        <v>32.278897573015222</v>
      </c>
      <c r="F219" s="599">
        <v>29</v>
      </c>
      <c r="G219" s="599">
        <v>43.448369156771385</v>
      </c>
      <c r="H219" s="599">
        <v>27.992634901548175</v>
      </c>
    </row>
    <row r="220" spans="1:8" ht="15" customHeight="1" x14ac:dyDescent="0.35">
      <c r="A220" s="655"/>
      <c r="B220" s="512" t="s">
        <v>956</v>
      </c>
      <c r="C220" s="599">
        <v>26.934530959921371</v>
      </c>
      <c r="D220" s="599">
        <v>22.484274325652507</v>
      </c>
      <c r="E220" s="599">
        <v>46</v>
      </c>
      <c r="F220" s="599">
        <v>38</v>
      </c>
      <c r="G220" s="599">
        <v>36</v>
      </c>
      <c r="H220" s="599">
        <v>22</v>
      </c>
    </row>
    <row r="221" spans="1:8" ht="15" customHeight="1" x14ac:dyDescent="0.35">
      <c r="A221" s="655">
        <v>36</v>
      </c>
      <c r="B221" s="964" t="s">
        <v>45</v>
      </c>
      <c r="C221" s="650"/>
      <c r="D221" s="650"/>
      <c r="E221" s="650"/>
      <c r="F221" s="650"/>
      <c r="G221" s="650"/>
      <c r="H221" s="651"/>
    </row>
    <row r="222" spans="1:8" ht="15" customHeight="1" x14ac:dyDescent="0.35">
      <c r="A222" s="655"/>
      <c r="B222" s="518" t="s">
        <v>960</v>
      </c>
      <c r="C222" s="598">
        <v>31.332314617086301</v>
      </c>
      <c r="D222" s="598">
        <v>26.568648261575639</v>
      </c>
      <c r="E222" s="598">
        <v>33.594630242987357</v>
      </c>
      <c r="F222" s="598">
        <v>28.136017234809621</v>
      </c>
      <c r="G222" s="598">
        <v>56.058625983496448</v>
      </c>
      <c r="H222" s="598">
        <v>20.320475916330839</v>
      </c>
    </row>
    <row r="223" spans="1:8" ht="15" customHeight="1" x14ac:dyDescent="0.35">
      <c r="A223" s="655"/>
      <c r="B223" s="512" t="s">
        <v>959</v>
      </c>
      <c r="C223" s="599">
        <v>35</v>
      </c>
      <c r="D223" s="599">
        <v>28</v>
      </c>
      <c r="E223" s="599">
        <v>38</v>
      </c>
      <c r="F223" s="599">
        <v>30</v>
      </c>
      <c r="G223" s="599">
        <v>78</v>
      </c>
      <c r="H223" s="599">
        <v>21</v>
      </c>
    </row>
    <row r="224" spans="1:8" ht="15" customHeight="1" x14ac:dyDescent="0.35">
      <c r="A224" s="655"/>
      <c r="B224" s="509" t="s">
        <v>958</v>
      </c>
      <c r="C224" s="599">
        <v>37.344989847994292</v>
      </c>
      <c r="D224" s="599">
        <v>29.211367502606596</v>
      </c>
      <c r="E224" s="599">
        <v>40.240183635736891</v>
      </c>
      <c r="F224" s="599">
        <v>30.951443076055277</v>
      </c>
      <c r="G224" s="599">
        <v>86.488866510014546</v>
      </c>
      <c r="H224" s="599">
        <v>20.154973704822648</v>
      </c>
    </row>
    <row r="225" spans="1:8" ht="15" customHeight="1" x14ac:dyDescent="0.35">
      <c r="A225" s="655"/>
      <c r="B225" s="509" t="s">
        <v>957</v>
      </c>
      <c r="C225" s="599">
        <v>31.340245851781649</v>
      </c>
      <c r="D225" s="599">
        <v>28.455320894572306</v>
      </c>
      <c r="E225" s="599">
        <v>32.855801582978181</v>
      </c>
      <c r="F225" s="599">
        <v>30</v>
      </c>
      <c r="G225" s="599">
        <v>43.883979206049148</v>
      </c>
      <c r="H225" s="599">
        <v>20.798086011342154</v>
      </c>
    </row>
    <row r="226" spans="1:8" ht="15" customHeight="1" x14ac:dyDescent="0.35">
      <c r="A226" s="655"/>
      <c r="B226" s="509" t="s">
        <v>956</v>
      </c>
      <c r="C226" s="599">
        <v>32.967580020138527</v>
      </c>
      <c r="D226" s="599">
        <v>30.109190492173436</v>
      </c>
      <c r="E226" s="599">
        <v>40</v>
      </c>
      <c r="F226" s="599">
        <v>36</v>
      </c>
      <c r="G226" s="599">
        <v>43</v>
      </c>
      <c r="H226" s="599">
        <v>19</v>
      </c>
    </row>
    <row r="227" spans="1:8" ht="14.5" customHeight="1" x14ac:dyDescent="0.35">
      <c r="A227" s="971" t="s">
        <v>970</v>
      </c>
      <c r="B227" s="971"/>
      <c r="C227" s="971"/>
      <c r="D227" s="971"/>
      <c r="E227" s="971"/>
      <c r="F227" s="971"/>
      <c r="G227" s="971"/>
      <c r="H227" s="971"/>
    </row>
  </sheetData>
  <mergeCells count="81">
    <mergeCell ref="A227:H227"/>
    <mergeCell ref="C2:D2"/>
    <mergeCell ref="E2:F2"/>
    <mergeCell ref="G2:H2"/>
    <mergeCell ref="A77:A82"/>
    <mergeCell ref="A11:A16"/>
    <mergeCell ref="A17:A22"/>
    <mergeCell ref="A23:A28"/>
    <mergeCell ref="A29:A34"/>
    <mergeCell ref="A35:A40"/>
    <mergeCell ref="A41:A46"/>
    <mergeCell ref="A47:A52"/>
    <mergeCell ref="A53:A58"/>
    <mergeCell ref="A59:A64"/>
    <mergeCell ref="A65:A70"/>
    <mergeCell ref="A2:A3"/>
    <mergeCell ref="B2:B3"/>
    <mergeCell ref="A83:A88"/>
    <mergeCell ref="A89:A94"/>
    <mergeCell ref="A95:A100"/>
    <mergeCell ref="A101:A106"/>
    <mergeCell ref="A5:A10"/>
    <mergeCell ref="A71:A76"/>
    <mergeCell ref="B5:H5"/>
    <mergeCell ref="B11:H11"/>
    <mergeCell ref="B17:H17"/>
    <mergeCell ref="B23:H23"/>
    <mergeCell ref="B29:H29"/>
    <mergeCell ref="B35:H35"/>
    <mergeCell ref="B41:H41"/>
    <mergeCell ref="B47:H47"/>
    <mergeCell ref="B53:H53"/>
    <mergeCell ref="A107:A112"/>
    <mergeCell ref="A119:A124"/>
    <mergeCell ref="A125:A130"/>
    <mergeCell ref="A131:A136"/>
    <mergeCell ref="A149:A154"/>
    <mergeCell ref="A137:A142"/>
    <mergeCell ref="A143:A148"/>
    <mergeCell ref="A113:A118"/>
    <mergeCell ref="A221:A226"/>
    <mergeCell ref="A155:A160"/>
    <mergeCell ref="A161:A166"/>
    <mergeCell ref="A167:A172"/>
    <mergeCell ref="A173:A178"/>
    <mergeCell ref="A179:A184"/>
    <mergeCell ref="A185:A190"/>
    <mergeCell ref="A191:A196"/>
    <mergeCell ref="A197:A202"/>
    <mergeCell ref="A203:A208"/>
    <mergeCell ref="A209:A214"/>
    <mergeCell ref="A215:A220"/>
    <mergeCell ref="B59:H59"/>
    <mergeCell ref="B65:H65"/>
    <mergeCell ref="B71:H71"/>
    <mergeCell ref="B77:H77"/>
    <mergeCell ref="B83:H83"/>
    <mergeCell ref="B89:H89"/>
    <mergeCell ref="B143:H143"/>
    <mergeCell ref="B149:H149"/>
    <mergeCell ref="B95:H95"/>
    <mergeCell ref="B101:H101"/>
    <mergeCell ref="B107:H107"/>
    <mergeCell ref="B113:H113"/>
    <mergeCell ref="B119:H119"/>
    <mergeCell ref="B1:H1"/>
    <mergeCell ref="B215:H215"/>
    <mergeCell ref="B221:H221"/>
    <mergeCell ref="B185:H185"/>
    <mergeCell ref="B191:H191"/>
    <mergeCell ref="B197:H197"/>
    <mergeCell ref="B203:H203"/>
    <mergeCell ref="B209:H209"/>
    <mergeCell ref="B155:H155"/>
    <mergeCell ref="B161:H161"/>
    <mergeCell ref="B167:H167"/>
    <mergeCell ref="B173:H173"/>
    <mergeCell ref="B179:H179"/>
    <mergeCell ref="B125:H125"/>
    <mergeCell ref="B131:H131"/>
    <mergeCell ref="B137:H137"/>
  </mergeCells>
  <pageMargins left="0.43307086614173229" right="0.15748031496062992" top="0.39370078740157483" bottom="0.39370078740157483" header="0.31496062992125984" footer="0.19685039370078741"/>
  <pageSetup paperSize="9" scale="80" firstPageNumber="2" orientation="portrait" r:id="rId1"/>
  <headerFooter>
    <oddFooter>&amp;L&amp;"Arial,Italic"&amp;9AISHE 2023-24&amp;RT-49</oddFooter>
  </headerFooter>
  <rowBreaks count="3" manualBreakCount="3">
    <brk id="64" max="7" man="1"/>
    <brk id="124" max="7" man="1"/>
    <brk id="184" max="7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0D2E-C2C4-4320-986E-85D7743A70F2}">
  <dimension ref="A1:AC71"/>
  <sheetViews>
    <sheetView showZeros="0" view="pageBreakPreview" zoomScale="112" zoomScaleSheetLayoutView="112" workbookViewId="0">
      <pane xSplit="2" ySplit="3" topLeftCell="C5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9.1796875" defaultRowHeight="14" x14ac:dyDescent="0.35"/>
  <cols>
    <col min="1" max="1" width="6.453125" style="510" customWidth="1"/>
    <col min="2" max="2" width="37.54296875" style="528" customWidth="1"/>
    <col min="3" max="8" width="10.1796875" style="528" customWidth="1"/>
    <col min="9" max="14" width="10.81640625" style="528" customWidth="1"/>
    <col min="15" max="19" width="10.1796875" style="528" customWidth="1"/>
    <col min="20" max="20" width="10.81640625" style="528" customWidth="1"/>
    <col min="21" max="26" width="10.26953125" style="528" customWidth="1"/>
    <col min="27" max="28" width="10.81640625" style="528" customWidth="1"/>
    <col min="29" max="29" width="11.81640625" style="528" bestFit="1" customWidth="1"/>
    <col min="30" max="16384" width="9.1796875" style="528"/>
  </cols>
  <sheetData>
    <row r="1" spans="1:29" s="521" customFormat="1" ht="21" customHeight="1" x14ac:dyDescent="0.35">
      <c r="A1" s="502"/>
      <c r="C1" s="654" t="s">
        <v>1028</v>
      </c>
      <c r="D1" s="654"/>
      <c r="E1" s="654"/>
      <c r="F1" s="654"/>
      <c r="G1" s="654"/>
      <c r="H1" s="654"/>
      <c r="I1" s="654"/>
      <c r="J1" s="654"/>
      <c r="K1" s="654"/>
      <c r="L1" s="654" t="str">
        <f>C1</f>
        <v>Table 50. Enrolment Trends by University Type at Various Levels Over the Last 5 Years</v>
      </c>
      <c r="M1" s="654"/>
      <c r="N1" s="654"/>
      <c r="O1" s="654"/>
      <c r="P1" s="654"/>
      <c r="Q1" s="654"/>
      <c r="R1" s="654"/>
      <c r="S1" s="654"/>
      <c r="T1" s="654"/>
      <c r="U1" s="654" t="str">
        <f>C1</f>
        <v>Table 50. Enrolment Trends by University Type at Various Levels Over the Last 5 Years</v>
      </c>
      <c r="V1" s="654"/>
      <c r="W1" s="654"/>
      <c r="X1" s="654"/>
      <c r="Y1" s="654"/>
      <c r="Z1" s="654"/>
      <c r="AA1" s="654"/>
      <c r="AB1" s="654"/>
      <c r="AC1" s="654"/>
    </row>
    <row r="2" spans="1:29" s="527" customFormat="1" x14ac:dyDescent="0.35">
      <c r="A2" s="975" t="s">
        <v>84</v>
      </c>
      <c r="B2" s="976" t="s">
        <v>1</v>
      </c>
      <c r="C2" s="977" t="s">
        <v>95</v>
      </c>
      <c r="D2" s="976"/>
      <c r="E2" s="976"/>
      <c r="F2" s="977" t="s">
        <v>96</v>
      </c>
      <c r="G2" s="976"/>
      <c r="H2" s="976"/>
      <c r="I2" s="977" t="s">
        <v>97</v>
      </c>
      <c r="J2" s="976"/>
      <c r="K2" s="976"/>
      <c r="L2" s="977" t="s">
        <v>98</v>
      </c>
      <c r="M2" s="976"/>
      <c r="N2" s="976"/>
      <c r="O2" s="977" t="s">
        <v>99</v>
      </c>
      <c r="P2" s="976"/>
      <c r="Q2" s="976"/>
      <c r="R2" s="977" t="s">
        <v>100</v>
      </c>
      <c r="S2" s="976"/>
      <c r="T2" s="976"/>
      <c r="U2" s="977" t="s">
        <v>101</v>
      </c>
      <c r="V2" s="976"/>
      <c r="W2" s="976"/>
      <c r="X2" s="977" t="s">
        <v>102</v>
      </c>
      <c r="Y2" s="976"/>
      <c r="Z2" s="976"/>
      <c r="AA2" s="977" t="s">
        <v>12</v>
      </c>
      <c r="AB2" s="976"/>
      <c r="AC2" s="976"/>
    </row>
    <row r="3" spans="1:29" s="527" customFormat="1" x14ac:dyDescent="0.35">
      <c r="A3" s="975"/>
      <c r="B3" s="976"/>
      <c r="C3" s="634" t="s">
        <v>103</v>
      </c>
      <c r="D3" s="634" t="s">
        <v>104</v>
      </c>
      <c r="E3" s="634" t="s">
        <v>965</v>
      </c>
      <c r="F3" s="634" t="s">
        <v>103</v>
      </c>
      <c r="G3" s="634" t="s">
        <v>104</v>
      </c>
      <c r="H3" s="634" t="s">
        <v>965</v>
      </c>
      <c r="I3" s="634" t="s">
        <v>103</v>
      </c>
      <c r="J3" s="634" t="s">
        <v>104</v>
      </c>
      <c r="K3" s="634" t="s">
        <v>965</v>
      </c>
      <c r="L3" s="634" t="s">
        <v>103</v>
      </c>
      <c r="M3" s="634" t="s">
        <v>104</v>
      </c>
      <c r="N3" s="634" t="s">
        <v>965</v>
      </c>
      <c r="O3" s="634" t="s">
        <v>103</v>
      </c>
      <c r="P3" s="634" t="s">
        <v>104</v>
      </c>
      <c r="Q3" s="634" t="s">
        <v>965</v>
      </c>
      <c r="R3" s="634" t="s">
        <v>103</v>
      </c>
      <c r="S3" s="634" t="s">
        <v>104</v>
      </c>
      <c r="T3" s="634" t="s">
        <v>965</v>
      </c>
      <c r="U3" s="634" t="s">
        <v>103</v>
      </c>
      <c r="V3" s="634" t="s">
        <v>104</v>
      </c>
      <c r="W3" s="634" t="s">
        <v>965</v>
      </c>
      <c r="X3" s="634" t="s">
        <v>103</v>
      </c>
      <c r="Y3" s="634" t="s">
        <v>104</v>
      </c>
      <c r="Z3" s="634" t="s">
        <v>965</v>
      </c>
      <c r="AA3" s="634" t="s">
        <v>103</v>
      </c>
      <c r="AB3" s="634" t="s">
        <v>104</v>
      </c>
      <c r="AC3" s="634" t="s">
        <v>965</v>
      </c>
    </row>
    <row r="4" spans="1:29" s="540" customFormat="1" ht="11.5" x14ac:dyDescent="0.35">
      <c r="A4" s="525">
        <v>1</v>
      </c>
      <c r="B4" s="526">
        <v>2</v>
      </c>
      <c r="C4" s="525">
        <v>3</v>
      </c>
      <c r="D4" s="526">
        <v>4</v>
      </c>
      <c r="E4" s="525">
        <v>5</v>
      </c>
      <c r="F4" s="526">
        <v>6</v>
      </c>
      <c r="G4" s="525">
        <v>7</v>
      </c>
      <c r="H4" s="526">
        <v>8</v>
      </c>
      <c r="I4" s="525">
        <v>9</v>
      </c>
      <c r="J4" s="526">
        <v>10</v>
      </c>
      <c r="K4" s="525">
        <v>11</v>
      </c>
      <c r="L4" s="526">
        <v>12</v>
      </c>
      <c r="M4" s="525">
        <v>13</v>
      </c>
      <c r="N4" s="526">
        <v>14</v>
      </c>
      <c r="O4" s="525">
        <v>15</v>
      </c>
      <c r="P4" s="526">
        <v>16</v>
      </c>
      <c r="Q4" s="525">
        <v>17</v>
      </c>
      <c r="R4" s="526">
        <v>18</v>
      </c>
      <c r="S4" s="525">
        <v>19</v>
      </c>
      <c r="T4" s="526">
        <v>20</v>
      </c>
      <c r="U4" s="525">
        <v>21</v>
      </c>
      <c r="V4" s="526">
        <v>22</v>
      </c>
      <c r="W4" s="525">
        <v>23</v>
      </c>
      <c r="X4" s="526">
        <v>24</v>
      </c>
      <c r="Y4" s="525">
        <v>25</v>
      </c>
      <c r="Z4" s="526">
        <v>26</v>
      </c>
      <c r="AA4" s="525">
        <v>27</v>
      </c>
      <c r="AB4" s="526">
        <v>28</v>
      </c>
      <c r="AC4" s="525">
        <v>29</v>
      </c>
    </row>
    <row r="5" spans="1:29" ht="17.25" customHeight="1" x14ac:dyDescent="0.35">
      <c r="A5" s="655"/>
      <c r="B5" s="973" t="s">
        <v>971</v>
      </c>
      <c r="C5" s="973"/>
      <c r="D5" s="973"/>
      <c r="E5" s="973"/>
      <c r="F5" s="973"/>
      <c r="G5" s="973"/>
      <c r="H5" s="973"/>
      <c r="I5" s="973"/>
      <c r="J5" s="973"/>
      <c r="K5" s="973"/>
      <c r="L5" s="973"/>
      <c r="M5" s="973"/>
      <c r="N5" s="973"/>
      <c r="O5" s="973"/>
      <c r="P5" s="973"/>
      <c r="Q5" s="973"/>
      <c r="R5" s="973"/>
      <c r="S5" s="973"/>
      <c r="T5" s="973"/>
      <c r="U5" s="973"/>
      <c r="V5" s="973"/>
      <c r="W5" s="973"/>
      <c r="X5" s="973"/>
      <c r="Y5" s="973"/>
      <c r="Z5" s="973"/>
      <c r="AA5" s="973"/>
      <c r="AB5" s="973"/>
      <c r="AC5" s="973"/>
    </row>
    <row r="6" spans="1:29" ht="17.25" customHeight="1" x14ac:dyDescent="0.35">
      <c r="A6" s="655"/>
      <c r="B6" s="529" t="s">
        <v>960</v>
      </c>
      <c r="C6" s="616">
        <v>150461</v>
      </c>
      <c r="D6" s="616">
        <v>142091</v>
      </c>
      <c r="E6" s="616">
        <v>292552</v>
      </c>
      <c r="F6" s="616">
        <v>257</v>
      </c>
      <c r="G6" s="616">
        <v>644</v>
      </c>
      <c r="H6" s="616">
        <v>901</v>
      </c>
      <c r="I6" s="616">
        <v>1392514</v>
      </c>
      <c r="J6" s="616">
        <v>1565849</v>
      </c>
      <c r="K6" s="616">
        <v>2958363</v>
      </c>
      <c r="L6" s="616">
        <v>3999916</v>
      </c>
      <c r="M6" s="616">
        <v>2814259</v>
      </c>
      <c r="N6" s="616">
        <v>6814175</v>
      </c>
      <c r="O6" s="616">
        <v>49245</v>
      </c>
      <c r="P6" s="616">
        <v>44860</v>
      </c>
      <c r="Q6" s="616">
        <v>94105</v>
      </c>
      <c r="R6" s="616">
        <v>212176</v>
      </c>
      <c r="S6" s="616">
        <v>127530</v>
      </c>
      <c r="T6" s="616">
        <v>339706</v>
      </c>
      <c r="U6" s="616">
        <v>56770</v>
      </c>
      <c r="V6" s="616">
        <v>61369</v>
      </c>
      <c r="W6" s="616">
        <v>118139</v>
      </c>
      <c r="X6" s="616">
        <v>132989</v>
      </c>
      <c r="Y6" s="616">
        <v>107968</v>
      </c>
      <c r="Z6" s="616">
        <v>240957</v>
      </c>
      <c r="AA6" s="616">
        <v>5994328</v>
      </c>
      <c r="AB6" s="616">
        <v>4864570</v>
      </c>
      <c r="AC6" s="616">
        <v>10858898</v>
      </c>
    </row>
    <row r="7" spans="1:29" ht="17.25" customHeight="1" x14ac:dyDescent="0.35">
      <c r="A7" s="655"/>
      <c r="B7" s="530" t="s">
        <v>959</v>
      </c>
      <c r="C7" s="601">
        <v>105923</v>
      </c>
      <c r="D7" s="601">
        <v>93295</v>
      </c>
      <c r="E7" s="601">
        <v>199218</v>
      </c>
      <c r="F7" s="601">
        <v>791</v>
      </c>
      <c r="G7" s="601">
        <v>1026</v>
      </c>
      <c r="H7" s="601">
        <v>1817</v>
      </c>
      <c r="I7" s="601">
        <v>1352797</v>
      </c>
      <c r="J7" s="601">
        <v>1523456</v>
      </c>
      <c r="K7" s="601">
        <v>2876253</v>
      </c>
      <c r="L7" s="601">
        <v>3896566</v>
      </c>
      <c r="M7" s="601">
        <v>2613121</v>
      </c>
      <c r="N7" s="601">
        <v>6509687</v>
      </c>
      <c r="O7" s="601">
        <v>61626</v>
      </c>
      <c r="P7" s="601">
        <v>50765</v>
      </c>
      <c r="Q7" s="601">
        <v>112391</v>
      </c>
      <c r="R7" s="601">
        <v>207398</v>
      </c>
      <c r="S7" s="601">
        <v>113690</v>
      </c>
      <c r="T7" s="601">
        <v>321088</v>
      </c>
      <c r="U7" s="601">
        <v>35122</v>
      </c>
      <c r="V7" s="601">
        <v>22044</v>
      </c>
      <c r="W7" s="601">
        <v>57166</v>
      </c>
      <c r="X7" s="601">
        <v>123552</v>
      </c>
      <c r="Y7" s="601">
        <v>98859</v>
      </c>
      <c r="Z7" s="601">
        <v>222411</v>
      </c>
      <c r="AA7" s="601">
        <v>5783775</v>
      </c>
      <c r="AB7" s="601">
        <v>4516256</v>
      </c>
      <c r="AC7" s="601">
        <v>10300031</v>
      </c>
    </row>
    <row r="8" spans="1:29" ht="17.25" customHeight="1" x14ac:dyDescent="0.35">
      <c r="A8" s="655"/>
      <c r="B8" s="530" t="s">
        <v>958</v>
      </c>
      <c r="C8" s="601">
        <v>101088</v>
      </c>
      <c r="D8" s="601">
        <v>83288</v>
      </c>
      <c r="E8" s="601">
        <v>184376</v>
      </c>
      <c r="F8" s="601">
        <v>2399</v>
      </c>
      <c r="G8" s="601">
        <v>4124</v>
      </c>
      <c r="H8" s="601">
        <v>6523</v>
      </c>
      <c r="I8" s="601">
        <v>1233754</v>
      </c>
      <c r="J8" s="601">
        <v>1328132</v>
      </c>
      <c r="K8" s="601">
        <v>2561886</v>
      </c>
      <c r="L8" s="601">
        <v>3796731</v>
      </c>
      <c r="M8" s="601">
        <v>2438634</v>
      </c>
      <c r="N8" s="601">
        <v>6235365</v>
      </c>
      <c r="O8" s="601">
        <v>78555</v>
      </c>
      <c r="P8" s="601">
        <v>61952</v>
      </c>
      <c r="Q8" s="601">
        <v>140507</v>
      </c>
      <c r="R8" s="601">
        <v>178134</v>
      </c>
      <c r="S8" s="601">
        <v>99710</v>
      </c>
      <c r="T8" s="601">
        <v>277844</v>
      </c>
      <c r="U8" s="601">
        <v>20982</v>
      </c>
      <c r="V8" s="601">
        <v>16307</v>
      </c>
      <c r="W8" s="601">
        <v>37289</v>
      </c>
      <c r="X8" s="601">
        <v>109312</v>
      </c>
      <c r="Y8" s="601">
        <v>85243</v>
      </c>
      <c r="Z8" s="601">
        <v>194555</v>
      </c>
      <c r="AA8" s="601">
        <v>5520955</v>
      </c>
      <c r="AB8" s="601">
        <v>4117390</v>
      </c>
      <c r="AC8" s="601">
        <v>9638345</v>
      </c>
    </row>
    <row r="9" spans="1:29" ht="17.25" customHeight="1" x14ac:dyDescent="0.35">
      <c r="A9" s="655"/>
      <c r="B9" s="530" t="s">
        <v>957</v>
      </c>
      <c r="C9" s="602">
        <v>101450</v>
      </c>
      <c r="D9" s="602">
        <v>78880</v>
      </c>
      <c r="E9" s="602">
        <v>180330</v>
      </c>
      <c r="F9" s="602">
        <v>4654</v>
      </c>
      <c r="G9" s="602">
        <v>7423</v>
      </c>
      <c r="H9" s="602">
        <v>12077</v>
      </c>
      <c r="I9" s="602">
        <v>1087884</v>
      </c>
      <c r="J9" s="602">
        <v>1236301</v>
      </c>
      <c r="K9" s="602">
        <v>2324185</v>
      </c>
      <c r="L9" s="602">
        <v>3448134</v>
      </c>
      <c r="M9" s="602">
        <v>2320019</v>
      </c>
      <c r="N9" s="602">
        <v>5768153</v>
      </c>
      <c r="O9" s="602">
        <v>95077</v>
      </c>
      <c r="P9" s="602">
        <v>73561</v>
      </c>
      <c r="Q9" s="602">
        <v>168638</v>
      </c>
      <c r="R9" s="602">
        <v>188412</v>
      </c>
      <c r="S9" s="602">
        <v>124219</v>
      </c>
      <c r="T9" s="602">
        <v>312631</v>
      </c>
      <c r="U9" s="602">
        <v>50842</v>
      </c>
      <c r="V9" s="602">
        <v>33396</v>
      </c>
      <c r="W9" s="602">
        <v>84238</v>
      </c>
      <c r="X9" s="602">
        <v>102031</v>
      </c>
      <c r="Y9" s="602">
        <v>75909</v>
      </c>
      <c r="Z9" s="602">
        <v>177940</v>
      </c>
      <c r="AA9" s="602">
        <v>5078484</v>
      </c>
      <c r="AB9" s="602">
        <v>3949708</v>
      </c>
      <c r="AC9" s="602">
        <v>9028192</v>
      </c>
    </row>
    <row r="10" spans="1:29" ht="17.25" customHeight="1" x14ac:dyDescent="0.35">
      <c r="A10" s="655"/>
      <c r="B10" s="530" t="s">
        <v>956</v>
      </c>
      <c r="C10" s="602">
        <v>99659</v>
      </c>
      <c r="D10" s="602">
        <v>78217</v>
      </c>
      <c r="E10" s="602">
        <v>177876</v>
      </c>
      <c r="F10" s="602">
        <v>6461</v>
      </c>
      <c r="G10" s="602">
        <v>9413</v>
      </c>
      <c r="H10" s="602">
        <v>15874</v>
      </c>
      <c r="I10" s="602">
        <v>983466</v>
      </c>
      <c r="J10" s="602">
        <v>1113085</v>
      </c>
      <c r="K10" s="602">
        <v>2096551</v>
      </c>
      <c r="L10" s="602">
        <v>3160539</v>
      </c>
      <c r="M10" s="602">
        <v>2061807</v>
      </c>
      <c r="N10" s="602">
        <v>5222346</v>
      </c>
      <c r="O10" s="602">
        <v>74632</v>
      </c>
      <c r="P10" s="602">
        <v>63053</v>
      </c>
      <c r="Q10" s="602">
        <v>137685</v>
      </c>
      <c r="R10" s="602">
        <v>171993</v>
      </c>
      <c r="S10" s="602">
        <v>104165</v>
      </c>
      <c r="T10" s="602">
        <v>276158</v>
      </c>
      <c r="U10" s="602">
        <v>32798</v>
      </c>
      <c r="V10" s="602">
        <v>28051</v>
      </c>
      <c r="W10" s="602">
        <v>60849</v>
      </c>
      <c r="X10" s="602">
        <v>87722</v>
      </c>
      <c r="Y10" s="602">
        <v>63307</v>
      </c>
      <c r="Z10" s="602">
        <v>151029</v>
      </c>
      <c r="AA10" s="602">
        <v>4617270</v>
      </c>
      <c r="AB10" s="602">
        <v>3521098</v>
      </c>
      <c r="AC10" s="602">
        <v>8138368</v>
      </c>
    </row>
    <row r="11" spans="1:29" ht="17.25" customHeight="1" x14ac:dyDescent="0.35">
      <c r="A11" s="655">
        <v>1</v>
      </c>
      <c r="B11" s="973" t="s">
        <v>2</v>
      </c>
      <c r="C11" s="974"/>
      <c r="D11" s="974"/>
      <c r="E11" s="974"/>
      <c r="F11" s="974"/>
      <c r="G11" s="974"/>
      <c r="H11" s="974"/>
      <c r="I11" s="974"/>
      <c r="J11" s="974"/>
      <c r="K11" s="974"/>
      <c r="L11" s="974"/>
      <c r="M11" s="974"/>
      <c r="N11" s="974"/>
      <c r="O11" s="974"/>
      <c r="P11" s="974"/>
      <c r="Q11" s="974"/>
      <c r="R11" s="974"/>
      <c r="S11" s="974"/>
      <c r="T11" s="974"/>
      <c r="U11" s="974"/>
      <c r="V11" s="974"/>
      <c r="W11" s="974"/>
      <c r="X11" s="974"/>
      <c r="Y11" s="974"/>
      <c r="Z11" s="974"/>
      <c r="AA11" s="974"/>
      <c r="AB11" s="974"/>
      <c r="AC11" s="974"/>
    </row>
    <row r="12" spans="1:29" ht="17.25" customHeight="1" x14ac:dyDescent="0.35">
      <c r="A12" s="655"/>
      <c r="B12" s="529" t="s">
        <v>960</v>
      </c>
      <c r="C12" s="616">
        <v>18929</v>
      </c>
      <c r="D12" s="616">
        <v>16689</v>
      </c>
      <c r="E12" s="616">
        <v>35618</v>
      </c>
      <c r="F12" s="616">
        <v>14</v>
      </c>
      <c r="G12" s="616">
        <v>1</v>
      </c>
      <c r="H12" s="616">
        <v>15</v>
      </c>
      <c r="I12" s="616">
        <v>77311</v>
      </c>
      <c r="J12" s="616">
        <v>77078</v>
      </c>
      <c r="K12" s="616">
        <v>154389</v>
      </c>
      <c r="L12" s="616">
        <v>293440</v>
      </c>
      <c r="M12" s="616">
        <v>274888</v>
      </c>
      <c r="N12" s="616">
        <v>568328</v>
      </c>
      <c r="O12" s="616">
        <v>2736</v>
      </c>
      <c r="P12" s="616">
        <v>2695</v>
      </c>
      <c r="Q12" s="616">
        <v>5431</v>
      </c>
      <c r="R12" s="616">
        <v>7586</v>
      </c>
      <c r="S12" s="616">
        <v>3025</v>
      </c>
      <c r="T12" s="616">
        <v>10611</v>
      </c>
      <c r="U12" s="616">
        <v>3285</v>
      </c>
      <c r="V12" s="616">
        <v>2483</v>
      </c>
      <c r="W12" s="616">
        <v>5768</v>
      </c>
      <c r="X12" s="616">
        <v>8342</v>
      </c>
      <c r="Y12" s="616">
        <v>6965</v>
      </c>
      <c r="Z12" s="616">
        <v>15307</v>
      </c>
      <c r="AA12" s="616">
        <v>411643</v>
      </c>
      <c r="AB12" s="616">
        <v>383824</v>
      </c>
      <c r="AC12" s="616">
        <v>795467</v>
      </c>
    </row>
    <row r="13" spans="1:29" ht="17.25" customHeight="1" x14ac:dyDescent="0.35">
      <c r="A13" s="655"/>
      <c r="B13" s="530" t="s">
        <v>959</v>
      </c>
      <c r="C13" s="601">
        <v>15973</v>
      </c>
      <c r="D13" s="601">
        <v>12933</v>
      </c>
      <c r="E13" s="601">
        <v>28906</v>
      </c>
      <c r="F13" s="601">
        <v>260</v>
      </c>
      <c r="G13" s="601">
        <v>237</v>
      </c>
      <c r="H13" s="601">
        <v>497</v>
      </c>
      <c r="I13" s="601">
        <v>71432</v>
      </c>
      <c r="J13" s="601">
        <v>69196</v>
      </c>
      <c r="K13" s="601">
        <v>140628</v>
      </c>
      <c r="L13" s="601">
        <v>272488</v>
      </c>
      <c r="M13" s="601">
        <v>250704</v>
      </c>
      <c r="N13" s="601">
        <v>523192</v>
      </c>
      <c r="O13" s="601">
        <v>1863</v>
      </c>
      <c r="P13" s="601">
        <v>2045</v>
      </c>
      <c r="Q13" s="601">
        <v>3908</v>
      </c>
      <c r="R13" s="601">
        <v>8156</v>
      </c>
      <c r="S13" s="601">
        <v>2537</v>
      </c>
      <c r="T13" s="601">
        <v>10693</v>
      </c>
      <c r="U13" s="601">
        <v>3200</v>
      </c>
      <c r="V13" s="601">
        <v>1310</v>
      </c>
      <c r="W13" s="601">
        <v>4510</v>
      </c>
      <c r="X13" s="601">
        <v>7318</v>
      </c>
      <c r="Y13" s="601">
        <v>5904</v>
      </c>
      <c r="Z13" s="601">
        <v>13222</v>
      </c>
      <c r="AA13" s="601">
        <v>380690</v>
      </c>
      <c r="AB13" s="601">
        <v>344866</v>
      </c>
      <c r="AC13" s="601">
        <v>725556</v>
      </c>
    </row>
    <row r="14" spans="1:29" ht="17.25" customHeight="1" x14ac:dyDescent="0.35">
      <c r="A14" s="655"/>
      <c r="B14" s="530" t="s">
        <v>958</v>
      </c>
      <c r="C14" s="601">
        <v>11695</v>
      </c>
      <c r="D14" s="601">
        <v>10234</v>
      </c>
      <c r="E14" s="601">
        <v>21929</v>
      </c>
      <c r="F14" s="601">
        <v>735</v>
      </c>
      <c r="G14" s="601">
        <v>713</v>
      </c>
      <c r="H14" s="601">
        <v>1448</v>
      </c>
      <c r="I14" s="601">
        <v>70543</v>
      </c>
      <c r="J14" s="601">
        <v>68537</v>
      </c>
      <c r="K14" s="601">
        <v>139080</v>
      </c>
      <c r="L14" s="601">
        <v>269062</v>
      </c>
      <c r="M14" s="601">
        <v>238949</v>
      </c>
      <c r="N14" s="601">
        <v>508011</v>
      </c>
      <c r="O14" s="601">
        <v>2700</v>
      </c>
      <c r="P14" s="601">
        <v>2792</v>
      </c>
      <c r="Q14" s="601">
        <v>5492</v>
      </c>
      <c r="R14" s="601">
        <v>6997</v>
      </c>
      <c r="S14" s="601">
        <v>2729</v>
      </c>
      <c r="T14" s="601">
        <v>9726</v>
      </c>
      <c r="U14" s="601">
        <v>2412</v>
      </c>
      <c r="V14" s="601">
        <v>1025</v>
      </c>
      <c r="W14" s="601">
        <v>3437</v>
      </c>
      <c r="X14" s="601">
        <v>6780</v>
      </c>
      <c r="Y14" s="601">
        <v>5362</v>
      </c>
      <c r="Z14" s="601">
        <v>12142</v>
      </c>
      <c r="AA14" s="601">
        <v>370924</v>
      </c>
      <c r="AB14" s="601">
        <v>330341</v>
      </c>
      <c r="AC14" s="601">
        <v>701265</v>
      </c>
    </row>
    <row r="15" spans="1:29" ht="17.25" customHeight="1" x14ac:dyDescent="0.35">
      <c r="A15" s="655"/>
      <c r="B15" s="530" t="s">
        <v>957</v>
      </c>
      <c r="C15" s="601">
        <v>12485</v>
      </c>
      <c r="D15" s="601">
        <v>10637</v>
      </c>
      <c r="E15" s="601">
        <v>23122</v>
      </c>
      <c r="F15" s="601">
        <v>1294</v>
      </c>
      <c r="G15" s="601">
        <v>1127</v>
      </c>
      <c r="H15" s="601">
        <v>2421</v>
      </c>
      <c r="I15" s="601">
        <v>67880</v>
      </c>
      <c r="J15" s="601">
        <v>65510</v>
      </c>
      <c r="K15" s="601">
        <v>133390</v>
      </c>
      <c r="L15" s="601">
        <v>266929</v>
      </c>
      <c r="M15" s="601">
        <v>249701</v>
      </c>
      <c r="N15" s="601">
        <v>516630</v>
      </c>
      <c r="O15" s="601">
        <v>2492</v>
      </c>
      <c r="P15" s="601">
        <v>1885</v>
      </c>
      <c r="Q15" s="601">
        <v>4377</v>
      </c>
      <c r="R15" s="601">
        <v>6165</v>
      </c>
      <c r="S15" s="601">
        <v>2597</v>
      </c>
      <c r="T15" s="601">
        <v>8762</v>
      </c>
      <c r="U15" s="601">
        <v>2529</v>
      </c>
      <c r="V15" s="601">
        <v>1296</v>
      </c>
      <c r="W15" s="601">
        <v>3825</v>
      </c>
      <c r="X15" s="601">
        <v>6316</v>
      </c>
      <c r="Y15" s="601">
        <v>4933</v>
      </c>
      <c r="Z15" s="601">
        <v>11249</v>
      </c>
      <c r="AA15" s="601">
        <v>366090</v>
      </c>
      <c r="AB15" s="601">
        <v>337686</v>
      </c>
      <c r="AC15" s="601">
        <v>703776</v>
      </c>
    </row>
    <row r="16" spans="1:29" ht="17.25" customHeight="1" x14ac:dyDescent="0.35">
      <c r="A16" s="655"/>
      <c r="B16" s="530" t="s">
        <v>956</v>
      </c>
      <c r="C16" s="601">
        <v>13253</v>
      </c>
      <c r="D16" s="601">
        <v>10941</v>
      </c>
      <c r="E16" s="601">
        <v>24194</v>
      </c>
      <c r="F16" s="601">
        <v>1193</v>
      </c>
      <c r="G16" s="601">
        <v>1083</v>
      </c>
      <c r="H16" s="601">
        <v>2276</v>
      </c>
      <c r="I16" s="601">
        <v>63195</v>
      </c>
      <c r="J16" s="601">
        <v>60610</v>
      </c>
      <c r="K16" s="601">
        <v>123805</v>
      </c>
      <c r="L16" s="601">
        <v>277315</v>
      </c>
      <c r="M16" s="601">
        <v>262955</v>
      </c>
      <c r="N16" s="601">
        <v>540270</v>
      </c>
      <c r="O16" s="601">
        <v>2713</v>
      </c>
      <c r="P16" s="601">
        <v>2235</v>
      </c>
      <c r="Q16" s="601">
        <v>4948</v>
      </c>
      <c r="R16" s="601">
        <v>6127</v>
      </c>
      <c r="S16" s="601">
        <v>2266</v>
      </c>
      <c r="T16" s="601">
        <v>8393</v>
      </c>
      <c r="U16" s="601">
        <v>3275</v>
      </c>
      <c r="V16" s="601">
        <v>1497</v>
      </c>
      <c r="W16" s="601">
        <v>4772</v>
      </c>
      <c r="X16" s="601">
        <v>6295</v>
      </c>
      <c r="Y16" s="601">
        <v>5072</v>
      </c>
      <c r="Z16" s="601">
        <v>11367</v>
      </c>
      <c r="AA16" s="601">
        <v>373366</v>
      </c>
      <c r="AB16" s="601">
        <v>346659</v>
      </c>
      <c r="AC16" s="601">
        <v>720025</v>
      </c>
    </row>
    <row r="17" spans="1:29" ht="17.25" customHeight="1" x14ac:dyDescent="0.35">
      <c r="A17" s="655">
        <v>2</v>
      </c>
      <c r="B17" s="973" t="s">
        <v>3</v>
      </c>
      <c r="C17" s="974"/>
      <c r="D17" s="974"/>
      <c r="E17" s="974"/>
      <c r="F17" s="974"/>
      <c r="G17" s="974"/>
      <c r="H17" s="974"/>
      <c r="I17" s="974"/>
      <c r="J17" s="974"/>
      <c r="K17" s="974"/>
      <c r="L17" s="974"/>
      <c r="M17" s="974"/>
      <c r="N17" s="974"/>
      <c r="O17" s="974"/>
      <c r="P17" s="974"/>
      <c r="Q17" s="974"/>
      <c r="R17" s="974"/>
      <c r="S17" s="974"/>
      <c r="T17" s="974"/>
      <c r="U17" s="974"/>
      <c r="V17" s="974"/>
      <c r="W17" s="974"/>
      <c r="X17" s="974"/>
      <c r="Y17" s="974"/>
      <c r="Z17" s="974"/>
      <c r="AA17" s="974"/>
      <c r="AB17" s="974"/>
      <c r="AC17" s="974"/>
    </row>
    <row r="18" spans="1:29" ht="17.25" customHeight="1" x14ac:dyDescent="0.35">
      <c r="A18" s="655"/>
      <c r="B18" s="529" t="s">
        <v>960</v>
      </c>
      <c r="C18" s="616">
        <v>374</v>
      </c>
      <c r="D18" s="616">
        <v>523</v>
      </c>
      <c r="E18" s="616">
        <v>897</v>
      </c>
      <c r="F18" s="616"/>
      <c r="G18" s="616"/>
      <c r="H18" s="616"/>
      <c r="I18" s="616">
        <v>201783</v>
      </c>
      <c r="J18" s="616">
        <v>274488</v>
      </c>
      <c r="K18" s="616">
        <v>476271</v>
      </c>
      <c r="L18" s="616">
        <v>428656</v>
      </c>
      <c r="M18" s="616">
        <v>332102</v>
      </c>
      <c r="N18" s="616">
        <v>760758</v>
      </c>
      <c r="O18" s="616">
        <v>12048</v>
      </c>
      <c r="P18" s="616">
        <v>9628</v>
      </c>
      <c r="Q18" s="616">
        <v>21676</v>
      </c>
      <c r="R18" s="616">
        <v>9010</v>
      </c>
      <c r="S18" s="616">
        <v>29868</v>
      </c>
      <c r="T18" s="616">
        <v>38878</v>
      </c>
      <c r="U18" s="616">
        <v>1</v>
      </c>
      <c r="V18" s="616"/>
      <c r="W18" s="616">
        <v>1</v>
      </c>
      <c r="X18" s="616"/>
      <c r="Y18" s="616"/>
      <c r="Z18" s="616"/>
      <c r="AA18" s="616">
        <v>651872</v>
      </c>
      <c r="AB18" s="616">
        <v>646609</v>
      </c>
      <c r="AC18" s="616">
        <v>1298481</v>
      </c>
    </row>
    <row r="19" spans="1:29" ht="17.25" customHeight="1" x14ac:dyDescent="0.35">
      <c r="A19" s="655"/>
      <c r="B19" s="530" t="s">
        <v>959</v>
      </c>
      <c r="C19" s="601">
        <v>77</v>
      </c>
      <c r="D19" s="601">
        <v>105</v>
      </c>
      <c r="E19" s="601">
        <v>182</v>
      </c>
      <c r="F19" s="601">
        <v>0</v>
      </c>
      <c r="G19" s="601"/>
      <c r="H19" s="601"/>
      <c r="I19" s="601">
        <v>196571</v>
      </c>
      <c r="J19" s="601">
        <v>255345</v>
      </c>
      <c r="K19" s="601">
        <v>451916</v>
      </c>
      <c r="L19" s="601">
        <v>456539</v>
      </c>
      <c r="M19" s="601">
        <v>288995</v>
      </c>
      <c r="N19" s="601">
        <v>745534</v>
      </c>
      <c r="O19" s="601">
        <v>16890</v>
      </c>
      <c r="P19" s="601">
        <v>11623</v>
      </c>
      <c r="Q19" s="601">
        <v>28513</v>
      </c>
      <c r="R19" s="601">
        <v>8758</v>
      </c>
      <c r="S19" s="601">
        <v>26601</v>
      </c>
      <c r="T19" s="601">
        <v>35359</v>
      </c>
      <c r="U19" s="601">
        <v>90</v>
      </c>
      <c r="V19" s="601">
        <v>61</v>
      </c>
      <c r="W19" s="601">
        <v>151</v>
      </c>
      <c r="X19" s="601">
        <v>0</v>
      </c>
      <c r="Y19" s="601"/>
      <c r="Z19" s="601"/>
      <c r="AA19" s="601">
        <v>678925</v>
      </c>
      <c r="AB19" s="601">
        <v>582730</v>
      </c>
      <c r="AC19" s="601">
        <v>1261655</v>
      </c>
    </row>
    <row r="20" spans="1:29" ht="17.25" customHeight="1" x14ac:dyDescent="0.35">
      <c r="A20" s="655"/>
      <c r="B20" s="530" t="s">
        <v>958</v>
      </c>
      <c r="C20" s="601">
        <v>82</v>
      </c>
      <c r="D20" s="601">
        <v>86</v>
      </c>
      <c r="E20" s="601">
        <v>168</v>
      </c>
      <c r="F20" s="601"/>
      <c r="G20" s="601"/>
      <c r="H20" s="601"/>
      <c r="I20" s="601">
        <v>189475</v>
      </c>
      <c r="J20" s="601">
        <v>242496</v>
      </c>
      <c r="K20" s="601">
        <v>431971</v>
      </c>
      <c r="L20" s="601">
        <v>471918</v>
      </c>
      <c r="M20" s="601">
        <v>292603</v>
      </c>
      <c r="N20" s="601">
        <v>764521</v>
      </c>
      <c r="O20" s="601">
        <v>17230</v>
      </c>
      <c r="P20" s="601">
        <v>11601</v>
      </c>
      <c r="Q20" s="601">
        <v>28831</v>
      </c>
      <c r="R20" s="601">
        <v>8938</v>
      </c>
      <c r="S20" s="601">
        <v>26412</v>
      </c>
      <c r="T20" s="601">
        <v>35350</v>
      </c>
      <c r="U20" s="601"/>
      <c r="V20" s="601"/>
      <c r="W20" s="601"/>
      <c r="X20" s="601"/>
      <c r="Y20" s="601"/>
      <c r="Z20" s="601"/>
      <c r="AA20" s="601">
        <v>687643</v>
      </c>
      <c r="AB20" s="601">
        <v>573198</v>
      </c>
      <c r="AC20" s="601">
        <v>1260841</v>
      </c>
    </row>
    <row r="21" spans="1:29" ht="17.25" customHeight="1" x14ac:dyDescent="0.35">
      <c r="A21" s="655"/>
      <c r="B21" s="530" t="s">
        <v>957</v>
      </c>
      <c r="C21" s="601">
        <v>66</v>
      </c>
      <c r="D21" s="601">
        <v>99</v>
      </c>
      <c r="E21" s="601">
        <v>165</v>
      </c>
      <c r="F21" s="601">
        <v>0</v>
      </c>
      <c r="G21" s="601">
        <v>0</v>
      </c>
      <c r="H21" s="601">
        <v>0</v>
      </c>
      <c r="I21" s="601">
        <v>183991</v>
      </c>
      <c r="J21" s="601">
        <v>225191</v>
      </c>
      <c r="K21" s="601">
        <v>409182</v>
      </c>
      <c r="L21" s="601">
        <v>469328</v>
      </c>
      <c r="M21" s="601">
        <v>271482</v>
      </c>
      <c r="N21" s="601">
        <v>740810</v>
      </c>
      <c r="O21" s="601">
        <v>25544</v>
      </c>
      <c r="P21" s="601">
        <v>14798</v>
      </c>
      <c r="Q21" s="601">
        <v>40342</v>
      </c>
      <c r="R21" s="601">
        <v>19080</v>
      </c>
      <c r="S21" s="601">
        <v>42707</v>
      </c>
      <c r="T21" s="601">
        <v>61787</v>
      </c>
      <c r="U21" s="601">
        <v>0</v>
      </c>
      <c r="V21" s="601">
        <v>0</v>
      </c>
      <c r="W21" s="601">
        <v>0</v>
      </c>
      <c r="X21" s="601">
        <v>0</v>
      </c>
      <c r="Y21" s="601">
        <v>0</v>
      </c>
      <c r="Z21" s="601">
        <v>0</v>
      </c>
      <c r="AA21" s="601">
        <v>698009</v>
      </c>
      <c r="AB21" s="601">
        <v>554277</v>
      </c>
      <c r="AC21" s="601">
        <v>1252286</v>
      </c>
    </row>
    <row r="22" spans="1:29" ht="17.25" customHeight="1" x14ac:dyDescent="0.35">
      <c r="A22" s="655"/>
      <c r="B22" s="530" t="s">
        <v>956</v>
      </c>
      <c r="C22" s="601">
        <v>21</v>
      </c>
      <c r="D22" s="601">
        <v>52</v>
      </c>
      <c r="E22" s="601">
        <v>73</v>
      </c>
      <c r="F22" s="601">
        <v>1</v>
      </c>
      <c r="G22" s="601">
        <v>0</v>
      </c>
      <c r="H22" s="601">
        <v>1</v>
      </c>
      <c r="I22" s="601">
        <v>169982</v>
      </c>
      <c r="J22" s="601">
        <v>226624</v>
      </c>
      <c r="K22" s="601">
        <v>396606</v>
      </c>
      <c r="L22" s="601">
        <v>447586</v>
      </c>
      <c r="M22" s="601">
        <v>260436</v>
      </c>
      <c r="N22" s="601">
        <v>708022</v>
      </c>
      <c r="O22" s="601">
        <v>18123</v>
      </c>
      <c r="P22" s="601">
        <v>10989</v>
      </c>
      <c r="Q22" s="601">
        <v>29112</v>
      </c>
      <c r="R22" s="601">
        <v>9732</v>
      </c>
      <c r="S22" s="601">
        <v>23299</v>
      </c>
      <c r="T22" s="601">
        <v>33031</v>
      </c>
      <c r="U22" s="601">
        <v>223</v>
      </c>
      <c r="V22" s="601">
        <v>268</v>
      </c>
      <c r="W22" s="601">
        <v>491</v>
      </c>
      <c r="X22" s="601">
        <v>0</v>
      </c>
      <c r="Y22" s="601">
        <v>0</v>
      </c>
      <c r="Z22" s="601">
        <v>0</v>
      </c>
      <c r="AA22" s="601">
        <v>645668</v>
      </c>
      <c r="AB22" s="601">
        <v>521668</v>
      </c>
      <c r="AC22" s="601">
        <v>1167336</v>
      </c>
    </row>
    <row r="23" spans="1:29" ht="17.25" customHeight="1" x14ac:dyDescent="0.35">
      <c r="A23" s="655">
        <v>3</v>
      </c>
      <c r="B23" s="973" t="s">
        <v>4</v>
      </c>
      <c r="C23" s="974"/>
      <c r="D23" s="974"/>
      <c r="E23" s="974"/>
      <c r="F23" s="974"/>
      <c r="G23" s="974"/>
      <c r="H23" s="974"/>
      <c r="I23" s="974"/>
      <c r="J23" s="974"/>
      <c r="K23" s="974"/>
      <c r="L23" s="974"/>
      <c r="M23" s="974"/>
      <c r="N23" s="974"/>
      <c r="O23" s="974"/>
      <c r="P23" s="974"/>
      <c r="Q23" s="974"/>
      <c r="R23" s="974"/>
      <c r="S23" s="974"/>
      <c r="T23" s="974"/>
      <c r="U23" s="974"/>
      <c r="V23" s="974"/>
      <c r="W23" s="974"/>
      <c r="X23" s="974"/>
      <c r="Y23" s="974"/>
      <c r="Z23" s="974"/>
      <c r="AA23" s="974"/>
      <c r="AB23" s="974"/>
      <c r="AC23" s="974"/>
    </row>
    <row r="24" spans="1:29" ht="17.25" customHeight="1" x14ac:dyDescent="0.35">
      <c r="A24" s="655"/>
      <c r="B24" s="529" t="s">
        <v>960</v>
      </c>
      <c r="C24" s="616">
        <v>30086</v>
      </c>
      <c r="D24" s="616">
        <v>15917</v>
      </c>
      <c r="E24" s="616">
        <v>46003</v>
      </c>
      <c r="F24" s="616">
        <v>24</v>
      </c>
      <c r="G24" s="616">
        <v>126</v>
      </c>
      <c r="H24" s="616">
        <v>150</v>
      </c>
      <c r="I24" s="616">
        <v>57744</v>
      </c>
      <c r="J24" s="616">
        <v>25777</v>
      </c>
      <c r="K24" s="616">
        <v>83521</v>
      </c>
      <c r="L24" s="616">
        <v>168344</v>
      </c>
      <c r="M24" s="616">
        <v>60629</v>
      </c>
      <c r="N24" s="616">
        <v>228973</v>
      </c>
      <c r="O24" s="616">
        <v>953</v>
      </c>
      <c r="P24" s="616">
        <v>529</v>
      </c>
      <c r="Q24" s="616">
        <v>1482</v>
      </c>
      <c r="R24" s="616">
        <v>792</v>
      </c>
      <c r="S24" s="616">
        <v>531</v>
      </c>
      <c r="T24" s="616">
        <v>1323</v>
      </c>
      <c r="U24" s="616">
        <v>15659</v>
      </c>
      <c r="V24" s="616">
        <v>14801</v>
      </c>
      <c r="W24" s="616">
        <v>30460</v>
      </c>
      <c r="X24" s="616">
        <v>17682</v>
      </c>
      <c r="Y24" s="616">
        <v>7493</v>
      </c>
      <c r="Z24" s="616">
        <v>25175</v>
      </c>
      <c r="AA24" s="616">
        <v>291284</v>
      </c>
      <c r="AB24" s="616">
        <v>125803</v>
      </c>
      <c r="AC24" s="616">
        <v>417087</v>
      </c>
    </row>
    <row r="25" spans="1:29" ht="17.25" customHeight="1" x14ac:dyDescent="0.35">
      <c r="A25" s="655"/>
      <c r="B25" s="530" t="s">
        <v>959</v>
      </c>
      <c r="C25" s="601">
        <v>27745</v>
      </c>
      <c r="D25" s="601">
        <v>14203</v>
      </c>
      <c r="E25" s="601">
        <v>41948</v>
      </c>
      <c r="F25" s="601">
        <v>71</v>
      </c>
      <c r="G25" s="601">
        <v>78</v>
      </c>
      <c r="H25" s="601">
        <v>149</v>
      </c>
      <c r="I25" s="601">
        <v>57976</v>
      </c>
      <c r="J25" s="601">
        <v>24602</v>
      </c>
      <c r="K25" s="601">
        <v>82578</v>
      </c>
      <c r="L25" s="601">
        <v>143864</v>
      </c>
      <c r="M25" s="601">
        <v>50415</v>
      </c>
      <c r="N25" s="601">
        <v>194279</v>
      </c>
      <c r="O25" s="601">
        <v>312</v>
      </c>
      <c r="P25" s="601">
        <v>172</v>
      </c>
      <c r="Q25" s="601">
        <v>484</v>
      </c>
      <c r="R25" s="601">
        <v>5793</v>
      </c>
      <c r="S25" s="601">
        <v>2267</v>
      </c>
      <c r="T25" s="601">
        <v>8060</v>
      </c>
      <c r="U25" s="601">
        <v>14473</v>
      </c>
      <c r="V25" s="601">
        <v>5534</v>
      </c>
      <c r="W25" s="601">
        <v>20007</v>
      </c>
      <c r="X25" s="601">
        <v>16559</v>
      </c>
      <c r="Y25" s="601">
        <v>6678</v>
      </c>
      <c r="Z25" s="601">
        <v>23237</v>
      </c>
      <c r="AA25" s="601">
        <v>266793</v>
      </c>
      <c r="AB25" s="601">
        <v>103949</v>
      </c>
      <c r="AC25" s="601">
        <v>370742</v>
      </c>
    </row>
    <row r="26" spans="1:29" ht="17.25" customHeight="1" x14ac:dyDescent="0.35">
      <c r="A26" s="655"/>
      <c r="B26" s="530" t="s">
        <v>958</v>
      </c>
      <c r="C26" s="601">
        <v>28783</v>
      </c>
      <c r="D26" s="601">
        <v>13904</v>
      </c>
      <c r="E26" s="601">
        <v>42687</v>
      </c>
      <c r="F26" s="601">
        <v>48</v>
      </c>
      <c r="G26" s="601">
        <v>118</v>
      </c>
      <c r="H26" s="601">
        <v>166</v>
      </c>
      <c r="I26" s="601">
        <v>55712</v>
      </c>
      <c r="J26" s="601">
        <v>22568</v>
      </c>
      <c r="K26" s="601">
        <v>78280</v>
      </c>
      <c r="L26" s="601">
        <v>134370</v>
      </c>
      <c r="M26" s="601">
        <v>44912</v>
      </c>
      <c r="N26" s="601">
        <v>179282</v>
      </c>
      <c r="O26" s="601">
        <v>771</v>
      </c>
      <c r="P26" s="601">
        <v>263</v>
      </c>
      <c r="Q26" s="601">
        <v>1034</v>
      </c>
      <c r="R26" s="601">
        <v>415</v>
      </c>
      <c r="S26" s="601">
        <v>175</v>
      </c>
      <c r="T26" s="601">
        <v>590</v>
      </c>
      <c r="U26" s="601">
        <v>1370</v>
      </c>
      <c r="V26" s="601">
        <v>724</v>
      </c>
      <c r="W26" s="601">
        <v>2094</v>
      </c>
      <c r="X26" s="601">
        <v>15741</v>
      </c>
      <c r="Y26" s="601">
        <v>5858</v>
      </c>
      <c r="Z26" s="601">
        <v>21599</v>
      </c>
      <c r="AA26" s="601">
        <v>237210</v>
      </c>
      <c r="AB26" s="601">
        <v>88522</v>
      </c>
      <c r="AC26" s="601">
        <v>325732</v>
      </c>
    </row>
    <row r="27" spans="1:29" ht="17.25" customHeight="1" x14ac:dyDescent="0.35">
      <c r="A27" s="655"/>
      <c r="B27" s="530" t="s">
        <v>957</v>
      </c>
      <c r="C27" s="601">
        <v>28930</v>
      </c>
      <c r="D27" s="601">
        <v>13277</v>
      </c>
      <c r="E27" s="601">
        <v>42207</v>
      </c>
      <c r="F27" s="601">
        <v>56</v>
      </c>
      <c r="G27" s="601">
        <v>189</v>
      </c>
      <c r="H27" s="601">
        <v>245</v>
      </c>
      <c r="I27" s="601">
        <v>49411</v>
      </c>
      <c r="J27" s="601">
        <v>19698</v>
      </c>
      <c r="K27" s="601">
        <v>69109</v>
      </c>
      <c r="L27" s="601">
        <v>127616</v>
      </c>
      <c r="M27" s="601">
        <v>39382</v>
      </c>
      <c r="N27" s="601">
        <v>166998</v>
      </c>
      <c r="O27" s="601">
        <v>1230</v>
      </c>
      <c r="P27" s="601">
        <v>510</v>
      </c>
      <c r="Q27" s="601">
        <v>1740</v>
      </c>
      <c r="R27" s="601">
        <v>355</v>
      </c>
      <c r="S27" s="601">
        <v>153</v>
      </c>
      <c r="T27" s="601">
        <v>508</v>
      </c>
      <c r="U27" s="601">
        <v>2036</v>
      </c>
      <c r="V27" s="601">
        <v>740</v>
      </c>
      <c r="W27" s="601">
        <v>2776</v>
      </c>
      <c r="X27" s="601">
        <v>17467</v>
      </c>
      <c r="Y27" s="601">
        <v>5463</v>
      </c>
      <c r="Z27" s="601">
        <v>22930</v>
      </c>
      <c r="AA27" s="601">
        <v>227101</v>
      </c>
      <c r="AB27" s="601">
        <v>79412</v>
      </c>
      <c r="AC27" s="601">
        <v>306513</v>
      </c>
    </row>
    <row r="28" spans="1:29" ht="17.25" customHeight="1" x14ac:dyDescent="0.35">
      <c r="A28" s="655"/>
      <c r="B28" s="530" t="s">
        <v>956</v>
      </c>
      <c r="C28" s="601">
        <v>27993</v>
      </c>
      <c r="D28" s="601">
        <v>13305</v>
      </c>
      <c r="E28" s="601">
        <v>41298</v>
      </c>
      <c r="F28" s="601">
        <v>78</v>
      </c>
      <c r="G28" s="601">
        <v>172</v>
      </c>
      <c r="H28" s="601">
        <v>250</v>
      </c>
      <c r="I28" s="601">
        <v>62418</v>
      </c>
      <c r="J28" s="601">
        <v>51405</v>
      </c>
      <c r="K28" s="601">
        <v>83823</v>
      </c>
      <c r="L28" s="601">
        <v>112467</v>
      </c>
      <c r="M28" s="601">
        <v>32401</v>
      </c>
      <c r="N28" s="601">
        <v>144868</v>
      </c>
      <c r="O28" s="601">
        <v>992</v>
      </c>
      <c r="P28" s="601">
        <v>517</v>
      </c>
      <c r="Q28" s="601">
        <v>1509</v>
      </c>
      <c r="R28" s="601">
        <v>242</v>
      </c>
      <c r="S28" s="601">
        <v>90</v>
      </c>
      <c r="T28" s="601">
        <v>332</v>
      </c>
      <c r="U28" s="601">
        <v>1775</v>
      </c>
      <c r="V28" s="601">
        <v>567</v>
      </c>
      <c r="W28" s="601">
        <v>2342</v>
      </c>
      <c r="X28" s="601">
        <v>14819</v>
      </c>
      <c r="Y28" s="601">
        <v>4095</v>
      </c>
      <c r="Z28" s="601">
        <v>18914</v>
      </c>
      <c r="AA28" s="601">
        <v>220784</v>
      </c>
      <c r="AB28" s="601">
        <v>72552</v>
      </c>
      <c r="AC28" s="601">
        <v>293336</v>
      </c>
    </row>
    <row r="29" spans="1:29" ht="17.25" customHeight="1" x14ac:dyDescent="0.35">
      <c r="A29" s="655">
        <v>4</v>
      </c>
      <c r="B29" s="973" t="s">
        <v>9</v>
      </c>
      <c r="C29" s="974"/>
      <c r="D29" s="974"/>
      <c r="E29" s="974"/>
      <c r="F29" s="974"/>
      <c r="G29" s="974"/>
      <c r="H29" s="974"/>
      <c r="I29" s="974"/>
      <c r="J29" s="974"/>
      <c r="K29" s="974"/>
      <c r="L29" s="974"/>
      <c r="M29" s="974"/>
      <c r="N29" s="974"/>
      <c r="O29" s="974"/>
      <c r="P29" s="974"/>
      <c r="Q29" s="974"/>
      <c r="R29" s="974"/>
      <c r="S29" s="974"/>
      <c r="T29" s="974"/>
      <c r="U29" s="974"/>
      <c r="V29" s="974"/>
      <c r="W29" s="974"/>
      <c r="X29" s="974"/>
      <c r="Y29" s="974"/>
      <c r="Z29" s="974"/>
      <c r="AA29" s="974"/>
      <c r="AB29" s="974"/>
      <c r="AC29" s="974"/>
    </row>
    <row r="30" spans="1:29" ht="17.25" customHeight="1" x14ac:dyDescent="0.35">
      <c r="A30" s="655"/>
      <c r="B30" s="529" t="s">
        <v>960</v>
      </c>
      <c r="C30" s="616">
        <v>6003</v>
      </c>
      <c r="D30" s="616">
        <v>3915</v>
      </c>
      <c r="E30" s="616">
        <v>9918</v>
      </c>
      <c r="F30" s="616">
        <v>12</v>
      </c>
      <c r="G30" s="616">
        <v>30</v>
      </c>
      <c r="H30" s="616">
        <v>42</v>
      </c>
      <c r="I30" s="616">
        <v>6129</v>
      </c>
      <c r="J30" s="616">
        <v>3728</v>
      </c>
      <c r="K30" s="616">
        <v>9857</v>
      </c>
      <c r="L30" s="616">
        <v>11400</v>
      </c>
      <c r="M30" s="616">
        <v>4622</v>
      </c>
      <c r="N30" s="616">
        <v>16022</v>
      </c>
      <c r="O30" s="616">
        <v>588</v>
      </c>
      <c r="P30" s="616">
        <v>204</v>
      </c>
      <c r="Q30" s="616">
        <v>792</v>
      </c>
      <c r="R30" s="616">
        <v>1212</v>
      </c>
      <c r="S30" s="616">
        <v>439</v>
      </c>
      <c r="T30" s="616">
        <v>1651</v>
      </c>
      <c r="U30" s="616">
        <v>355</v>
      </c>
      <c r="V30" s="616">
        <v>169</v>
      </c>
      <c r="W30" s="616">
        <v>524</v>
      </c>
      <c r="X30" s="616">
        <v>1749</v>
      </c>
      <c r="Y30" s="616">
        <v>606</v>
      </c>
      <c r="Z30" s="616">
        <v>2355</v>
      </c>
      <c r="AA30" s="616">
        <v>27448</v>
      </c>
      <c r="AB30" s="616">
        <v>13713</v>
      </c>
      <c r="AC30" s="616">
        <v>41161</v>
      </c>
    </row>
    <row r="31" spans="1:29" ht="17.25" customHeight="1" x14ac:dyDescent="0.35">
      <c r="A31" s="655"/>
      <c r="B31" s="530" t="s">
        <v>959</v>
      </c>
      <c r="C31" s="601">
        <v>3157</v>
      </c>
      <c r="D31" s="601">
        <v>1944</v>
      </c>
      <c r="E31" s="601">
        <v>5101</v>
      </c>
      <c r="F31" s="601">
        <v>12</v>
      </c>
      <c r="G31" s="601">
        <v>30</v>
      </c>
      <c r="H31" s="601">
        <v>42</v>
      </c>
      <c r="I31" s="601">
        <v>6084</v>
      </c>
      <c r="J31" s="601">
        <v>3338</v>
      </c>
      <c r="K31" s="601">
        <v>9422</v>
      </c>
      <c r="L31" s="601">
        <v>9191</v>
      </c>
      <c r="M31" s="601">
        <v>3145</v>
      </c>
      <c r="N31" s="601">
        <v>12336</v>
      </c>
      <c r="O31" s="601">
        <v>461</v>
      </c>
      <c r="P31" s="601">
        <v>174</v>
      </c>
      <c r="Q31" s="601">
        <v>635</v>
      </c>
      <c r="R31" s="601">
        <v>1276</v>
      </c>
      <c r="S31" s="601">
        <v>406</v>
      </c>
      <c r="T31" s="601">
        <v>1682</v>
      </c>
      <c r="U31" s="601">
        <v>342</v>
      </c>
      <c r="V31" s="601">
        <v>159</v>
      </c>
      <c r="W31" s="601">
        <v>501</v>
      </c>
      <c r="X31" s="601">
        <v>917</v>
      </c>
      <c r="Y31" s="601">
        <v>332</v>
      </c>
      <c r="Z31" s="601">
        <v>1249</v>
      </c>
      <c r="AA31" s="601">
        <v>21440</v>
      </c>
      <c r="AB31" s="601">
        <v>9528</v>
      </c>
      <c r="AC31" s="601">
        <v>30968</v>
      </c>
    </row>
    <row r="32" spans="1:29" ht="17.25" customHeight="1" x14ac:dyDescent="0.35">
      <c r="A32" s="655"/>
      <c r="B32" s="530" t="s">
        <v>958</v>
      </c>
      <c r="C32" s="601">
        <v>3860</v>
      </c>
      <c r="D32" s="601">
        <v>2150</v>
      </c>
      <c r="E32" s="601">
        <v>6010</v>
      </c>
      <c r="F32" s="601">
        <v>16</v>
      </c>
      <c r="G32" s="601">
        <v>26</v>
      </c>
      <c r="H32" s="601">
        <v>42</v>
      </c>
      <c r="I32" s="601">
        <v>6317</v>
      </c>
      <c r="J32" s="601">
        <v>3360</v>
      </c>
      <c r="K32" s="601">
        <v>9677</v>
      </c>
      <c r="L32" s="601">
        <v>8896</v>
      </c>
      <c r="M32" s="601">
        <v>2759</v>
      </c>
      <c r="N32" s="601">
        <v>11655</v>
      </c>
      <c r="O32" s="601">
        <v>559</v>
      </c>
      <c r="P32" s="601">
        <v>202</v>
      </c>
      <c r="Q32" s="601">
        <v>761</v>
      </c>
      <c r="R32" s="601">
        <v>1306</v>
      </c>
      <c r="S32" s="601">
        <v>400</v>
      </c>
      <c r="T32" s="601">
        <v>1706</v>
      </c>
      <c r="U32" s="601">
        <v>350</v>
      </c>
      <c r="V32" s="601">
        <v>139</v>
      </c>
      <c r="W32" s="601">
        <v>489</v>
      </c>
      <c r="X32" s="601">
        <v>369</v>
      </c>
      <c r="Y32" s="601">
        <v>110</v>
      </c>
      <c r="Z32" s="601">
        <v>479</v>
      </c>
      <c r="AA32" s="601">
        <v>21673</v>
      </c>
      <c r="AB32" s="601">
        <v>9146</v>
      </c>
      <c r="AC32" s="601">
        <v>30819</v>
      </c>
    </row>
    <row r="33" spans="1:29" ht="17.25" customHeight="1" x14ac:dyDescent="0.35">
      <c r="A33" s="655"/>
      <c r="B33" s="530" t="s">
        <v>957</v>
      </c>
      <c r="C33" s="601">
        <v>3813</v>
      </c>
      <c r="D33" s="601">
        <v>2016</v>
      </c>
      <c r="E33" s="601">
        <v>5829</v>
      </c>
      <c r="F33" s="601">
        <v>57</v>
      </c>
      <c r="G33" s="601">
        <v>54</v>
      </c>
      <c r="H33" s="601">
        <v>111</v>
      </c>
      <c r="I33" s="601">
        <v>8290</v>
      </c>
      <c r="J33" s="601">
        <v>4613</v>
      </c>
      <c r="K33" s="601">
        <v>12903</v>
      </c>
      <c r="L33" s="601">
        <v>11192</v>
      </c>
      <c r="M33" s="601">
        <v>5074</v>
      </c>
      <c r="N33" s="601">
        <v>16266</v>
      </c>
      <c r="O33" s="601">
        <v>597</v>
      </c>
      <c r="P33" s="601">
        <v>218</v>
      </c>
      <c r="Q33" s="601">
        <v>815</v>
      </c>
      <c r="R33" s="601">
        <v>1576</v>
      </c>
      <c r="S33" s="601">
        <v>460</v>
      </c>
      <c r="T33" s="601">
        <v>2036</v>
      </c>
      <c r="U33" s="601">
        <v>494</v>
      </c>
      <c r="V33" s="601">
        <v>251</v>
      </c>
      <c r="W33" s="601">
        <v>745</v>
      </c>
      <c r="X33" s="601">
        <v>973</v>
      </c>
      <c r="Y33" s="601">
        <v>224</v>
      </c>
      <c r="Z33" s="601">
        <v>1197</v>
      </c>
      <c r="AA33" s="601">
        <v>26992</v>
      </c>
      <c r="AB33" s="601">
        <v>12910</v>
      </c>
      <c r="AC33" s="601">
        <v>39902</v>
      </c>
    </row>
    <row r="34" spans="1:29" ht="19.5" customHeight="1" x14ac:dyDescent="0.35">
      <c r="A34" s="655"/>
      <c r="B34" s="530" t="s">
        <v>956</v>
      </c>
      <c r="C34" s="601">
        <v>5341</v>
      </c>
      <c r="D34" s="601">
        <v>2627</v>
      </c>
      <c r="E34" s="601">
        <v>7968</v>
      </c>
      <c r="F34" s="601">
        <v>138</v>
      </c>
      <c r="G34" s="601">
        <v>144</v>
      </c>
      <c r="H34" s="601">
        <v>282</v>
      </c>
      <c r="I34" s="601">
        <v>7663</v>
      </c>
      <c r="J34" s="601">
        <v>4793</v>
      </c>
      <c r="K34" s="601">
        <v>12456</v>
      </c>
      <c r="L34" s="601">
        <v>10000</v>
      </c>
      <c r="M34" s="601">
        <v>4539</v>
      </c>
      <c r="N34" s="601">
        <v>14539</v>
      </c>
      <c r="O34" s="601">
        <v>488</v>
      </c>
      <c r="P34" s="601">
        <v>239</v>
      </c>
      <c r="Q34" s="601">
        <v>727</v>
      </c>
      <c r="R34" s="601">
        <v>1609</v>
      </c>
      <c r="S34" s="601">
        <v>515</v>
      </c>
      <c r="T34" s="601">
        <v>2124</v>
      </c>
      <c r="U34" s="601">
        <v>374</v>
      </c>
      <c r="V34" s="601">
        <v>187</v>
      </c>
      <c r="W34" s="601">
        <v>561</v>
      </c>
      <c r="X34" s="601">
        <v>839</v>
      </c>
      <c r="Y34" s="601">
        <v>231</v>
      </c>
      <c r="Z34" s="601">
        <v>1070</v>
      </c>
      <c r="AA34" s="601">
        <v>26452</v>
      </c>
      <c r="AB34" s="601">
        <v>13275</v>
      </c>
      <c r="AC34" s="601">
        <v>39727</v>
      </c>
    </row>
    <row r="35" spans="1:29" ht="17.25" customHeight="1" x14ac:dyDescent="0.35">
      <c r="A35" s="655">
        <v>5</v>
      </c>
      <c r="B35" s="973" t="s">
        <v>5</v>
      </c>
      <c r="C35" s="974"/>
      <c r="D35" s="974"/>
      <c r="E35" s="974"/>
      <c r="F35" s="974"/>
      <c r="G35" s="974"/>
      <c r="H35" s="974"/>
      <c r="I35" s="974"/>
      <c r="J35" s="974"/>
      <c r="K35" s="974"/>
      <c r="L35" s="974"/>
      <c r="M35" s="974"/>
      <c r="N35" s="974"/>
      <c r="O35" s="974"/>
      <c r="P35" s="974"/>
      <c r="Q35" s="974"/>
      <c r="R35" s="974"/>
      <c r="S35" s="974"/>
      <c r="T35" s="974"/>
      <c r="U35" s="974"/>
      <c r="V35" s="974"/>
      <c r="W35" s="974"/>
      <c r="X35" s="974"/>
      <c r="Y35" s="974"/>
      <c r="Z35" s="974"/>
      <c r="AA35" s="974"/>
      <c r="AB35" s="974"/>
      <c r="AC35" s="974"/>
    </row>
    <row r="36" spans="1:29" ht="17.25" customHeight="1" x14ac:dyDescent="0.35">
      <c r="A36" s="655"/>
      <c r="B36" s="529" t="s">
        <v>960</v>
      </c>
      <c r="C36" s="616">
        <v>43560</v>
      </c>
      <c r="D36" s="616">
        <v>44141</v>
      </c>
      <c r="E36" s="616">
        <v>87701</v>
      </c>
      <c r="F36" s="616">
        <v>129</v>
      </c>
      <c r="G36" s="616">
        <v>147</v>
      </c>
      <c r="H36" s="616">
        <v>276</v>
      </c>
      <c r="I36" s="616">
        <v>447277</v>
      </c>
      <c r="J36" s="616">
        <v>604416</v>
      </c>
      <c r="K36" s="616">
        <v>1051693</v>
      </c>
      <c r="L36" s="616">
        <v>979313</v>
      </c>
      <c r="M36" s="616">
        <v>836361</v>
      </c>
      <c r="N36" s="616">
        <v>1815674</v>
      </c>
      <c r="O36" s="616">
        <v>21696</v>
      </c>
      <c r="P36" s="616">
        <v>23815</v>
      </c>
      <c r="Q36" s="616">
        <v>45511</v>
      </c>
      <c r="R36" s="616">
        <v>51250</v>
      </c>
      <c r="S36" s="616">
        <v>32280</v>
      </c>
      <c r="T36" s="616">
        <v>83530</v>
      </c>
      <c r="U36" s="616">
        <v>7104</v>
      </c>
      <c r="V36" s="616">
        <v>22235</v>
      </c>
      <c r="W36" s="616">
        <v>29339</v>
      </c>
      <c r="X36" s="616">
        <v>33764</v>
      </c>
      <c r="Y36" s="616">
        <v>36180</v>
      </c>
      <c r="Z36" s="616">
        <v>69944</v>
      </c>
      <c r="AA36" s="616">
        <v>1584093</v>
      </c>
      <c r="AB36" s="616">
        <v>1599575</v>
      </c>
      <c r="AC36" s="616">
        <v>3183668</v>
      </c>
    </row>
    <row r="37" spans="1:29" ht="17.25" customHeight="1" x14ac:dyDescent="0.35">
      <c r="A37" s="655"/>
      <c r="B37" s="530" t="s">
        <v>959</v>
      </c>
      <c r="C37" s="601">
        <v>25621</v>
      </c>
      <c r="D37" s="601">
        <v>25750</v>
      </c>
      <c r="E37" s="601">
        <v>51371</v>
      </c>
      <c r="F37" s="601">
        <v>354</v>
      </c>
      <c r="G37" s="601">
        <v>358</v>
      </c>
      <c r="H37" s="601">
        <v>712</v>
      </c>
      <c r="I37" s="601">
        <v>483806</v>
      </c>
      <c r="J37" s="601">
        <v>649683</v>
      </c>
      <c r="K37" s="601">
        <v>1133489</v>
      </c>
      <c r="L37" s="601">
        <v>1002923</v>
      </c>
      <c r="M37" s="601">
        <v>835416</v>
      </c>
      <c r="N37" s="601">
        <v>1838339</v>
      </c>
      <c r="O37" s="601">
        <v>27563</v>
      </c>
      <c r="P37" s="601">
        <v>27338</v>
      </c>
      <c r="Q37" s="601">
        <v>54901</v>
      </c>
      <c r="R37" s="601">
        <v>51006</v>
      </c>
      <c r="S37" s="601">
        <v>29548</v>
      </c>
      <c r="T37" s="601">
        <v>80554</v>
      </c>
      <c r="U37" s="601">
        <v>5857</v>
      </c>
      <c r="V37" s="601">
        <v>6724</v>
      </c>
      <c r="W37" s="601">
        <v>12581</v>
      </c>
      <c r="X37" s="601">
        <v>31242</v>
      </c>
      <c r="Y37" s="601">
        <v>32709</v>
      </c>
      <c r="Z37" s="601">
        <v>63951</v>
      </c>
      <c r="AA37" s="601">
        <v>1628372</v>
      </c>
      <c r="AB37" s="601">
        <v>1607526</v>
      </c>
      <c r="AC37" s="601">
        <v>3235898</v>
      </c>
    </row>
    <row r="38" spans="1:29" ht="17.25" customHeight="1" x14ac:dyDescent="0.35">
      <c r="A38" s="655"/>
      <c r="B38" s="530" t="s">
        <v>958</v>
      </c>
      <c r="C38" s="601">
        <v>26015</v>
      </c>
      <c r="D38" s="601">
        <v>23645</v>
      </c>
      <c r="E38" s="601">
        <v>49660</v>
      </c>
      <c r="F38" s="601">
        <v>1434</v>
      </c>
      <c r="G38" s="601">
        <v>2910</v>
      </c>
      <c r="H38" s="601">
        <v>4344</v>
      </c>
      <c r="I38" s="601">
        <v>433926</v>
      </c>
      <c r="J38" s="601">
        <v>570243</v>
      </c>
      <c r="K38" s="601">
        <v>1004169</v>
      </c>
      <c r="L38" s="601">
        <v>979473</v>
      </c>
      <c r="M38" s="601">
        <v>750101</v>
      </c>
      <c r="N38" s="601">
        <v>1729574</v>
      </c>
      <c r="O38" s="601">
        <v>27922</v>
      </c>
      <c r="P38" s="601">
        <v>25733</v>
      </c>
      <c r="Q38" s="601">
        <v>53655</v>
      </c>
      <c r="R38" s="601">
        <v>36478</v>
      </c>
      <c r="S38" s="601">
        <v>24734</v>
      </c>
      <c r="T38" s="601">
        <v>61212</v>
      </c>
      <c r="U38" s="601">
        <v>9702</v>
      </c>
      <c r="V38" s="601">
        <v>10613</v>
      </c>
      <c r="W38" s="601">
        <v>20315</v>
      </c>
      <c r="X38" s="601">
        <v>28707</v>
      </c>
      <c r="Y38" s="601">
        <v>28872</v>
      </c>
      <c r="Z38" s="601">
        <v>57579</v>
      </c>
      <c r="AA38" s="601">
        <v>1543657</v>
      </c>
      <c r="AB38" s="601">
        <v>1436851</v>
      </c>
      <c r="AC38" s="601">
        <v>2980508</v>
      </c>
    </row>
    <row r="39" spans="1:29" ht="17.25" customHeight="1" x14ac:dyDescent="0.35">
      <c r="A39" s="655"/>
      <c r="B39" s="530" t="s">
        <v>957</v>
      </c>
      <c r="C39" s="601">
        <v>25191</v>
      </c>
      <c r="D39" s="601">
        <v>22216</v>
      </c>
      <c r="E39" s="601">
        <v>47407</v>
      </c>
      <c r="F39" s="601">
        <v>2906</v>
      </c>
      <c r="G39" s="601">
        <v>5220</v>
      </c>
      <c r="H39" s="601">
        <v>8126</v>
      </c>
      <c r="I39" s="601">
        <v>399891</v>
      </c>
      <c r="J39" s="601">
        <v>587200</v>
      </c>
      <c r="K39" s="601">
        <v>987091</v>
      </c>
      <c r="L39" s="601">
        <v>810646</v>
      </c>
      <c r="M39" s="601">
        <v>737761</v>
      </c>
      <c r="N39" s="601">
        <v>1548407</v>
      </c>
      <c r="O39" s="601">
        <v>26444</v>
      </c>
      <c r="P39" s="601">
        <v>23192</v>
      </c>
      <c r="Q39" s="601">
        <v>49636</v>
      </c>
      <c r="R39" s="601">
        <v>39121</v>
      </c>
      <c r="S39" s="601">
        <v>23816</v>
      </c>
      <c r="T39" s="601">
        <v>62937</v>
      </c>
      <c r="U39" s="601">
        <v>9205</v>
      </c>
      <c r="V39" s="601">
        <v>15599</v>
      </c>
      <c r="W39" s="601">
        <v>24804</v>
      </c>
      <c r="X39" s="601">
        <v>25096</v>
      </c>
      <c r="Y39" s="601">
        <v>24576</v>
      </c>
      <c r="Z39" s="601">
        <v>49672</v>
      </c>
      <c r="AA39" s="601">
        <v>1338500</v>
      </c>
      <c r="AB39" s="601">
        <v>1439580</v>
      </c>
      <c r="AC39" s="601">
        <v>2778080</v>
      </c>
    </row>
    <row r="40" spans="1:29" ht="18.75" customHeight="1" x14ac:dyDescent="0.35">
      <c r="A40" s="655"/>
      <c r="B40" s="530" t="s">
        <v>956</v>
      </c>
      <c r="C40" s="601">
        <v>27086</v>
      </c>
      <c r="D40" s="601">
        <v>25922</v>
      </c>
      <c r="E40" s="601">
        <v>53008</v>
      </c>
      <c r="F40" s="601">
        <v>3925</v>
      </c>
      <c r="G40" s="601">
        <v>6442</v>
      </c>
      <c r="H40" s="601">
        <v>10367</v>
      </c>
      <c r="I40" s="601">
        <v>387245</v>
      </c>
      <c r="J40" s="601">
        <v>540175</v>
      </c>
      <c r="K40" s="601">
        <v>927420</v>
      </c>
      <c r="L40" s="601">
        <v>768433</v>
      </c>
      <c r="M40" s="601">
        <v>629094</v>
      </c>
      <c r="N40" s="601">
        <v>1397527</v>
      </c>
      <c r="O40" s="601">
        <v>29517</v>
      </c>
      <c r="P40" s="601">
        <v>27798</v>
      </c>
      <c r="Q40" s="601">
        <v>57315</v>
      </c>
      <c r="R40" s="601">
        <v>39233</v>
      </c>
      <c r="S40" s="601">
        <v>27092</v>
      </c>
      <c r="T40" s="601">
        <v>66325</v>
      </c>
      <c r="U40" s="601">
        <v>10200</v>
      </c>
      <c r="V40" s="601">
        <v>14557</v>
      </c>
      <c r="W40" s="601">
        <v>24757</v>
      </c>
      <c r="X40" s="601">
        <v>22021</v>
      </c>
      <c r="Y40" s="601">
        <v>19733</v>
      </c>
      <c r="Z40" s="601">
        <v>41754</v>
      </c>
      <c r="AA40" s="601">
        <v>1287660</v>
      </c>
      <c r="AB40" s="601">
        <v>1290813</v>
      </c>
      <c r="AC40" s="601">
        <v>2578473</v>
      </c>
    </row>
    <row r="41" spans="1:29" ht="17.25" customHeight="1" x14ac:dyDescent="0.35">
      <c r="A41" s="655">
        <v>6</v>
      </c>
      <c r="B41" s="973" t="s">
        <v>7</v>
      </c>
      <c r="C41" s="974"/>
      <c r="D41" s="974"/>
      <c r="E41" s="974"/>
      <c r="F41" s="974"/>
      <c r="G41" s="974"/>
      <c r="H41" s="974"/>
      <c r="I41" s="974"/>
      <c r="J41" s="974"/>
      <c r="K41" s="974"/>
      <c r="L41" s="974"/>
      <c r="M41" s="974"/>
      <c r="N41" s="974"/>
      <c r="O41" s="974"/>
      <c r="P41" s="974"/>
      <c r="Q41" s="974"/>
      <c r="R41" s="974"/>
      <c r="S41" s="974"/>
      <c r="T41" s="974"/>
      <c r="U41" s="974"/>
      <c r="V41" s="974"/>
      <c r="W41" s="974"/>
      <c r="X41" s="974"/>
      <c r="Y41" s="974"/>
      <c r="Z41" s="974"/>
      <c r="AA41" s="974"/>
      <c r="AB41" s="974"/>
      <c r="AC41" s="974"/>
    </row>
    <row r="42" spans="1:29" ht="17.25" customHeight="1" x14ac:dyDescent="0.35">
      <c r="A42" s="655"/>
      <c r="B42" s="529" t="s">
        <v>960</v>
      </c>
      <c r="C42" s="616">
        <v>313</v>
      </c>
      <c r="D42" s="616">
        <v>321</v>
      </c>
      <c r="E42" s="616">
        <v>634</v>
      </c>
      <c r="F42" s="616"/>
      <c r="G42" s="616"/>
      <c r="H42" s="616"/>
      <c r="I42" s="616">
        <v>211842</v>
      </c>
      <c r="J42" s="616">
        <v>265594</v>
      </c>
      <c r="K42" s="616">
        <v>477436</v>
      </c>
      <c r="L42" s="616">
        <v>619339</v>
      </c>
      <c r="M42" s="616">
        <v>448546</v>
      </c>
      <c r="N42" s="616">
        <v>1067885</v>
      </c>
      <c r="O42" s="616">
        <v>3459</v>
      </c>
      <c r="P42" s="616">
        <v>3200</v>
      </c>
      <c r="Q42" s="616">
        <v>6659</v>
      </c>
      <c r="R42" s="616">
        <v>31333</v>
      </c>
      <c r="S42" s="616">
        <v>25290</v>
      </c>
      <c r="T42" s="616">
        <v>56623</v>
      </c>
      <c r="U42" s="616">
        <v>23907</v>
      </c>
      <c r="V42" s="616">
        <v>16712</v>
      </c>
      <c r="W42" s="616">
        <v>40619</v>
      </c>
      <c r="X42" s="616"/>
      <c r="Y42" s="616"/>
      <c r="Z42" s="616"/>
      <c r="AA42" s="616">
        <v>890193</v>
      </c>
      <c r="AB42" s="616">
        <v>759663</v>
      </c>
      <c r="AC42" s="616">
        <v>1649856</v>
      </c>
    </row>
    <row r="43" spans="1:29" ht="17.25" customHeight="1" x14ac:dyDescent="0.35">
      <c r="A43" s="655"/>
      <c r="B43" s="530" t="s">
        <v>959</v>
      </c>
      <c r="C43" s="601">
        <v>155</v>
      </c>
      <c r="D43" s="601">
        <v>125</v>
      </c>
      <c r="E43" s="601">
        <v>280</v>
      </c>
      <c r="F43" s="601">
        <v>0</v>
      </c>
      <c r="G43" s="601"/>
      <c r="H43" s="601"/>
      <c r="I43" s="601">
        <v>226189</v>
      </c>
      <c r="J43" s="601">
        <v>262910</v>
      </c>
      <c r="K43" s="601">
        <v>489099</v>
      </c>
      <c r="L43" s="601">
        <v>719510</v>
      </c>
      <c r="M43" s="601">
        <v>455555</v>
      </c>
      <c r="N43" s="601">
        <v>1175065</v>
      </c>
      <c r="O43" s="601">
        <v>2055</v>
      </c>
      <c r="P43" s="601">
        <v>1314</v>
      </c>
      <c r="Q43" s="601">
        <v>3369</v>
      </c>
      <c r="R43" s="601">
        <v>33923</v>
      </c>
      <c r="S43" s="601">
        <v>20989</v>
      </c>
      <c r="T43" s="601">
        <v>54912</v>
      </c>
      <c r="U43" s="601">
        <v>9129</v>
      </c>
      <c r="V43" s="601">
        <v>6806</v>
      </c>
      <c r="W43" s="601">
        <v>15935</v>
      </c>
      <c r="X43" s="601">
        <v>0</v>
      </c>
      <c r="Y43" s="601"/>
      <c r="Z43" s="601"/>
      <c r="AA43" s="601">
        <v>990961</v>
      </c>
      <c r="AB43" s="601">
        <v>747699</v>
      </c>
      <c r="AC43" s="601">
        <v>1738660</v>
      </c>
    </row>
    <row r="44" spans="1:29" ht="17.25" customHeight="1" x14ac:dyDescent="0.35">
      <c r="A44" s="655"/>
      <c r="B44" s="530" t="s">
        <v>958</v>
      </c>
      <c r="C44" s="601">
        <v>162</v>
      </c>
      <c r="D44" s="601">
        <v>120</v>
      </c>
      <c r="E44" s="601">
        <v>282</v>
      </c>
      <c r="F44" s="601">
        <v>20</v>
      </c>
      <c r="G44" s="601">
        <v>9</v>
      </c>
      <c r="H44" s="601">
        <v>29</v>
      </c>
      <c r="I44" s="601">
        <v>238925</v>
      </c>
      <c r="J44" s="601">
        <v>219679</v>
      </c>
      <c r="K44" s="601">
        <v>458604</v>
      </c>
      <c r="L44" s="601">
        <v>786816</v>
      </c>
      <c r="M44" s="601">
        <v>479510</v>
      </c>
      <c r="N44" s="601">
        <v>1266326</v>
      </c>
      <c r="O44" s="601">
        <v>9784</v>
      </c>
      <c r="P44" s="601">
        <v>4734</v>
      </c>
      <c r="Q44" s="601">
        <v>14518</v>
      </c>
      <c r="R44" s="601">
        <v>32545</v>
      </c>
      <c r="S44" s="601">
        <v>20045</v>
      </c>
      <c r="T44" s="601">
        <v>52590</v>
      </c>
      <c r="U44" s="601">
        <v>5210</v>
      </c>
      <c r="V44" s="601">
        <v>2444</v>
      </c>
      <c r="W44" s="601">
        <v>7654</v>
      </c>
      <c r="X44" s="601"/>
      <c r="Y44" s="601"/>
      <c r="Z44" s="601"/>
      <c r="AA44" s="601">
        <v>1073462</v>
      </c>
      <c r="AB44" s="601">
        <v>726541</v>
      </c>
      <c r="AC44" s="601">
        <v>1800003</v>
      </c>
    </row>
    <row r="45" spans="1:29" ht="17.25" customHeight="1" x14ac:dyDescent="0.35">
      <c r="A45" s="655"/>
      <c r="B45" s="530" t="s">
        <v>957</v>
      </c>
      <c r="C45" s="601">
        <v>141</v>
      </c>
      <c r="D45" s="601">
        <v>139</v>
      </c>
      <c r="E45" s="601">
        <v>280</v>
      </c>
      <c r="F45" s="601">
        <v>7</v>
      </c>
      <c r="G45" s="601">
        <v>15</v>
      </c>
      <c r="H45" s="601">
        <v>22</v>
      </c>
      <c r="I45" s="601">
        <v>165176</v>
      </c>
      <c r="J45" s="601">
        <v>150134</v>
      </c>
      <c r="K45" s="601">
        <v>315310</v>
      </c>
      <c r="L45" s="601">
        <v>667510</v>
      </c>
      <c r="M45" s="601">
        <v>398571</v>
      </c>
      <c r="N45" s="601">
        <v>1066081</v>
      </c>
      <c r="O45" s="601">
        <v>21874</v>
      </c>
      <c r="P45" s="601">
        <v>17285</v>
      </c>
      <c r="Q45" s="601">
        <v>39159</v>
      </c>
      <c r="R45" s="601">
        <v>32122</v>
      </c>
      <c r="S45" s="601">
        <v>23184</v>
      </c>
      <c r="T45" s="601">
        <v>55306</v>
      </c>
      <c r="U45" s="601">
        <v>24465</v>
      </c>
      <c r="V45" s="601">
        <v>14114</v>
      </c>
      <c r="W45" s="601">
        <v>38579</v>
      </c>
      <c r="X45" s="601">
        <v>0</v>
      </c>
      <c r="Y45" s="601">
        <v>0</v>
      </c>
      <c r="Z45" s="601">
        <v>0</v>
      </c>
      <c r="AA45" s="601">
        <v>911295</v>
      </c>
      <c r="AB45" s="601">
        <v>603442</v>
      </c>
      <c r="AC45" s="601">
        <v>1514737</v>
      </c>
    </row>
    <row r="46" spans="1:29" ht="18.75" customHeight="1" x14ac:dyDescent="0.35">
      <c r="A46" s="655"/>
      <c r="B46" s="530" t="s">
        <v>956</v>
      </c>
      <c r="C46" s="601">
        <v>112</v>
      </c>
      <c r="D46" s="601">
        <v>71</v>
      </c>
      <c r="E46" s="601">
        <v>183</v>
      </c>
      <c r="F46" s="601">
        <v>14</v>
      </c>
      <c r="G46" s="601">
        <v>11</v>
      </c>
      <c r="H46" s="601">
        <v>25</v>
      </c>
      <c r="I46" s="601">
        <v>97882</v>
      </c>
      <c r="J46" s="601">
        <v>97968</v>
      </c>
      <c r="K46" s="601">
        <v>195850</v>
      </c>
      <c r="L46" s="601">
        <v>584872</v>
      </c>
      <c r="M46" s="601">
        <v>338072</v>
      </c>
      <c r="N46" s="601">
        <v>922944</v>
      </c>
      <c r="O46" s="601">
        <v>8266</v>
      </c>
      <c r="P46" s="601">
        <v>7616</v>
      </c>
      <c r="Q46" s="601">
        <v>15882</v>
      </c>
      <c r="R46" s="601">
        <v>28729</v>
      </c>
      <c r="S46" s="601">
        <v>22808</v>
      </c>
      <c r="T46" s="601">
        <v>51537</v>
      </c>
      <c r="U46" s="601">
        <v>12800</v>
      </c>
      <c r="V46" s="601">
        <v>8839</v>
      </c>
      <c r="W46" s="601">
        <v>21639</v>
      </c>
      <c r="X46" s="601">
        <v>0</v>
      </c>
      <c r="Y46" s="601">
        <v>0</v>
      </c>
      <c r="Z46" s="601">
        <v>0</v>
      </c>
      <c r="AA46" s="601">
        <v>732675</v>
      </c>
      <c r="AB46" s="601">
        <v>475385</v>
      </c>
      <c r="AC46" s="601">
        <v>1208060</v>
      </c>
    </row>
    <row r="47" spans="1:29" ht="17.25" customHeight="1" x14ac:dyDescent="0.35">
      <c r="A47" s="655">
        <v>7</v>
      </c>
      <c r="B47" s="973" t="s">
        <v>6</v>
      </c>
      <c r="C47" s="974"/>
      <c r="D47" s="974"/>
      <c r="E47" s="974"/>
      <c r="F47" s="974"/>
      <c r="G47" s="974"/>
      <c r="H47" s="974"/>
      <c r="I47" s="974"/>
      <c r="J47" s="974"/>
      <c r="K47" s="974"/>
      <c r="L47" s="974"/>
      <c r="M47" s="974"/>
      <c r="N47" s="974"/>
      <c r="O47" s="974"/>
      <c r="P47" s="974"/>
      <c r="Q47" s="974"/>
      <c r="R47" s="974"/>
      <c r="S47" s="974"/>
      <c r="T47" s="974"/>
      <c r="U47" s="974"/>
      <c r="V47" s="974"/>
      <c r="W47" s="974"/>
      <c r="X47" s="974"/>
      <c r="Y47" s="974"/>
      <c r="Z47" s="974"/>
      <c r="AA47" s="974"/>
      <c r="AB47" s="974"/>
      <c r="AC47" s="600"/>
    </row>
    <row r="48" spans="1:29" ht="17.25" customHeight="1" x14ac:dyDescent="0.35">
      <c r="A48" s="655"/>
      <c r="B48" s="529" t="s">
        <v>960</v>
      </c>
      <c r="C48" s="616">
        <v>372</v>
      </c>
      <c r="D48" s="616">
        <v>175</v>
      </c>
      <c r="E48" s="616">
        <v>547</v>
      </c>
      <c r="F48" s="616"/>
      <c r="G48" s="616"/>
      <c r="H48" s="616"/>
      <c r="I48" s="616">
        <v>611</v>
      </c>
      <c r="J48" s="616">
        <v>606</v>
      </c>
      <c r="K48" s="616">
        <v>1217</v>
      </c>
      <c r="L48" s="616">
        <v>1085</v>
      </c>
      <c r="M48" s="616">
        <v>2858</v>
      </c>
      <c r="N48" s="616">
        <v>3943</v>
      </c>
      <c r="O48" s="616">
        <v>18</v>
      </c>
      <c r="P48" s="616">
        <v>1</v>
      </c>
      <c r="Q48" s="616">
        <v>19</v>
      </c>
      <c r="R48" s="616">
        <v>1038</v>
      </c>
      <c r="S48" s="616">
        <v>1390</v>
      </c>
      <c r="T48" s="616">
        <v>2428</v>
      </c>
      <c r="U48" s="616">
        <v>67</v>
      </c>
      <c r="V48" s="616">
        <v>77</v>
      </c>
      <c r="W48" s="616">
        <v>144</v>
      </c>
      <c r="X48" s="616"/>
      <c r="Y48" s="616"/>
      <c r="Z48" s="616"/>
      <c r="AA48" s="616">
        <v>3191</v>
      </c>
      <c r="AB48" s="616">
        <v>5107</v>
      </c>
      <c r="AC48" s="616">
        <v>8298</v>
      </c>
    </row>
    <row r="49" spans="1:29" ht="17.25" customHeight="1" x14ac:dyDescent="0.35">
      <c r="A49" s="655"/>
      <c r="B49" s="530" t="s">
        <v>959</v>
      </c>
      <c r="C49" s="601">
        <v>292</v>
      </c>
      <c r="D49" s="601">
        <v>132</v>
      </c>
      <c r="E49" s="601">
        <v>424</v>
      </c>
      <c r="F49" s="601">
        <v>0</v>
      </c>
      <c r="G49" s="601"/>
      <c r="H49" s="601"/>
      <c r="I49" s="601">
        <v>621</v>
      </c>
      <c r="J49" s="601">
        <v>549</v>
      </c>
      <c r="K49" s="601">
        <v>1170</v>
      </c>
      <c r="L49" s="601">
        <v>1216</v>
      </c>
      <c r="M49" s="601">
        <v>2902</v>
      </c>
      <c r="N49" s="601">
        <v>4118</v>
      </c>
      <c r="O49" s="601">
        <v>8</v>
      </c>
      <c r="P49" s="601">
        <v>2</v>
      </c>
      <c r="Q49" s="601">
        <v>10</v>
      </c>
      <c r="R49" s="601">
        <v>912</v>
      </c>
      <c r="S49" s="601">
        <v>1259</v>
      </c>
      <c r="T49" s="601">
        <v>2171</v>
      </c>
      <c r="U49" s="601">
        <v>72</v>
      </c>
      <c r="V49" s="601">
        <v>66</v>
      </c>
      <c r="W49" s="601">
        <v>138</v>
      </c>
      <c r="X49" s="601">
        <v>0</v>
      </c>
      <c r="Y49" s="601"/>
      <c r="Z49" s="601"/>
      <c r="AA49" s="601">
        <v>3121</v>
      </c>
      <c r="AB49" s="601">
        <v>4910</v>
      </c>
      <c r="AC49" s="601">
        <v>8031</v>
      </c>
    </row>
    <row r="50" spans="1:29" ht="17.25" customHeight="1" x14ac:dyDescent="0.35">
      <c r="A50" s="655"/>
      <c r="B50" s="530" t="s">
        <v>958</v>
      </c>
      <c r="C50" s="601">
        <v>238</v>
      </c>
      <c r="D50" s="601">
        <v>76</v>
      </c>
      <c r="E50" s="601">
        <v>314</v>
      </c>
      <c r="F50" s="601"/>
      <c r="G50" s="601"/>
      <c r="H50" s="601"/>
      <c r="I50" s="601">
        <v>464</v>
      </c>
      <c r="J50" s="601">
        <v>735</v>
      </c>
      <c r="K50" s="601">
        <v>1199</v>
      </c>
      <c r="L50" s="601">
        <v>1134</v>
      </c>
      <c r="M50" s="601">
        <v>2868</v>
      </c>
      <c r="N50" s="601">
        <v>4002</v>
      </c>
      <c r="O50" s="601">
        <v>8</v>
      </c>
      <c r="P50" s="601">
        <v>61</v>
      </c>
      <c r="Q50" s="601">
        <v>69</v>
      </c>
      <c r="R50" s="601">
        <v>782</v>
      </c>
      <c r="S50" s="601">
        <v>659</v>
      </c>
      <c r="T50" s="601">
        <v>1441</v>
      </c>
      <c r="U50" s="601">
        <v>39</v>
      </c>
      <c r="V50" s="601">
        <v>28</v>
      </c>
      <c r="W50" s="601">
        <v>67</v>
      </c>
      <c r="X50" s="601"/>
      <c r="Y50" s="601"/>
      <c r="Z50" s="601"/>
      <c r="AA50" s="601">
        <v>2665</v>
      </c>
      <c r="AB50" s="601">
        <v>4427</v>
      </c>
      <c r="AC50" s="601">
        <v>7092</v>
      </c>
    </row>
    <row r="51" spans="1:29" ht="17.25" customHeight="1" x14ac:dyDescent="0.35">
      <c r="A51" s="655"/>
      <c r="B51" s="530" t="s">
        <v>957</v>
      </c>
      <c r="C51" s="601">
        <v>117</v>
      </c>
      <c r="D51" s="601">
        <v>66</v>
      </c>
      <c r="E51" s="601">
        <v>183</v>
      </c>
      <c r="F51" s="601">
        <v>0</v>
      </c>
      <c r="G51" s="601">
        <v>0</v>
      </c>
      <c r="H51" s="601">
        <v>0</v>
      </c>
      <c r="I51" s="601">
        <v>574</v>
      </c>
      <c r="J51" s="601">
        <v>789</v>
      </c>
      <c r="K51" s="601">
        <v>1363</v>
      </c>
      <c r="L51" s="601">
        <v>1035</v>
      </c>
      <c r="M51" s="601">
        <v>4283</v>
      </c>
      <c r="N51" s="601">
        <v>5318</v>
      </c>
      <c r="O51" s="601">
        <v>5</v>
      </c>
      <c r="P51" s="601">
        <v>54</v>
      </c>
      <c r="Q51" s="601">
        <v>59</v>
      </c>
      <c r="R51" s="601">
        <v>61</v>
      </c>
      <c r="S51" s="601">
        <v>237</v>
      </c>
      <c r="T51" s="601">
        <v>298</v>
      </c>
      <c r="U51" s="601">
        <v>43</v>
      </c>
      <c r="V51" s="601">
        <v>43</v>
      </c>
      <c r="W51" s="601">
        <v>86</v>
      </c>
      <c r="X51" s="601">
        <v>0</v>
      </c>
      <c r="Y51" s="601">
        <v>0</v>
      </c>
      <c r="Z51" s="601">
        <v>0</v>
      </c>
      <c r="AA51" s="601">
        <v>1835</v>
      </c>
      <c r="AB51" s="601">
        <v>5472</v>
      </c>
      <c r="AC51" s="601">
        <v>7307</v>
      </c>
    </row>
    <row r="52" spans="1:29" ht="18.75" customHeight="1" x14ac:dyDescent="0.35">
      <c r="A52" s="655"/>
      <c r="B52" s="530" t="s">
        <v>956</v>
      </c>
      <c r="C52" s="601">
        <v>223</v>
      </c>
      <c r="D52" s="601">
        <v>58</v>
      </c>
      <c r="E52" s="601">
        <v>281</v>
      </c>
      <c r="F52" s="601">
        <v>0</v>
      </c>
      <c r="G52" s="601">
        <v>0</v>
      </c>
      <c r="H52" s="601">
        <v>0</v>
      </c>
      <c r="I52" s="601">
        <v>628</v>
      </c>
      <c r="J52" s="601">
        <v>595</v>
      </c>
      <c r="K52" s="601">
        <v>1223</v>
      </c>
      <c r="L52" s="601">
        <v>1389</v>
      </c>
      <c r="M52" s="601">
        <v>2755</v>
      </c>
      <c r="N52" s="601">
        <v>4144</v>
      </c>
      <c r="O52" s="601">
        <v>26</v>
      </c>
      <c r="P52" s="601">
        <v>56</v>
      </c>
      <c r="Q52" s="601">
        <v>82</v>
      </c>
      <c r="R52" s="601">
        <v>46</v>
      </c>
      <c r="S52" s="601">
        <v>193</v>
      </c>
      <c r="T52" s="601">
        <v>239</v>
      </c>
      <c r="U52" s="601">
        <v>38</v>
      </c>
      <c r="V52" s="601">
        <v>45</v>
      </c>
      <c r="W52" s="601">
        <v>83</v>
      </c>
      <c r="X52" s="601">
        <v>0</v>
      </c>
      <c r="Y52" s="601">
        <v>0</v>
      </c>
      <c r="Z52" s="601">
        <v>0</v>
      </c>
      <c r="AA52" s="601">
        <v>2350</v>
      </c>
      <c r="AB52" s="601">
        <v>3702</v>
      </c>
      <c r="AC52" s="601">
        <v>6052</v>
      </c>
    </row>
    <row r="53" spans="1:29" ht="17.25" customHeight="1" x14ac:dyDescent="0.35">
      <c r="A53" s="655">
        <v>8</v>
      </c>
      <c r="B53" s="973" t="s">
        <v>972</v>
      </c>
      <c r="C53" s="974"/>
      <c r="D53" s="974"/>
      <c r="E53" s="974"/>
      <c r="F53" s="974"/>
      <c r="G53" s="974"/>
      <c r="H53" s="974"/>
      <c r="I53" s="974"/>
      <c r="J53" s="974"/>
      <c r="K53" s="974"/>
      <c r="L53" s="974"/>
      <c r="M53" s="974"/>
      <c r="N53" s="974"/>
      <c r="O53" s="974"/>
      <c r="P53" s="974"/>
      <c r="Q53" s="974"/>
      <c r="R53" s="974"/>
      <c r="S53" s="974"/>
      <c r="T53" s="974"/>
      <c r="U53" s="974"/>
      <c r="V53" s="974"/>
      <c r="W53" s="974"/>
      <c r="X53" s="974"/>
      <c r="Y53" s="974"/>
      <c r="Z53" s="974"/>
      <c r="AA53" s="974"/>
      <c r="AB53" s="974"/>
      <c r="AC53" s="974"/>
    </row>
    <row r="54" spans="1:29" ht="17.25" customHeight="1" x14ac:dyDescent="0.35">
      <c r="A54" s="655"/>
      <c r="B54" s="529" t="s">
        <v>960</v>
      </c>
      <c r="C54" s="616">
        <v>29805</v>
      </c>
      <c r="D54" s="616">
        <v>33640</v>
      </c>
      <c r="E54" s="616">
        <v>63445</v>
      </c>
      <c r="F54" s="616">
        <v>60</v>
      </c>
      <c r="G54" s="616">
        <v>221</v>
      </c>
      <c r="H54" s="616">
        <v>281</v>
      </c>
      <c r="I54" s="616">
        <v>256876</v>
      </c>
      <c r="J54" s="616">
        <v>190750</v>
      </c>
      <c r="K54" s="616">
        <v>447626</v>
      </c>
      <c r="L54" s="616">
        <v>1028008</v>
      </c>
      <c r="M54" s="616">
        <v>541592</v>
      </c>
      <c r="N54" s="616">
        <v>1569600</v>
      </c>
      <c r="O54" s="616">
        <v>7027</v>
      </c>
      <c r="P54" s="616">
        <v>4148</v>
      </c>
      <c r="Q54" s="616">
        <v>11175</v>
      </c>
      <c r="R54" s="616">
        <v>103719</v>
      </c>
      <c r="S54" s="616">
        <v>31095</v>
      </c>
      <c r="T54" s="616">
        <v>134814</v>
      </c>
      <c r="U54" s="616">
        <v>3126</v>
      </c>
      <c r="V54" s="616">
        <v>1426</v>
      </c>
      <c r="W54" s="616">
        <v>4552</v>
      </c>
      <c r="X54" s="616">
        <v>49251</v>
      </c>
      <c r="Y54" s="616">
        <v>38721</v>
      </c>
      <c r="Z54" s="616">
        <v>87972</v>
      </c>
      <c r="AA54" s="616">
        <v>1477872</v>
      </c>
      <c r="AB54" s="616">
        <v>841593</v>
      </c>
      <c r="AC54" s="616">
        <v>2319465</v>
      </c>
    </row>
    <row r="55" spans="1:29" ht="17.25" customHeight="1" x14ac:dyDescent="0.35">
      <c r="A55" s="655"/>
      <c r="B55" s="530" t="s">
        <v>959</v>
      </c>
      <c r="C55" s="601">
        <v>19657</v>
      </c>
      <c r="D55" s="601">
        <v>20813</v>
      </c>
      <c r="E55" s="601">
        <v>40470</v>
      </c>
      <c r="F55" s="601">
        <v>54</v>
      </c>
      <c r="G55" s="601">
        <v>184</v>
      </c>
      <c r="H55" s="601">
        <v>238</v>
      </c>
      <c r="I55" s="601">
        <v>203779</v>
      </c>
      <c r="J55" s="601">
        <v>156753</v>
      </c>
      <c r="K55" s="601">
        <v>360532</v>
      </c>
      <c r="L55" s="601">
        <v>870633</v>
      </c>
      <c r="M55" s="601">
        <v>451539</v>
      </c>
      <c r="N55" s="601">
        <v>1322172</v>
      </c>
      <c r="O55" s="601">
        <v>6711</v>
      </c>
      <c r="P55" s="601">
        <v>3671</v>
      </c>
      <c r="Q55" s="601">
        <v>10382</v>
      </c>
      <c r="R55" s="601">
        <v>92906</v>
      </c>
      <c r="S55" s="601">
        <v>26756</v>
      </c>
      <c r="T55" s="601">
        <v>119662</v>
      </c>
      <c r="U55" s="601">
        <v>1379</v>
      </c>
      <c r="V55" s="601">
        <v>859</v>
      </c>
      <c r="W55" s="601">
        <v>2238</v>
      </c>
      <c r="X55" s="601">
        <v>46318</v>
      </c>
      <c r="Y55" s="601">
        <v>35901</v>
      </c>
      <c r="Z55" s="601">
        <v>82219</v>
      </c>
      <c r="AA55" s="601">
        <v>1241437</v>
      </c>
      <c r="AB55" s="601">
        <v>696476</v>
      </c>
      <c r="AC55" s="601">
        <v>1937913</v>
      </c>
    </row>
    <row r="56" spans="1:29" ht="17.25" customHeight="1" x14ac:dyDescent="0.35">
      <c r="A56" s="655"/>
      <c r="B56" s="530" t="s">
        <v>958</v>
      </c>
      <c r="C56" s="601">
        <v>17293</v>
      </c>
      <c r="D56" s="601">
        <v>16940</v>
      </c>
      <c r="E56" s="601">
        <v>34233</v>
      </c>
      <c r="F56" s="601">
        <v>30</v>
      </c>
      <c r="G56" s="601">
        <v>190</v>
      </c>
      <c r="H56" s="601">
        <v>220</v>
      </c>
      <c r="I56" s="601">
        <v>159534</v>
      </c>
      <c r="J56" s="601">
        <v>123395</v>
      </c>
      <c r="K56" s="601">
        <v>282929</v>
      </c>
      <c r="L56" s="601">
        <v>742910</v>
      </c>
      <c r="M56" s="601">
        <v>372589</v>
      </c>
      <c r="N56" s="601">
        <v>1115499</v>
      </c>
      <c r="O56" s="601">
        <v>5157</v>
      </c>
      <c r="P56" s="601">
        <v>3466</v>
      </c>
      <c r="Q56" s="601">
        <v>8623</v>
      </c>
      <c r="R56" s="601">
        <v>86439</v>
      </c>
      <c r="S56" s="601">
        <v>22545</v>
      </c>
      <c r="T56" s="601">
        <v>108984</v>
      </c>
      <c r="U56" s="601">
        <v>996</v>
      </c>
      <c r="V56" s="601">
        <v>449</v>
      </c>
      <c r="W56" s="601">
        <v>1445</v>
      </c>
      <c r="X56" s="601">
        <v>38546</v>
      </c>
      <c r="Y56" s="601">
        <v>29019</v>
      </c>
      <c r="Z56" s="601">
        <v>67565</v>
      </c>
      <c r="AA56" s="601">
        <v>1050905</v>
      </c>
      <c r="AB56" s="601">
        <v>568593</v>
      </c>
      <c r="AC56" s="601">
        <v>1619498</v>
      </c>
    </row>
    <row r="57" spans="1:29" ht="17.25" customHeight="1" x14ac:dyDescent="0.35">
      <c r="A57" s="655"/>
      <c r="B57" s="530" t="s">
        <v>957</v>
      </c>
      <c r="C57" s="601">
        <v>15185</v>
      </c>
      <c r="D57" s="601">
        <v>13382</v>
      </c>
      <c r="E57" s="601">
        <v>28567</v>
      </c>
      <c r="F57" s="601">
        <v>123</v>
      </c>
      <c r="G57" s="601">
        <v>267</v>
      </c>
      <c r="H57" s="601">
        <v>390</v>
      </c>
      <c r="I57" s="601">
        <v>138788</v>
      </c>
      <c r="J57" s="601">
        <v>108287</v>
      </c>
      <c r="K57" s="601">
        <v>247075</v>
      </c>
      <c r="L57" s="601">
        <v>660147</v>
      </c>
      <c r="M57" s="601">
        <v>335937</v>
      </c>
      <c r="N57" s="601">
        <v>996084</v>
      </c>
      <c r="O57" s="601">
        <v>12092</v>
      </c>
      <c r="P57" s="601">
        <v>11166</v>
      </c>
      <c r="Q57" s="601">
        <v>23258</v>
      </c>
      <c r="R57" s="601">
        <v>85036</v>
      </c>
      <c r="S57" s="601">
        <v>28264</v>
      </c>
      <c r="T57" s="601">
        <v>113300</v>
      </c>
      <c r="U57" s="601">
        <v>11254</v>
      </c>
      <c r="V57" s="601">
        <v>421</v>
      </c>
      <c r="W57" s="601">
        <v>11675</v>
      </c>
      <c r="X57" s="601">
        <v>34237</v>
      </c>
      <c r="Y57" s="601">
        <v>25879</v>
      </c>
      <c r="Z57" s="601">
        <v>60116</v>
      </c>
      <c r="AA57" s="601">
        <v>956862</v>
      </c>
      <c r="AB57" s="601">
        <v>523603</v>
      </c>
      <c r="AC57" s="601">
        <v>1480465</v>
      </c>
    </row>
    <row r="58" spans="1:29" ht="18.75" customHeight="1" x14ac:dyDescent="0.35">
      <c r="A58" s="655"/>
      <c r="B58" s="530" t="s">
        <v>956</v>
      </c>
      <c r="C58" s="601">
        <v>12095</v>
      </c>
      <c r="D58" s="601">
        <v>11391</v>
      </c>
      <c r="E58" s="601">
        <v>23486</v>
      </c>
      <c r="F58" s="601">
        <v>664</v>
      </c>
      <c r="G58" s="601">
        <v>574</v>
      </c>
      <c r="H58" s="601">
        <v>1238</v>
      </c>
      <c r="I58" s="601">
        <v>130159</v>
      </c>
      <c r="J58" s="601">
        <v>94837</v>
      </c>
      <c r="K58" s="601">
        <v>224996</v>
      </c>
      <c r="L58" s="601">
        <v>570032</v>
      </c>
      <c r="M58" s="601">
        <v>279589</v>
      </c>
      <c r="N58" s="601">
        <v>849621</v>
      </c>
      <c r="O58" s="601">
        <v>10644</v>
      </c>
      <c r="P58" s="601">
        <v>10090</v>
      </c>
      <c r="Q58" s="601">
        <v>20734</v>
      </c>
      <c r="R58" s="601">
        <v>79832</v>
      </c>
      <c r="S58" s="601">
        <v>24946</v>
      </c>
      <c r="T58" s="601">
        <v>104778</v>
      </c>
      <c r="U58" s="601">
        <v>3164</v>
      </c>
      <c r="V58" s="601">
        <v>1197</v>
      </c>
      <c r="W58" s="601">
        <v>4361</v>
      </c>
      <c r="X58" s="601">
        <v>28845</v>
      </c>
      <c r="Y58" s="601">
        <v>22369</v>
      </c>
      <c r="Z58" s="601">
        <v>51214</v>
      </c>
      <c r="AA58" s="601">
        <v>835435</v>
      </c>
      <c r="AB58" s="601">
        <v>444993</v>
      </c>
      <c r="AC58" s="601">
        <v>1280428</v>
      </c>
    </row>
    <row r="59" spans="1:29" ht="17.25" customHeight="1" x14ac:dyDescent="0.35">
      <c r="A59" s="655">
        <v>9</v>
      </c>
      <c r="B59" s="973" t="s">
        <v>10</v>
      </c>
      <c r="C59" s="974"/>
      <c r="D59" s="974"/>
      <c r="E59" s="974"/>
      <c r="F59" s="974"/>
      <c r="G59" s="974"/>
      <c r="H59" s="974"/>
      <c r="I59" s="974"/>
      <c r="J59" s="974"/>
      <c r="K59" s="974"/>
      <c r="L59" s="974"/>
      <c r="M59" s="974"/>
      <c r="N59" s="974"/>
      <c r="O59" s="974"/>
      <c r="P59" s="974"/>
      <c r="Q59" s="974"/>
      <c r="R59" s="974"/>
      <c r="S59" s="974"/>
      <c r="T59" s="974"/>
      <c r="U59" s="974"/>
      <c r="V59" s="974"/>
      <c r="W59" s="974"/>
      <c r="X59" s="974"/>
      <c r="Y59" s="974"/>
      <c r="Z59" s="974"/>
      <c r="AA59" s="974"/>
      <c r="AB59" s="974"/>
      <c r="AC59" s="974"/>
    </row>
    <row r="60" spans="1:29" ht="17.25" customHeight="1" x14ac:dyDescent="0.35">
      <c r="A60" s="655"/>
      <c r="B60" s="529" t="s">
        <v>960</v>
      </c>
      <c r="C60" s="616">
        <v>1350</v>
      </c>
      <c r="D60" s="616">
        <v>2612</v>
      </c>
      <c r="E60" s="616">
        <v>3962</v>
      </c>
      <c r="F60" s="616">
        <v>1</v>
      </c>
      <c r="G60" s="616">
        <v>1</v>
      </c>
      <c r="H60" s="616">
        <v>2</v>
      </c>
      <c r="I60" s="616">
        <v>6197</v>
      </c>
      <c r="J60" s="616">
        <v>7516</v>
      </c>
      <c r="K60" s="616">
        <v>13713</v>
      </c>
      <c r="L60" s="616">
        <v>15925</v>
      </c>
      <c r="M60" s="616">
        <v>16475</v>
      </c>
      <c r="N60" s="616">
        <v>32400</v>
      </c>
      <c r="O60" s="616">
        <v>151</v>
      </c>
      <c r="P60" s="616">
        <v>154</v>
      </c>
      <c r="Q60" s="616">
        <v>305</v>
      </c>
      <c r="R60" s="616">
        <v>1979</v>
      </c>
      <c r="S60" s="616">
        <v>736</v>
      </c>
      <c r="T60" s="616">
        <v>2715</v>
      </c>
      <c r="U60" s="616">
        <v>267</v>
      </c>
      <c r="V60" s="616">
        <v>363</v>
      </c>
      <c r="W60" s="616">
        <v>630</v>
      </c>
      <c r="X60" s="616">
        <v>713</v>
      </c>
      <c r="Y60" s="616">
        <v>1036</v>
      </c>
      <c r="Z60" s="616">
        <v>1749</v>
      </c>
      <c r="AA60" s="616">
        <v>26583</v>
      </c>
      <c r="AB60" s="616">
        <v>28893</v>
      </c>
      <c r="AC60" s="616">
        <v>55476</v>
      </c>
    </row>
    <row r="61" spans="1:29" ht="17.25" customHeight="1" x14ac:dyDescent="0.35">
      <c r="A61" s="655"/>
      <c r="B61" s="530" t="s">
        <v>959</v>
      </c>
      <c r="C61" s="601">
        <v>829</v>
      </c>
      <c r="D61" s="601">
        <v>1353</v>
      </c>
      <c r="E61" s="601">
        <v>2182</v>
      </c>
      <c r="F61" s="601">
        <v>0</v>
      </c>
      <c r="G61" s="601">
        <v>3</v>
      </c>
      <c r="H61" s="601">
        <v>3</v>
      </c>
      <c r="I61" s="601">
        <v>6022</v>
      </c>
      <c r="J61" s="601">
        <v>7624</v>
      </c>
      <c r="K61" s="601">
        <v>13646</v>
      </c>
      <c r="L61" s="601">
        <v>16933</v>
      </c>
      <c r="M61" s="601">
        <v>16500</v>
      </c>
      <c r="N61" s="601">
        <v>33433</v>
      </c>
      <c r="O61" s="601">
        <v>493</v>
      </c>
      <c r="P61" s="601">
        <v>292</v>
      </c>
      <c r="Q61" s="601">
        <v>785</v>
      </c>
      <c r="R61" s="601">
        <v>1861</v>
      </c>
      <c r="S61" s="601">
        <v>842</v>
      </c>
      <c r="T61" s="601">
        <v>2703</v>
      </c>
      <c r="U61" s="601">
        <v>286</v>
      </c>
      <c r="V61" s="601">
        <v>281</v>
      </c>
      <c r="W61" s="601">
        <v>567</v>
      </c>
      <c r="X61" s="601">
        <v>632</v>
      </c>
      <c r="Y61" s="601">
        <v>916</v>
      </c>
      <c r="Z61" s="601">
        <v>1548</v>
      </c>
      <c r="AA61" s="601">
        <v>27056</v>
      </c>
      <c r="AB61" s="601">
        <v>27811</v>
      </c>
      <c r="AC61" s="601">
        <v>54867</v>
      </c>
    </row>
    <row r="62" spans="1:29" ht="17.25" customHeight="1" x14ac:dyDescent="0.35">
      <c r="A62" s="655"/>
      <c r="B62" s="530" t="s">
        <v>958</v>
      </c>
      <c r="C62" s="601">
        <v>923</v>
      </c>
      <c r="D62" s="601">
        <v>1681</v>
      </c>
      <c r="E62" s="601">
        <v>2604</v>
      </c>
      <c r="F62" s="601">
        <v>44</v>
      </c>
      <c r="G62" s="601">
        <v>48</v>
      </c>
      <c r="H62" s="601">
        <v>92</v>
      </c>
      <c r="I62" s="601">
        <v>7250</v>
      </c>
      <c r="J62" s="601">
        <v>7866</v>
      </c>
      <c r="K62" s="601">
        <v>15116</v>
      </c>
      <c r="L62" s="601">
        <v>18439</v>
      </c>
      <c r="M62" s="601">
        <v>17835</v>
      </c>
      <c r="N62" s="601">
        <v>36274</v>
      </c>
      <c r="O62" s="601">
        <v>234</v>
      </c>
      <c r="P62" s="601">
        <v>246</v>
      </c>
      <c r="Q62" s="601">
        <v>480</v>
      </c>
      <c r="R62" s="601">
        <v>1940</v>
      </c>
      <c r="S62" s="601">
        <v>724</v>
      </c>
      <c r="T62" s="601">
        <v>2664</v>
      </c>
      <c r="U62" s="601">
        <v>609</v>
      </c>
      <c r="V62" s="601">
        <v>464</v>
      </c>
      <c r="W62" s="601">
        <v>1073</v>
      </c>
      <c r="X62" s="601">
        <v>722</v>
      </c>
      <c r="Y62" s="601">
        <v>911</v>
      </c>
      <c r="Z62" s="601">
        <v>1633</v>
      </c>
      <c r="AA62" s="601">
        <v>30161</v>
      </c>
      <c r="AB62" s="601">
        <v>29775</v>
      </c>
      <c r="AC62" s="601">
        <v>59936</v>
      </c>
    </row>
    <row r="63" spans="1:29" ht="17.25" customHeight="1" x14ac:dyDescent="0.35">
      <c r="A63" s="655"/>
      <c r="B63" s="530" t="s">
        <v>957</v>
      </c>
      <c r="C63" s="601">
        <v>1148</v>
      </c>
      <c r="D63" s="601">
        <v>1671</v>
      </c>
      <c r="E63" s="601">
        <v>2819</v>
      </c>
      <c r="F63" s="601">
        <v>34</v>
      </c>
      <c r="G63" s="601">
        <v>152</v>
      </c>
      <c r="H63" s="601">
        <v>186</v>
      </c>
      <c r="I63" s="601">
        <v>5885</v>
      </c>
      <c r="J63" s="601">
        <v>7993</v>
      </c>
      <c r="K63" s="601">
        <v>13878</v>
      </c>
      <c r="L63" s="601">
        <v>15514</v>
      </c>
      <c r="M63" s="601">
        <v>17241</v>
      </c>
      <c r="N63" s="601">
        <v>32755</v>
      </c>
      <c r="O63" s="601">
        <v>391</v>
      </c>
      <c r="P63" s="601">
        <v>413</v>
      </c>
      <c r="Q63" s="601">
        <v>804</v>
      </c>
      <c r="R63" s="601">
        <v>2080</v>
      </c>
      <c r="S63" s="601">
        <v>1044</v>
      </c>
      <c r="T63" s="601">
        <v>3124</v>
      </c>
      <c r="U63" s="601">
        <v>213</v>
      </c>
      <c r="V63" s="601">
        <v>121</v>
      </c>
      <c r="W63" s="601">
        <v>334</v>
      </c>
      <c r="X63" s="601">
        <v>703</v>
      </c>
      <c r="Y63" s="601">
        <v>729</v>
      </c>
      <c r="Z63" s="601">
        <v>1432</v>
      </c>
      <c r="AA63" s="601">
        <v>25968</v>
      </c>
      <c r="AB63" s="601">
        <v>29364</v>
      </c>
      <c r="AC63" s="601">
        <v>55332</v>
      </c>
    </row>
    <row r="64" spans="1:29" ht="19.5" customHeight="1" x14ac:dyDescent="0.35">
      <c r="A64" s="655"/>
      <c r="B64" s="530" t="s">
        <v>956</v>
      </c>
      <c r="C64" s="601">
        <v>997</v>
      </c>
      <c r="D64" s="601">
        <v>1654</v>
      </c>
      <c r="E64" s="601">
        <v>2651</v>
      </c>
      <c r="F64" s="601">
        <v>145</v>
      </c>
      <c r="G64" s="601">
        <v>290</v>
      </c>
      <c r="H64" s="601">
        <v>435</v>
      </c>
      <c r="I64" s="601">
        <v>5542</v>
      </c>
      <c r="J64" s="601">
        <v>6900</v>
      </c>
      <c r="K64" s="601">
        <v>12442</v>
      </c>
      <c r="L64" s="601">
        <v>16704</v>
      </c>
      <c r="M64" s="601">
        <v>17252</v>
      </c>
      <c r="N64" s="601">
        <v>33956</v>
      </c>
      <c r="O64" s="601">
        <v>317</v>
      </c>
      <c r="P64" s="601">
        <v>276</v>
      </c>
      <c r="Q64" s="601">
        <v>593</v>
      </c>
      <c r="R64" s="601">
        <v>2756</v>
      </c>
      <c r="S64" s="601">
        <v>917</v>
      </c>
      <c r="T64" s="601">
        <v>3673</v>
      </c>
      <c r="U64" s="601">
        <v>803</v>
      </c>
      <c r="V64" s="601">
        <v>702</v>
      </c>
      <c r="W64" s="601">
        <v>1505</v>
      </c>
      <c r="X64" s="601">
        <v>384</v>
      </c>
      <c r="Y64" s="601">
        <v>530</v>
      </c>
      <c r="Z64" s="601">
        <v>914</v>
      </c>
      <c r="AA64" s="601">
        <v>27648</v>
      </c>
      <c r="AB64" s="601">
        <v>28521</v>
      </c>
      <c r="AC64" s="601">
        <v>56169</v>
      </c>
    </row>
    <row r="65" spans="1:29" ht="17.25" customHeight="1" x14ac:dyDescent="0.35">
      <c r="A65" s="655">
        <v>10</v>
      </c>
      <c r="B65" s="973" t="s">
        <v>11</v>
      </c>
      <c r="C65" s="974"/>
      <c r="D65" s="974"/>
      <c r="E65" s="974"/>
      <c r="F65" s="974"/>
      <c r="G65" s="974"/>
      <c r="H65" s="974"/>
      <c r="I65" s="974"/>
      <c r="J65" s="974"/>
      <c r="K65" s="974"/>
      <c r="L65" s="974"/>
      <c r="M65" s="974"/>
      <c r="N65" s="974"/>
      <c r="O65" s="974"/>
      <c r="P65" s="974"/>
      <c r="Q65" s="974"/>
      <c r="R65" s="974"/>
      <c r="S65" s="974"/>
      <c r="T65" s="974"/>
      <c r="U65" s="974"/>
      <c r="V65" s="974"/>
      <c r="W65" s="974"/>
      <c r="X65" s="974"/>
      <c r="Y65" s="974"/>
      <c r="Z65" s="974"/>
      <c r="AA65" s="974"/>
      <c r="AB65" s="974"/>
      <c r="AC65" s="974"/>
    </row>
    <row r="66" spans="1:29" ht="17.25" customHeight="1" x14ac:dyDescent="0.35">
      <c r="A66" s="655"/>
      <c r="B66" s="529" t="s">
        <v>960</v>
      </c>
      <c r="C66" s="616">
        <v>19669</v>
      </c>
      <c r="D66" s="616">
        <v>24158</v>
      </c>
      <c r="E66" s="616">
        <v>43827</v>
      </c>
      <c r="F66" s="616">
        <v>17</v>
      </c>
      <c r="G66" s="616">
        <v>118</v>
      </c>
      <c r="H66" s="616">
        <v>135</v>
      </c>
      <c r="I66" s="616">
        <v>126744</v>
      </c>
      <c r="J66" s="616">
        <v>115896</v>
      </c>
      <c r="K66" s="616">
        <v>242640</v>
      </c>
      <c r="L66" s="616">
        <v>454406</v>
      </c>
      <c r="M66" s="616">
        <v>296186</v>
      </c>
      <c r="N66" s="616">
        <v>750592</v>
      </c>
      <c r="O66" s="616">
        <v>569</v>
      </c>
      <c r="P66" s="616">
        <v>486</v>
      </c>
      <c r="Q66" s="616">
        <v>1055</v>
      </c>
      <c r="R66" s="616">
        <v>4257</v>
      </c>
      <c r="S66" s="616">
        <v>2876</v>
      </c>
      <c r="T66" s="616">
        <v>7133</v>
      </c>
      <c r="U66" s="616">
        <v>2999</v>
      </c>
      <c r="V66" s="616">
        <v>3103</v>
      </c>
      <c r="W66" s="616">
        <v>6102</v>
      </c>
      <c r="X66" s="616">
        <v>21488</v>
      </c>
      <c r="Y66" s="616">
        <v>16967</v>
      </c>
      <c r="Z66" s="616">
        <v>38455</v>
      </c>
      <c r="AA66" s="616">
        <v>630149</v>
      </c>
      <c r="AB66" s="616">
        <v>459790</v>
      </c>
      <c r="AC66" s="616">
        <v>1089939</v>
      </c>
    </row>
    <row r="67" spans="1:29" ht="17.25" customHeight="1" x14ac:dyDescent="0.35">
      <c r="A67" s="655"/>
      <c r="B67" s="530" t="s">
        <v>959</v>
      </c>
      <c r="C67" s="601">
        <v>12417</v>
      </c>
      <c r="D67" s="601">
        <v>15937</v>
      </c>
      <c r="E67" s="601">
        <v>28354</v>
      </c>
      <c r="F67" s="601">
        <v>40</v>
      </c>
      <c r="G67" s="601">
        <v>136</v>
      </c>
      <c r="H67" s="601">
        <v>176</v>
      </c>
      <c r="I67" s="601">
        <v>100317</v>
      </c>
      <c r="J67" s="601">
        <v>93456</v>
      </c>
      <c r="K67" s="601">
        <v>193773</v>
      </c>
      <c r="L67" s="601">
        <v>403269</v>
      </c>
      <c r="M67" s="601">
        <v>257950</v>
      </c>
      <c r="N67" s="601">
        <v>661219</v>
      </c>
      <c r="O67" s="601">
        <v>5270</v>
      </c>
      <c r="P67" s="601">
        <v>4134</v>
      </c>
      <c r="Q67" s="601">
        <v>9404</v>
      </c>
      <c r="R67" s="601">
        <v>2807</v>
      </c>
      <c r="S67" s="601">
        <v>2485</v>
      </c>
      <c r="T67" s="601">
        <v>5292</v>
      </c>
      <c r="U67" s="601">
        <v>294</v>
      </c>
      <c r="V67" s="601">
        <v>244</v>
      </c>
      <c r="W67" s="601">
        <v>538</v>
      </c>
      <c r="X67" s="601">
        <v>20566</v>
      </c>
      <c r="Y67" s="601">
        <v>16419</v>
      </c>
      <c r="Z67" s="601">
        <v>36985</v>
      </c>
      <c r="AA67" s="601">
        <v>544980</v>
      </c>
      <c r="AB67" s="601">
        <v>390761</v>
      </c>
      <c r="AC67" s="601">
        <v>935741</v>
      </c>
    </row>
    <row r="68" spans="1:29" ht="17.25" customHeight="1" x14ac:dyDescent="0.35">
      <c r="A68" s="655"/>
      <c r="B68" s="530" t="s">
        <v>958</v>
      </c>
      <c r="C68" s="601">
        <v>12037</v>
      </c>
      <c r="D68" s="601">
        <v>14452</v>
      </c>
      <c r="E68" s="601">
        <v>26489</v>
      </c>
      <c r="F68" s="601">
        <v>72</v>
      </c>
      <c r="G68" s="601">
        <v>110</v>
      </c>
      <c r="H68" s="601">
        <v>182</v>
      </c>
      <c r="I68" s="601">
        <v>71608</v>
      </c>
      <c r="J68" s="601">
        <v>69253</v>
      </c>
      <c r="K68" s="601">
        <v>140861</v>
      </c>
      <c r="L68" s="601">
        <v>383713</v>
      </c>
      <c r="M68" s="601">
        <v>236508</v>
      </c>
      <c r="N68" s="601">
        <v>620221</v>
      </c>
      <c r="O68" s="601">
        <v>14190</v>
      </c>
      <c r="P68" s="601">
        <v>12854</v>
      </c>
      <c r="Q68" s="601">
        <v>27044</v>
      </c>
      <c r="R68" s="601">
        <v>2294</v>
      </c>
      <c r="S68" s="601">
        <v>1287</v>
      </c>
      <c r="T68" s="601">
        <v>3581</v>
      </c>
      <c r="U68" s="601">
        <v>294</v>
      </c>
      <c r="V68" s="601">
        <v>421</v>
      </c>
      <c r="W68" s="601">
        <v>715</v>
      </c>
      <c r="X68" s="601">
        <v>18447</v>
      </c>
      <c r="Y68" s="601">
        <v>15111</v>
      </c>
      <c r="Z68" s="601">
        <v>33558</v>
      </c>
      <c r="AA68" s="601">
        <v>502655</v>
      </c>
      <c r="AB68" s="601">
        <v>349996</v>
      </c>
      <c r="AC68" s="601">
        <v>852651</v>
      </c>
    </row>
    <row r="69" spans="1:29" ht="17.25" customHeight="1" x14ac:dyDescent="0.35">
      <c r="A69" s="655"/>
      <c r="B69" s="530" t="s">
        <v>957</v>
      </c>
      <c r="C69" s="601">
        <v>14374</v>
      </c>
      <c r="D69" s="601">
        <v>15377</v>
      </c>
      <c r="E69" s="601">
        <v>29751</v>
      </c>
      <c r="F69" s="601">
        <v>177</v>
      </c>
      <c r="G69" s="601">
        <v>399</v>
      </c>
      <c r="H69" s="601">
        <v>576</v>
      </c>
      <c r="I69" s="601">
        <v>67998</v>
      </c>
      <c r="J69" s="601">
        <v>66886</v>
      </c>
      <c r="K69" s="601">
        <v>134884</v>
      </c>
      <c r="L69" s="601">
        <v>418217</v>
      </c>
      <c r="M69" s="601">
        <v>260587</v>
      </c>
      <c r="N69" s="601">
        <v>678804</v>
      </c>
      <c r="O69" s="601">
        <v>4408</v>
      </c>
      <c r="P69" s="601">
        <v>4040</v>
      </c>
      <c r="Q69" s="601">
        <v>8448</v>
      </c>
      <c r="R69" s="601">
        <v>2816</v>
      </c>
      <c r="S69" s="601">
        <v>1757</v>
      </c>
      <c r="T69" s="601">
        <v>4573</v>
      </c>
      <c r="U69" s="601">
        <v>603</v>
      </c>
      <c r="V69" s="601">
        <v>811</v>
      </c>
      <c r="W69" s="601">
        <v>1414</v>
      </c>
      <c r="X69" s="601">
        <v>17239</v>
      </c>
      <c r="Y69" s="601">
        <v>14105</v>
      </c>
      <c r="Z69" s="601">
        <v>31344</v>
      </c>
      <c r="AA69" s="601">
        <v>525832</v>
      </c>
      <c r="AB69" s="601">
        <v>363962</v>
      </c>
      <c r="AC69" s="601">
        <v>889794</v>
      </c>
    </row>
    <row r="70" spans="1:29" ht="20.25" customHeight="1" x14ac:dyDescent="0.35">
      <c r="A70" s="655"/>
      <c r="B70" s="530" t="s">
        <v>956</v>
      </c>
      <c r="C70" s="601">
        <v>12538</v>
      </c>
      <c r="D70" s="601">
        <v>12196</v>
      </c>
      <c r="E70" s="601">
        <v>24734</v>
      </c>
      <c r="F70" s="601">
        <v>303</v>
      </c>
      <c r="G70" s="601">
        <v>697</v>
      </c>
      <c r="H70" s="601">
        <v>1000</v>
      </c>
      <c r="I70" s="601">
        <v>58752</v>
      </c>
      <c r="J70" s="601">
        <v>59178</v>
      </c>
      <c r="K70" s="601">
        <v>117930</v>
      </c>
      <c r="L70" s="601">
        <v>371741</v>
      </c>
      <c r="M70" s="601">
        <v>234714</v>
      </c>
      <c r="N70" s="601">
        <v>606455</v>
      </c>
      <c r="O70" s="601">
        <v>3546</v>
      </c>
      <c r="P70" s="601">
        <v>3237</v>
      </c>
      <c r="Q70" s="601">
        <v>6783</v>
      </c>
      <c r="R70" s="601">
        <v>3687</v>
      </c>
      <c r="S70" s="601">
        <v>2039</v>
      </c>
      <c r="T70" s="601">
        <v>5726</v>
      </c>
      <c r="U70" s="601">
        <v>146</v>
      </c>
      <c r="V70" s="601">
        <v>192</v>
      </c>
      <c r="W70" s="601">
        <v>338</v>
      </c>
      <c r="X70" s="601">
        <v>14519</v>
      </c>
      <c r="Y70" s="601">
        <v>11277</v>
      </c>
      <c r="Z70" s="601">
        <v>25796</v>
      </c>
      <c r="AA70" s="601">
        <v>465232</v>
      </c>
      <c r="AB70" s="601">
        <v>323530</v>
      </c>
      <c r="AC70" s="601">
        <v>788762</v>
      </c>
    </row>
    <row r="71" spans="1:29" x14ac:dyDescent="0.35">
      <c r="C71" s="531" t="s">
        <v>973</v>
      </c>
      <c r="L71" s="635" t="str">
        <f>C71</f>
        <v>* Figures of State Private Open University added in State Private University</v>
      </c>
      <c r="U71" s="635" t="str">
        <f>L71</f>
        <v>* Figures of State Private Open University added in State Private University</v>
      </c>
    </row>
  </sheetData>
  <mergeCells count="36">
    <mergeCell ref="U2:W2"/>
    <mergeCell ref="X2:Z2"/>
    <mergeCell ref="AA2:AC2"/>
    <mergeCell ref="A5:A10"/>
    <mergeCell ref="F2:H2"/>
    <mergeCell ref="I2:K2"/>
    <mergeCell ref="L2:N2"/>
    <mergeCell ref="O2:Q2"/>
    <mergeCell ref="R2:T2"/>
    <mergeCell ref="B5:AC5"/>
    <mergeCell ref="U1:AC1"/>
    <mergeCell ref="A53:A58"/>
    <mergeCell ref="A59:A64"/>
    <mergeCell ref="A65:A70"/>
    <mergeCell ref="A17:A22"/>
    <mergeCell ref="A23:A28"/>
    <mergeCell ref="A29:A34"/>
    <mergeCell ref="A35:A40"/>
    <mergeCell ref="A41:A46"/>
    <mergeCell ref="A47:A52"/>
    <mergeCell ref="A11:A16"/>
    <mergeCell ref="C1:K1"/>
    <mergeCell ref="L1:T1"/>
    <mergeCell ref="A2:A3"/>
    <mergeCell ref="B2:B3"/>
    <mergeCell ref="C2:E2"/>
    <mergeCell ref="B11:AC11"/>
    <mergeCell ref="B17:AC17"/>
    <mergeCell ref="B23:AC23"/>
    <mergeCell ref="B29:AC29"/>
    <mergeCell ref="B35:AC35"/>
    <mergeCell ref="B41:AC41"/>
    <mergeCell ref="B47:AB47"/>
    <mergeCell ref="B53:AC53"/>
    <mergeCell ref="B59:AC59"/>
    <mergeCell ref="B65:AC65"/>
  </mergeCells>
  <pageMargins left="0.59055118110236227" right="0.35433070866141736" top="0.27559055118110237" bottom="0.31496062992125984" header="0.15748031496062992" footer="0.15748031496062992"/>
  <pageSetup paperSize="9" scale="66" firstPageNumber="2" orientation="portrait" r:id="rId1"/>
  <headerFooter>
    <oddFooter>&amp;L&amp;"Arial,Italic"&amp;9AISHE 2023-24&amp;RT-50</oddFooter>
  </headerFooter>
  <colBreaks count="2" manualBreakCount="2">
    <brk id="11" max="1048575" man="1"/>
    <brk id="20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B329-7872-4F46-9359-B0F992964942}">
  <dimension ref="A1:AQ226"/>
  <sheetViews>
    <sheetView showZeros="0" tabSelected="1" view="pageBreakPreview" zoomScale="85" zoomScaleNormal="85" zoomScaleSheetLayoutView="85" workbookViewId="0">
      <pane xSplit="2" ySplit="3" topLeftCell="C4" activePane="bottomRight" state="frozen"/>
      <selection activeCell="L6" sqref="L6"/>
      <selection pane="topRight" activeCell="L6" sqref="L6"/>
      <selection pane="bottomLeft" activeCell="L6" sqref="L6"/>
      <selection pane="bottomRight" activeCell="G10" sqref="G10"/>
    </sheetView>
  </sheetViews>
  <sheetFormatPr defaultColWidth="9.1796875" defaultRowHeight="14" x14ac:dyDescent="0.35"/>
  <cols>
    <col min="1" max="1" width="6.453125" style="510" customWidth="1"/>
    <col min="2" max="2" width="30.54296875" style="528" customWidth="1"/>
    <col min="3" max="3" width="11.453125" style="528" customWidth="1"/>
    <col min="4" max="8" width="15.1796875" style="528" customWidth="1"/>
    <col min="9" max="17" width="9.81640625" style="528" customWidth="1"/>
    <col min="18" max="23" width="15.1796875" style="528" customWidth="1"/>
    <col min="24" max="24" width="16.453125" style="528" customWidth="1"/>
    <col min="25" max="25" width="7" style="528" customWidth="1"/>
    <col min="26" max="26" width="5" style="528" customWidth="1"/>
    <col min="27" max="27" width="19.1796875" style="528" customWidth="1"/>
    <col min="28" max="28" width="9" style="528" customWidth="1"/>
    <col min="29" max="29" width="11.54296875" style="528" customWidth="1"/>
    <col min="30" max="30" width="10.54296875" style="528" customWidth="1"/>
    <col min="31" max="40" width="9.26953125" style="528" bestFit="1" customWidth="1"/>
    <col min="41" max="41" width="9.1796875" style="528"/>
    <col min="42" max="43" width="9.26953125" style="528" bestFit="1" customWidth="1"/>
    <col min="44" max="16384" width="9.1796875" style="528"/>
  </cols>
  <sheetData>
    <row r="1" spans="1:23" s="522" customFormat="1" ht="27.75" customHeight="1" x14ac:dyDescent="0.35">
      <c r="A1" s="510"/>
      <c r="B1" s="521"/>
      <c r="C1" s="654" t="s">
        <v>1029</v>
      </c>
      <c r="D1" s="654"/>
      <c r="E1" s="654"/>
      <c r="F1" s="654"/>
      <c r="G1" s="654"/>
      <c r="H1" s="654"/>
      <c r="I1" s="654" t="str">
        <f>C1</f>
        <v>Table 51. Post-Wise Teacher Distribution Over the Last 5 Years</v>
      </c>
      <c r="J1" s="654"/>
      <c r="K1" s="654"/>
      <c r="L1" s="654"/>
      <c r="M1" s="654"/>
      <c r="N1" s="654"/>
      <c r="O1" s="654"/>
      <c r="P1" s="654"/>
      <c r="Q1" s="654"/>
      <c r="R1" s="654" t="str">
        <f>I1</f>
        <v>Table 51. Post-Wise Teacher Distribution Over the Last 5 Years</v>
      </c>
      <c r="S1" s="654"/>
      <c r="T1" s="654"/>
      <c r="U1" s="654"/>
      <c r="V1" s="654"/>
      <c r="W1" s="654"/>
    </row>
    <row r="2" spans="1:23" s="523" customFormat="1" ht="20.25" customHeight="1" x14ac:dyDescent="0.35">
      <c r="A2" s="656" t="s">
        <v>84</v>
      </c>
      <c r="B2" s="657" t="s">
        <v>1</v>
      </c>
      <c r="C2" s="657" t="s">
        <v>890</v>
      </c>
      <c r="D2" s="657"/>
      <c r="E2" s="657"/>
      <c r="F2" s="657" t="s">
        <v>891</v>
      </c>
      <c r="G2" s="657"/>
      <c r="H2" s="657"/>
      <c r="I2" s="658" t="s">
        <v>892</v>
      </c>
      <c r="J2" s="658"/>
      <c r="K2" s="658"/>
      <c r="L2" s="657" t="s">
        <v>893</v>
      </c>
      <c r="M2" s="657"/>
      <c r="N2" s="657"/>
      <c r="O2" s="657" t="s">
        <v>896</v>
      </c>
      <c r="P2" s="657"/>
      <c r="Q2" s="657"/>
      <c r="R2" s="657" t="s">
        <v>974</v>
      </c>
      <c r="S2" s="657"/>
      <c r="T2" s="657"/>
      <c r="U2" s="657" t="s">
        <v>895</v>
      </c>
      <c r="V2" s="657"/>
      <c r="W2" s="657"/>
    </row>
    <row r="3" spans="1:23" ht="21" customHeight="1" x14ac:dyDescent="0.35">
      <c r="A3" s="656"/>
      <c r="B3" s="657"/>
      <c r="C3" s="532" t="s">
        <v>103</v>
      </c>
      <c r="D3" s="532" t="s">
        <v>104</v>
      </c>
      <c r="E3" s="532" t="s">
        <v>965</v>
      </c>
      <c r="F3" s="532" t="s">
        <v>103</v>
      </c>
      <c r="G3" s="532" t="s">
        <v>104</v>
      </c>
      <c r="H3" s="532" t="s">
        <v>965</v>
      </c>
      <c r="I3" s="532" t="s">
        <v>103</v>
      </c>
      <c r="J3" s="532" t="s">
        <v>104</v>
      </c>
      <c r="K3" s="532" t="s">
        <v>965</v>
      </c>
      <c r="L3" s="532" t="s">
        <v>103</v>
      </c>
      <c r="M3" s="532" t="s">
        <v>104</v>
      </c>
      <c r="N3" s="532" t="s">
        <v>965</v>
      </c>
      <c r="O3" s="532" t="s">
        <v>103</v>
      </c>
      <c r="P3" s="532" t="s">
        <v>104</v>
      </c>
      <c r="Q3" s="532" t="s">
        <v>965</v>
      </c>
      <c r="R3" s="532" t="s">
        <v>103</v>
      </c>
      <c r="S3" s="532" t="s">
        <v>104</v>
      </c>
      <c r="T3" s="532" t="s">
        <v>965</v>
      </c>
      <c r="U3" s="532" t="s">
        <v>103</v>
      </c>
      <c r="V3" s="532" t="s">
        <v>104</v>
      </c>
      <c r="W3" s="532" t="s">
        <v>965</v>
      </c>
    </row>
    <row r="4" spans="1:23" x14ac:dyDescent="0.35">
      <c r="A4" s="525">
        <v>1</v>
      </c>
      <c r="B4" s="525">
        <v>2</v>
      </c>
      <c r="C4" s="525">
        <v>3</v>
      </c>
      <c r="D4" s="525">
        <v>4</v>
      </c>
      <c r="E4" s="525">
        <v>5</v>
      </c>
      <c r="F4" s="525">
        <v>6</v>
      </c>
      <c r="G4" s="525">
        <v>7</v>
      </c>
      <c r="H4" s="525">
        <v>8</v>
      </c>
      <c r="I4" s="525">
        <v>9</v>
      </c>
      <c r="J4" s="525">
        <v>10</v>
      </c>
      <c r="K4" s="525">
        <v>11</v>
      </c>
      <c r="L4" s="525">
        <v>12</v>
      </c>
      <c r="M4" s="525">
        <v>13</v>
      </c>
      <c r="N4" s="525">
        <v>14</v>
      </c>
      <c r="O4" s="525">
        <v>15</v>
      </c>
      <c r="P4" s="525">
        <v>16</v>
      </c>
      <c r="Q4" s="525">
        <v>17</v>
      </c>
      <c r="R4" s="525">
        <v>18</v>
      </c>
      <c r="S4" s="525">
        <v>19</v>
      </c>
      <c r="T4" s="525">
        <v>20</v>
      </c>
      <c r="U4" s="525">
        <v>21</v>
      </c>
      <c r="V4" s="525">
        <v>22</v>
      </c>
      <c r="W4" s="525">
        <v>23</v>
      </c>
    </row>
    <row r="5" spans="1:23" ht="15.75" customHeight="1" x14ac:dyDescent="0.35">
      <c r="A5" s="655"/>
      <c r="B5" s="649" t="s">
        <v>46</v>
      </c>
      <c r="C5" s="652"/>
      <c r="D5" s="652"/>
      <c r="E5" s="652"/>
      <c r="F5" s="652"/>
      <c r="G5" s="652"/>
      <c r="H5" s="652"/>
      <c r="I5" s="652"/>
      <c r="J5" s="652"/>
      <c r="K5" s="652"/>
      <c r="L5" s="652"/>
      <c r="M5" s="652"/>
      <c r="N5" s="652"/>
      <c r="O5" s="652"/>
      <c r="P5" s="652"/>
      <c r="Q5" s="652"/>
      <c r="R5" s="652"/>
      <c r="S5" s="652"/>
      <c r="T5" s="652"/>
      <c r="U5" s="652"/>
      <c r="V5" s="652"/>
      <c r="W5" s="653"/>
    </row>
    <row r="6" spans="1:23" x14ac:dyDescent="0.35">
      <c r="A6" s="655"/>
      <c r="B6" s="529" t="s">
        <v>960</v>
      </c>
      <c r="C6" s="616">
        <v>115069</v>
      </c>
      <c r="D6" s="616">
        <v>52490</v>
      </c>
      <c r="E6" s="616">
        <v>167559</v>
      </c>
      <c r="F6" s="616">
        <v>103658</v>
      </c>
      <c r="G6" s="616">
        <v>65674</v>
      </c>
      <c r="H6" s="616">
        <v>169332</v>
      </c>
      <c r="I6" s="616">
        <v>636163</v>
      </c>
      <c r="J6" s="616">
        <v>528197</v>
      </c>
      <c r="K6" s="616">
        <v>1164360</v>
      </c>
      <c r="L6" s="616">
        <v>38267</v>
      </c>
      <c r="M6" s="616">
        <v>76616</v>
      </c>
      <c r="N6" s="616">
        <v>114883</v>
      </c>
      <c r="O6" s="616">
        <v>53664</v>
      </c>
      <c r="P6" s="616">
        <v>49068</v>
      </c>
      <c r="Q6" s="616">
        <v>102732</v>
      </c>
      <c r="R6" s="616">
        <v>954107</v>
      </c>
      <c r="S6" s="616">
        <v>778187</v>
      </c>
      <c r="T6" s="616">
        <v>1732294</v>
      </c>
      <c r="U6" s="616">
        <v>7286</v>
      </c>
      <c r="V6" s="616">
        <v>6142</v>
      </c>
      <c r="W6" s="616">
        <v>13428</v>
      </c>
    </row>
    <row r="7" spans="1:23" x14ac:dyDescent="0.35">
      <c r="A7" s="655"/>
      <c r="B7" s="530" t="s">
        <v>959</v>
      </c>
      <c r="C7" s="601">
        <v>110382</v>
      </c>
      <c r="D7" s="601">
        <v>48309</v>
      </c>
      <c r="E7" s="601">
        <v>158691</v>
      </c>
      <c r="F7" s="601">
        <v>100876</v>
      </c>
      <c r="G7" s="601">
        <v>62865</v>
      </c>
      <c r="H7" s="601">
        <v>163741</v>
      </c>
      <c r="I7" s="601">
        <v>622263</v>
      </c>
      <c r="J7" s="601">
        <v>501024</v>
      </c>
      <c r="K7" s="601">
        <v>1123287</v>
      </c>
      <c r="L7" s="601">
        <v>34755</v>
      </c>
      <c r="M7" s="601">
        <v>70637</v>
      </c>
      <c r="N7" s="601">
        <v>105392</v>
      </c>
      <c r="O7" s="601">
        <v>51607</v>
      </c>
      <c r="P7" s="601">
        <v>47594</v>
      </c>
      <c r="Q7" s="601">
        <v>99201</v>
      </c>
      <c r="R7" s="601">
        <v>927394</v>
      </c>
      <c r="S7" s="601">
        <v>736778</v>
      </c>
      <c r="T7" s="601">
        <v>1664172</v>
      </c>
      <c r="U7" s="601">
        <v>7511</v>
      </c>
      <c r="V7" s="601">
        <v>6349</v>
      </c>
      <c r="W7" s="601">
        <v>13860</v>
      </c>
    </row>
    <row r="8" spans="1:23" x14ac:dyDescent="0.35">
      <c r="A8" s="655"/>
      <c r="B8" s="530" t="s">
        <v>958</v>
      </c>
      <c r="C8" s="601">
        <v>106703</v>
      </c>
      <c r="D8" s="601">
        <v>44704</v>
      </c>
      <c r="E8" s="601">
        <v>151407</v>
      </c>
      <c r="F8" s="601">
        <v>99893</v>
      </c>
      <c r="G8" s="601">
        <v>60840</v>
      </c>
      <c r="H8" s="601">
        <v>160733</v>
      </c>
      <c r="I8" s="601">
        <v>610368</v>
      </c>
      <c r="J8" s="601">
        <v>476158</v>
      </c>
      <c r="K8" s="601">
        <v>1086526</v>
      </c>
      <c r="L8" s="601">
        <v>32142</v>
      </c>
      <c r="M8" s="601">
        <v>63611</v>
      </c>
      <c r="N8" s="601">
        <v>95753</v>
      </c>
      <c r="O8" s="601">
        <v>47274</v>
      </c>
      <c r="P8" s="601">
        <v>43091</v>
      </c>
      <c r="Q8" s="601">
        <v>90365</v>
      </c>
      <c r="R8" s="601">
        <v>896380</v>
      </c>
      <c r="S8" s="601">
        <v>688404</v>
      </c>
      <c r="T8" s="601">
        <v>1584784</v>
      </c>
      <c r="U8" s="601">
        <v>7143</v>
      </c>
      <c r="V8" s="601">
        <v>5761</v>
      </c>
      <c r="W8" s="601">
        <v>12904</v>
      </c>
    </row>
    <row r="9" spans="1:23" x14ac:dyDescent="0.35">
      <c r="A9" s="655"/>
      <c r="B9" s="530" t="s">
        <v>957</v>
      </c>
      <c r="C9" s="603">
        <v>104469</v>
      </c>
      <c r="D9" s="603">
        <v>42280</v>
      </c>
      <c r="E9" s="603">
        <v>146749</v>
      </c>
      <c r="F9" s="603">
        <v>100272</v>
      </c>
      <c r="G9" s="603">
        <v>60387</v>
      </c>
      <c r="H9" s="603">
        <v>160659</v>
      </c>
      <c r="I9" s="603">
        <v>601019</v>
      </c>
      <c r="J9" s="603">
        <v>458277</v>
      </c>
      <c r="K9" s="603">
        <v>1059296</v>
      </c>
      <c r="L9" s="603">
        <v>29329</v>
      </c>
      <c r="M9" s="603">
        <v>58252</v>
      </c>
      <c r="N9" s="603">
        <v>87581</v>
      </c>
      <c r="O9" s="603">
        <v>43816</v>
      </c>
      <c r="P9" s="603">
        <v>39925</v>
      </c>
      <c r="Q9" s="603">
        <v>83741</v>
      </c>
      <c r="R9" s="603">
        <v>886140</v>
      </c>
      <c r="S9" s="603">
        <v>664930</v>
      </c>
      <c r="T9" s="603">
        <v>1551070</v>
      </c>
      <c r="U9" s="603">
        <v>7259</v>
      </c>
      <c r="V9" s="603">
        <v>5819</v>
      </c>
      <c r="W9" s="603">
        <v>13078</v>
      </c>
    </row>
    <row r="10" spans="1:23" x14ac:dyDescent="0.35">
      <c r="A10" s="655"/>
      <c r="B10" s="530" t="s">
        <v>956</v>
      </c>
      <c r="C10" s="603">
        <v>101319</v>
      </c>
      <c r="D10" s="603">
        <v>38478</v>
      </c>
      <c r="E10" s="603">
        <v>139797</v>
      </c>
      <c r="F10" s="603">
        <v>100652</v>
      </c>
      <c r="G10" s="603">
        <v>59485</v>
      </c>
      <c r="H10" s="603">
        <v>160137</v>
      </c>
      <c r="I10" s="603">
        <v>583231</v>
      </c>
      <c r="J10" s="603">
        <v>440288</v>
      </c>
      <c r="K10" s="603">
        <v>1023519</v>
      </c>
      <c r="L10" s="603">
        <v>27650</v>
      </c>
      <c r="M10" s="603">
        <v>52522</v>
      </c>
      <c r="N10" s="603">
        <v>80172</v>
      </c>
      <c r="O10" s="603">
        <v>43387</v>
      </c>
      <c r="P10" s="603">
        <v>41569</v>
      </c>
      <c r="Q10" s="603">
        <v>84956</v>
      </c>
      <c r="R10" s="603">
        <v>864337</v>
      </c>
      <c r="S10" s="603">
        <v>638819</v>
      </c>
      <c r="T10" s="603">
        <v>1503156</v>
      </c>
      <c r="U10" s="603">
        <v>8098</v>
      </c>
      <c r="V10" s="603">
        <v>6477</v>
      </c>
      <c r="W10" s="603">
        <v>14575</v>
      </c>
    </row>
    <row r="11" spans="1:23" ht="14.5" x14ac:dyDescent="0.35">
      <c r="A11" s="655">
        <v>1</v>
      </c>
      <c r="B11" s="649" t="s">
        <v>56</v>
      </c>
      <c r="C11" s="650"/>
      <c r="D11" s="650"/>
      <c r="E11" s="650"/>
      <c r="F11" s="650"/>
      <c r="G11" s="650"/>
      <c r="H11" s="650"/>
      <c r="I11" s="650"/>
      <c r="J11" s="650"/>
      <c r="K11" s="650"/>
      <c r="L11" s="650"/>
      <c r="M11" s="650"/>
      <c r="N11" s="650"/>
      <c r="O11" s="650"/>
      <c r="P11" s="650"/>
      <c r="Q11" s="650"/>
      <c r="R11" s="650"/>
      <c r="S11" s="650"/>
      <c r="T11" s="650"/>
      <c r="U11" s="650"/>
      <c r="V11" s="650"/>
      <c r="W11" s="651"/>
    </row>
    <row r="12" spans="1:23" ht="15" x14ac:dyDescent="0.35">
      <c r="A12" s="655"/>
      <c r="B12" s="529" t="s">
        <v>960</v>
      </c>
      <c r="C12" s="617">
        <v>4</v>
      </c>
      <c r="D12" s="616"/>
      <c r="E12" s="616">
        <v>4</v>
      </c>
      <c r="F12" s="616">
        <v>1</v>
      </c>
      <c r="G12" s="616"/>
      <c r="H12" s="616">
        <v>1</v>
      </c>
      <c r="I12" s="616">
        <v>50</v>
      </c>
      <c r="J12" s="616">
        <v>34</v>
      </c>
      <c r="K12" s="616">
        <v>84</v>
      </c>
      <c r="L12" s="616"/>
      <c r="M12" s="616"/>
      <c r="N12" s="616"/>
      <c r="O12" s="616">
        <v>9</v>
      </c>
      <c r="P12" s="616">
        <v>41</v>
      </c>
      <c r="Q12" s="616">
        <v>50</v>
      </c>
      <c r="R12" s="616">
        <v>64</v>
      </c>
      <c r="S12" s="616">
        <v>75</v>
      </c>
      <c r="T12" s="616">
        <v>139</v>
      </c>
      <c r="U12" s="616"/>
      <c r="V12" s="616"/>
      <c r="W12" s="616"/>
    </row>
    <row r="13" spans="1:23" x14ac:dyDescent="0.35">
      <c r="A13" s="655"/>
      <c r="B13" s="530" t="s">
        <v>959</v>
      </c>
      <c r="C13" s="601">
        <v>4</v>
      </c>
      <c r="D13" s="601"/>
      <c r="E13" s="601">
        <v>4</v>
      </c>
      <c r="F13" s="601"/>
      <c r="G13" s="601"/>
      <c r="H13" s="601"/>
      <c r="I13" s="601">
        <v>47</v>
      </c>
      <c r="J13" s="601">
        <v>27</v>
      </c>
      <c r="K13" s="601">
        <v>74</v>
      </c>
      <c r="L13" s="601"/>
      <c r="M13" s="601"/>
      <c r="N13" s="601"/>
      <c r="O13" s="601">
        <v>8</v>
      </c>
      <c r="P13" s="601">
        <v>40</v>
      </c>
      <c r="Q13" s="601">
        <v>48</v>
      </c>
      <c r="R13" s="601">
        <v>59</v>
      </c>
      <c r="S13" s="601">
        <v>67</v>
      </c>
      <c r="T13" s="601">
        <v>126</v>
      </c>
      <c r="U13" s="601"/>
      <c r="V13" s="601"/>
      <c r="W13" s="601"/>
    </row>
    <row r="14" spans="1:23" x14ac:dyDescent="0.35">
      <c r="A14" s="655"/>
      <c r="B14" s="530" t="s">
        <v>958</v>
      </c>
      <c r="C14" s="601">
        <v>26</v>
      </c>
      <c r="D14" s="601">
        <v>2</v>
      </c>
      <c r="E14" s="601">
        <v>28</v>
      </c>
      <c r="F14" s="601">
        <v>51</v>
      </c>
      <c r="G14" s="601">
        <v>12</v>
      </c>
      <c r="H14" s="601">
        <v>63</v>
      </c>
      <c r="I14" s="601">
        <v>99</v>
      </c>
      <c r="J14" s="601">
        <v>48</v>
      </c>
      <c r="K14" s="601">
        <v>147</v>
      </c>
      <c r="L14" s="601">
        <v>12</v>
      </c>
      <c r="M14" s="601">
        <v>8</v>
      </c>
      <c r="N14" s="601">
        <v>20</v>
      </c>
      <c r="O14" s="601">
        <v>48</v>
      </c>
      <c r="P14" s="601">
        <v>112</v>
      </c>
      <c r="Q14" s="601">
        <v>160</v>
      </c>
      <c r="R14" s="601">
        <v>236</v>
      </c>
      <c r="S14" s="601">
        <v>182</v>
      </c>
      <c r="T14" s="601">
        <v>418</v>
      </c>
      <c r="U14" s="601">
        <v>11</v>
      </c>
      <c r="V14" s="601">
        <v>23</v>
      </c>
      <c r="W14" s="601">
        <v>34</v>
      </c>
    </row>
    <row r="15" spans="1:23" x14ac:dyDescent="0.35">
      <c r="A15" s="655"/>
      <c r="B15" s="530" t="s">
        <v>957</v>
      </c>
      <c r="C15" s="603">
        <v>25</v>
      </c>
      <c r="D15" s="603">
        <v>2</v>
      </c>
      <c r="E15" s="603">
        <v>27</v>
      </c>
      <c r="F15" s="603">
        <v>52</v>
      </c>
      <c r="G15" s="603">
        <v>12</v>
      </c>
      <c r="H15" s="603">
        <v>64</v>
      </c>
      <c r="I15" s="603">
        <v>99</v>
      </c>
      <c r="J15" s="603">
        <v>47</v>
      </c>
      <c r="K15" s="603">
        <v>146</v>
      </c>
      <c r="L15" s="603">
        <v>12</v>
      </c>
      <c r="M15" s="603">
        <v>8</v>
      </c>
      <c r="N15" s="603">
        <v>20</v>
      </c>
      <c r="O15" s="603">
        <v>50</v>
      </c>
      <c r="P15" s="603">
        <v>112</v>
      </c>
      <c r="Q15" s="603">
        <v>162</v>
      </c>
      <c r="R15" s="603">
        <v>249</v>
      </c>
      <c r="S15" s="603">
        <v>204</v>
      </c>
      <c r="T15" s="603">
        <v>453</v>
      </c>
      <c r="U15" s="603">
        <v>11</v>
      </c>
      <c r="V15" s="603">
        <v>23</v>
      </c>
      <c r="W15" s="603">
        <v>34</v>
      </c>
    </row>
    <row r="16" spans="1:23" x14ac:dyDescent="0.35">
      <c r="A16" s="655"/>
      <c r="B16" s="530" t="s">
        <v>956</v>
      </c>
      <c r="C16" s="603">
        <v>24</v>
      </c>
      <c r="D16" s="603">
        <v>2</v>
      </c>
      <c r="E16" s="603">
        <v>26</v>
      </c>
      <c r="F16" s="603">
        <v>51</v>
      </c>
      <c r="G16" s="603">
        <v>12</v>
      </c>
      <c r="H16" s="603">
        <v>63</v>
      </c>
      <c r="I16" s="603">
        <v>107</v>
      </c>
      <c r="J16" s="603">
        <v>53</v>
      </c>
      <c r="K16" s="603">
        <v>160</v>
      </c>
      <c r="L16" s="603">
        <v>12</v>
      </c>
      <c r="M16" s="603">
        <v>8</v>
      </c>
      <c r="N16" s="603">
        <v>20</v>
      </c>
      <c r="O16" s="603">
        <v>49</v>
      </c>
      <c r="P16" s="603">
        <v>111</v>
      </c>
      <c r="Q16" s="603">
        <v>160</v>
      </c>
      <c r="R16" s="603">
        <v>254</v>
      </c>
      <c r="S16" s="603">
        <v>209</v>
      </c>
      <c r="T16" s="603">
        <v>463</v>
      </c>
      <c r="U16" s="603">
        <v>11</v>
      </c>
      <c r="V16" s="603">
        <v>23</v>
      </c>
      <c r="W16" s="603">
        <v>34</v>
      </c>
    </row>
    <row r="17" spans="1:23" ht="14.5" x14ac:dyDescent="0.35">
      <c r="A17" s="655">
        <v>2</v>
      </c>
      <c r="B17" s="649" t="s">
        <v>13</v>
      </c>
      <c r="C17" s="650"/>
      <c r="D17" s="650"/>
      <c r="E17" s="650"/>
      <c r="F17" s="650"/>
      <c r="G17" s="650"/>
      <c r="H17" s="650"/>
      <c r="I17" s="650"/>
      <c r="J17" s="650"/>
      <c r="K17" s="650"/>
      <c r="L17" s="650"/>
      <c r="M17" s="650"/>
      <c r="N17" s="650"/>
      <c r="O17" s="650"/>
      <c r="P17" s="650"/>
      <c r="Q17" s="650"/>
      <c r="R17" s="650"/>
      <c r="S17" s="650"/>
      <c r="T17" s="650"/>
      <c r="U17" s="650"/>
      <c r="V17" s="650"/>
      <c r="W17" s="651"/>
    </row>
    <row r="18" spans="1:23" x14ac:dyDescent="0.35">
      <c r="A18" s="655"/>
      <c r="B18" s="529" t="s">
        <v>960</v>
      </c>
      <c r="C18" s="616">
        <v>7318</v>
      </c>
      <c r="D18" s="616">
        <v>2821</v>
      </c>
      <c r="E18" s="616">
        <v>10139</v>
      </c>
      <c r="F18" s="616">
        <v>6970</v>
      </c>
      <c r="G18" s="616">
        <v>3430</v>
      </c>
      <c r="H18" s="616">
        <v>10400</v>
      </c>
      <c r="I18" s="616">
        <v>45737</v>
      </c>
      <c r="J18" s="616">
        <v>31021</v>
      </c>
      <c r="K18" s="616">
        <v>76758</v>
      </c>
      <c r="L18" s="616">
        <v>1093</v>
      </c>
      <c r="M18" s="616">
        <v>5361</v>
      </c>
      <c r="N18" s="616">
        <v>6454</v>
      </c>
      <c r="O18" s="616">
        <v>2565</v>
      </c>
      <c r="P18" s="616">
        <v>1901</v>
      </c>
      <c r="Q18" s="616">
        <v>4466</v>
      </c>
      <c r="R18" s="616">
        <v>63742</v>
      </c>
      <c r="S18" s="616">
        <v>44612</v>
      </c>
      <c r="T18" s="616">
        <v>108354</v>
      </c>
      <c r="U18" s="616">
        <v>59</v>
      </c>
      <c r="V18" s="616">
        <v>78</v>
      </c>
      <c r="W18" s="616">
        <v>137</v>
      </c>
    </row>
    <row r="19" spans="1:23" x14ac:dyDescent="0.35">
      <c r="A19" s="655"/>
      <c r="B19" s="530" t="s">
        <v>959</v>
      </c>
      <c r="C19" s="601">
        <v>7329</v>
      </c>
      <c r="D19" s="601">
        <v>2592</v>
      </c>
      <c r="E19" s="601">
        <v>9921</v>
      </c>
      <c r="F19" s="601">
        <v>6884</v>
      </c>
      <c r="G19" s="601">
        <v>3174</v>
      </c>
      <c r="H19" s="601">
        <v>10058</v>
      </c>
      <c r="I19" s="601">
        <v>47233</v>
      </c>
      <c r="J19" s="601">
        <v>29898</v>
      </c>
      <c r="K19" s="601">
        <v>77131</v>
      </c>
      <c r="L19" s="601">
        <v>1029</v>
      </c>
      <c r="M19" s="601">
        <v>5136</v>
      </c>
      <c r="N19" s="601">
        <v>6165</v>
      </c>
      <c r="O19" s="601">
        <v>2391</v>
      </c>
      <c r="P19" s="601">
        <v>1718</v>
      </c>
      <c r="Q19" s="601">
        <v>4109</v>
      </c>
      <c r="R19" s="601">
        <v>64920</v>
      </c>
      <c r="S19" s="601">
        <v>42589</v>
      </c>
      <c r="T19" s="601">
        <v>107509</v>
      </c>
      <c r="U19" s="601">
        <v>54</v>
      </c>
      <c r="V19" s="601">
        <v>71</v>
      </c>
      <c r="W19" s="601">
        <v>125</v>
      </c>
    </row>
    <row r="20" spans="1:23" x14ac:dyDescent="0.35">
      <c r="A20" s="655"/>
      <c r="B20" s="530" t="s">
        <v>958</v>
      </c>
      <c r="C20" s="601">
        <v>7337</v>
      </c>
      <c r="D20" s="601">
        <v>2310</v>
      </c>
      <c r="E20" s="601">
        <v>9647</v>
      </c>
      <c r="F20" s="601">
        <v>6601</v>
      </c>
      <c r="G20" s="601">
        <v>2808</v>
      </c>
      <c r="H20" s="601">
        <v>9409</v>
      </c>
      <c r="I20" s="601">
        <v>48610</v>
      </c>
      <c r="J20" s="601">
        <v>29183</v>
      </c>
      <c r="K20" s="601">
        <v>77793</v>
      </c>
      <c r="L20" s="601">
        <v>924</v>
      </c>
      <c r="M20" s="601">
        <v>4530</v>
      </c>
      <c r="N20" s="601">
        <v>5454</v>
      </c>
      <c r="O20" s="601">
        <v>2400</v>
      </c>
      <c r="P20" s="601">
        <v>1708</v>
      </c>
      <c r="Q20" s="601">
        <v>4108</v>
      </c>
      <c r="R20" s="601">
        <v>65872</v>
      </c>
      <c r="S20" s="601">
        <v>40539</v>
      </c>
      <c r="T20" s="601">
        <v>106411</v>
      </c>
      <c r="U20" s="601">
        <v>58</v>
      </c>
      <c r="V20" s="601">
        <v>69</v>
      </c>
      <c r="W20" s="601">
        <v>127</v>
      </c>
    </row>
    <row r="21" spans="1:23" x14ac:dyDescent="0.35">
      <c r="A21" s="655"/>
      <c r="B21" s="530" t="s">
        <v>957</v>
      </c>
      <c r="C21" s="603">
        <v>7261</v>
      </c>
      <c r="D21" s="603">
        <v>2150</v>
      </c>
      <c r="E21" s="603">
        <v>9411</v>
      </c>
      <c r="F21" s="603">
        <v>6633</v>
      </c>
      <c r="G21" s="603">
        <v>2687</v>
      </c>
      <c r="H21" s="603">
        <v>9320</v>
      </c>
      <c r="I21" s="603">
        <v>47557</v>
      </c>
      <c r="J21" s="603">
        <v>27520</v>
      </c>
      <c r="K21" s="603">
        <v>75077</v>
      </c>
      <c r="L21" s="603">
        <v>885</v>
      </c>
      <c r="M21" s="603">
        <v>4019</v>
      </c>
      <c r="N21" s="603">
        <v>4904</v>
      </c>
      <c r="O21" s="603">
        <v>2212</v>
      </c>
      <c r="P21" s="603">
        <v>1564</v>
      </c>
      <c r="Q21" s="603">
        <v>3776</v>
      </c>
      <c r="R21" s="603">
        <v>64608</v>
      </c>
      <c r="S21" s="603">
        <v>38004</v>
      </c>
      <c r="T21" s="603">
        <v>102612</v>
      </c>
      <c r="U21" s="603">
        <v>60</v>
      </c>
      <c r="V21" s="603">
        <v>64</v>
      </c>
      <c r="W21" s="603">
        <v>124</v>
      </c>
    </row>
    <row r="22" spans="1:23" x14ac:dyDescent="0.35">
      <c r="A22" s="655"/>
      <c r="B22" s="530" t="s">
        <v>956</v>
      </c>
      <c r="C22" s="603">
        <v>7282</v>
      </c>
      <c r="D22" s="603">
        <v>1947</v>
      </c>
      <c r="E22" s="603">
        <v>9229</v>
      </c>
      <c r="F22" s="603">
        <v>6845</v>
      </c>
      <c r="G22" s="603">
        <v>2482</v>
      </c>
      <c r="H22" s="603">
        <v>9327</v>
      </c>
      <c r="I22" s="603">
        <v>46694</v>
      </c>
      <c r="J22" s="603">
        <v>26059</v>
      </c>
      <c r="K22" s="603">
        <v>72753</v>
      </c>
      <c r="L22" s="603">
        <v>828</v>
      </c>
      <c r="M22" s="603">
        <v>3353</v>
      </c>
      <c r="N22" s="603">
        <v>4181</v>
      </c>
      <c r="O22" s="603">
        <v>2384</v>
      </c>
      <c r="P22" s="603">
        <v>1720</v>
      </c>
      <c r="Q22" s="603">
        <v>4104</v>
      </c>
      <c r="R22" s="603">
        <v>64116</v>
      </c>
      <c r="S22" s="603">
        <v>35621</v>
      </c>
      <c r="T22" s="603">
        <v>99737</v>
      </c>
      <c r="U22" s="603">
        <v>83</v>
      </c>
      <c r="V22" s="603">
        <v>60</v>
      </c>
      <c r="W22" s="603">
        <v>143</v>
      </c>
    </row>
    <row r="23" spans="1:23" ht="14.5" x14ac:dyDescent="0.35">
      <c r="A23" s="655">
        <v>3</v>
      </c>
      <c r="B23" s="649" t="s">
        <v>14</v>
      </c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  <c r="O23" s="650"/>
      <c r="P23" s="650"/>
      <c r="Q23" s="650"/>
      <c r="R23" s="650"/>
      <c r="S23" s="650"/>
      <c r="T23" s="650"/>
      <c r="U23" s="650"/>
      <c r="V23" s="650"/>
      <c r="W23" s="651"/>
    </row>
    <row r="24" spans="1:23" x14ac:dyDescent="0.35">
      <c r="A24" s="655"/>
      <c r="B24" s="529" t="s">
        <v>960</v>
      </c>
      <c r="C24" s="616">
        <v>183</v>
      </c>
      <c r="D24" s="616">
        <v>50</v>
      </c>
      <c r="E24" s="616">
        <v>233</v>
      </c>
      <c r="F24" s="616">
        <v>197</v>
      </c>
      <c r="G24" s="616">
        <v>66</v>
      </c>
      <c r="H24" s="616">
        <v>263</v>
      </c>
      <c r="I24" s="616">
        <v>838</v>
      </c>
      <c r="J24" s="616">
        <v>771</v>
      </c>
      <c r="K24" s="616">
        <v>1609</v>
      </c>
      <c r="L24" s="616">
        <v>13</v>
      </c>
      <c r="M24" s="616">
        <v>87</v>
      </c>
      <c r="N24" s="616">
        <v>100</v>
      </c>
      <c r="O24" s="616">
        <v>70</v>
      </c>
      <c r="P24" s="616">
        <v>114</v>
      </c>
      <c r="Q24" s="616">
        <v>184</v>
      </c>
      <c r="R24" s="616">
        <v>1302</v>
      </c>
      <c r="S24" s="616">
        <v>1088</v>
      </c>
      <c r="T24" s="616">
        <v>2390</v>
      </c>
      <c r="U24" s="616">
        <v>1</v>
      </c>
      <c r="V24" s="616"/>
      <c r="W24" s="616">
        <v>1</v>
      </c>
    </row>
    <row r="25" spans="1:23" x14ac:dyDescent="0.35">
      <c r="A25" s="655"/>
      <c r="B25" s="530" t="s">
        <v>959</v>
      </c>
      <c r="C25" s="601">
        <v>172</v>
      </c>
      <c r="D25" s="601">
        <v>45</v>
      </c>
      <c r="E25" s="601">
        <v>217</v>
      </c>
      <c r="F25" s="601">
        <v>187</v>
      </c>
      <c r="G25" s="601">
        <v>65</v>
      </c>
      <c r="H25" s="601">
        <v>252</v>
      </c>
      <c r="I25" s="601">
        <v>834</v>
      </c>
      <c r="J25" s="601">
        <v>789</v>
      </c>
      <c r="K25" s="601">
        <v>1623</v>
      </c>
      <c r="L25" s="601">
        <v>13</v>
      </c>
      <c r="M25" s="601">
        <v>76</v>
      </c>
      <c r="N25" s="601">
        <v>89</v>
      </c>
      <c r="O25" s="601">
        <v>55</v>
      </c>
      <c r="P25" s="601">
        <v>91</v>
      </c>
      <c r="Q25" s="601">
        <v>146</v>
      </c>
      <c r="R25" s="601">
        <v>1265</v>
      </c>
      <c r="S25" s="601">
        <v>1068</v>
      </c>
      <c r="T25" s="601">
        <v>2333</v>
      </c>
      <c r="U25" s="601">
        <v>4</v>
      </c>
      <c r="V25" s="601">
        <v>2</v>
      </c>
      <c r="W25" s="601">
        <v>6</v>
      </c>
    </row>
    <row r="26" spans="1:23" x14ac:dyDescent="0.35">
      <c r="A26" s="655"/>
      <c r="B26" s="530" t="s">
        <v>958</v>
      </c>
      <c r="C26" s="601">
        <v>181</v>
      </c>
      <c r="D26" s="601">
        <v>45</v>
      </c>
      <c r="E26" s="601">
        <v>226</v>
      </c>
      <c r="F26" s="601">
        <v>207</v>
      </c>
      <c r="G26" s="601">
        <v>63</v>
      </c>
      <c r="H26" s="601">
        <v>270</v>
      </c>
      <c r="I26" s="601">
        <v>828</v>
      </c>
      <c r="J26" s="601">
        <v>779</v>
      </c>
      <c r="K26" s="601">
        <v>1607</v>
      </c>
      <c r="L26" s="601">
        <v>16</v>
      </c>
      <c r="M26" s="601">
        <v>69</v>
      </c>
      <c r="N26" s="601">
        <v>85</v>
      </c>
      <c r="O26" s="601">
        <v>41</v>
      </c>
      <c r="P26" s="601">
        <v>58</v>
      </c>
      <c r="Q26" s="601">
        <v>99</v>
      </c>
      <c r="R26" s="601">
        <v>1273</v>
      </c>
      <c r="S26" s="601">
        <v>1014</v>
      </c>
      <c r="T26" s="601">
        <v>2287</v>
      </c>
      <c r="U26" s="601">
        <v>3</v>
      </c>
      <c r="V26" s="601">
        <v>3</v>
      </c>
      <c r="W26" s="601">
        <v>6</v>
      </c>
    </row>
    <row r="27" spans="1:23" x14ac:dyDescent="0.35">
      <c r="A27" s="655"/>
      <c r="B27" s="530" t="s">
        <v>957</v>
      </c>
      <c r="C27" s="603">
        <v>167</v>
      </c>
      <c r="D27" s="603">
        <v>40</v>
      </c>
      <c r="E27" s="603">
        <v>207</v>
      </c>
      <c r="F27" s="603">
        <v>192</v>
      </c>
      <c r="G27" s="603">
        <v>58</v>
      </c>
      <c r="H27" s="603">
        <v>250</v>
      </c>
      <c r="I27" s="603">
        <v>839</v>
      </c>
      <c r="J27" s="603">
        <v>768</v>
      </c>
      <c r="K27" s="603">
        <v>1607</v>
      </c>
      <c r="L27" s="603">
        <v>17</v>
      </c>
      <c r="M27" s="603">
        <v>37</v>
      </c>
      <c r="N27" s="603">
        <v>54</v>
      </c>
      <c r="O27" s="603">
        <v>17</v>
      </c>
      <c r="P27" s="603">
        <v>20</v>
      </c>
      <c r="Q27" s="603">
        <v>37</v>
      </c>
      <c r="R27" s="603">
        <v>1233</v>
      </c>
      <c r="S27" s="603">
        <v>926</v>
      </c>
      <c r="T27" s="603">
        <v>2159</v>
      </c>
      <c r="U27" s="603">
        <v>1</v>
      </c>
      <c r="V27" s="603">
        <v>3</v>
      </c>
      <c r="W27" s="603">
        <v>4</v>
      </c>
    </row>
    <row r="28" spans="1:23" x14ac:dyDescent="0.35">
      <c r="A28" s="655"/>
      <c r="B28" s="530" t="s">
        <v>956</v>
      </c>
      <c r="C28" s="603">
        <v>171</v>
      </c>
      <c r="D28" s="603">
        <v>33</v>
      </c>
      <c r="E28" s="603">
        <v>204</v>
      </c>
      <c r="F28" s="603">
        <v>180</v>
      </c>
      <c r="G28" s="603">
        <v>55</v>
      </c>
      <c r="H28" s="603">
        <v>235</v>
      </c>
      <c r="I28" s="603">
        <v>826</v>
      </c>
      <c r="J28" s="603">
        <v>674</v>
      </c>
      <c r="K28" s="603">
        <v>1500</v>
      </c>
      <c r="L28" s="603">
        <v>18</v>
      </c>
      <c r="M28" s="603">
        <v>14</v>
      </c>
      <c r="N28" s="603">
        <v>32</v>
      </c>
      <c r="O28" s="603">
        <v>13</v>
      </c>
      <c r="P28" s="603">
        <v>13</v>
      </c>
      <c r="Q28" s="603">
        <v>26</v>
      </c>
      <c r="R28" s="603">
        <v>1213</v>
      </c>
      <c r="S28" s="603">
        <v>791</v>
      </c>
      <c r="T28" s="603">
        <v>2004</v>
      </c>
      <c r="U28" s="603">
        <v>5</v>
      </c>
      <c r="V28" s="603">
        <v>2</v>
      </c>
      <c r="W28" s="603">
        <v>7</v>
      </c>
    </row>
    <row r="29" spans="1:23" ht="14.5" x14ac:dyDescent="0.35">
      <c r="A29" s="655">
        <v>4</v>
      </c>
      <c r="B29" s="649" t="s">
        <v>15</v>
      </c>
      <c r="C29" s="650"/>
      <c r="D29" s="650"/>
      <c r="E29" s="650"/>
      <c r="F29" s="650"/>
      <c r="G29" s="650"/>
      <c r="H29" s="650"/>
      <c r="I29" s="650"/>
      <c r="J29" s="650"/>
      <c r="K29" s="650"/>
      <c r="L29" s="650"/>
      <c r="M29" s="650"/>
      <c r="N29" s="650"/>
      <c r="O29" s="650"/>
      <c r="P29" s="650"/>
      <c r="Q29" s="650"/>
      <c r="R29" s="650"/>
      <c r="S29" s="650"/>
      <c r="T29" s="650"/>
      <c r="U29" s="650"/>
      <c r="V29" s="650"/>
      <c r="W29" s="651"/>
    </row>
    <row r="30" spans="1:23" x14ac:dyDescent="0.35">
      <c r="A30" s="655"/>
      <c r="B30" s="529" t="s">
        <v>960</v>
      </c>
      <c r="C30" s="616">
        <v>1490</v>
      </c>
      <c r="D30" s="616">
        <v>591</v>
      </c>
      <c r="E30" s="616">
        <v>2081</v>
      </c>
      <c r="F30" s="616">
        <v>2106</v>
      </c>
      <c r="G30" s="616">
        <v>1195</v>
      </c>
      <c r="H30" s="616">
        <v>3301</v>
      </c>
      <c r="I30" s="616">
        <v>10221</v>
      </c>
      <c r="J30" s="616">
        <v>9117</v>
      </c>
      <c r="K30" s="616">
        <v>19338</v>
      </c>
      <c r="L30" s="616">
        <v>687</v>
      </c>
      <c r="M30" s="616">
        <v>1070</v>
      </c>
      <c r="N30" s="616">
        <v>1757</v>
      </c>
      <c r="O30" s="616">
        <v>709</v>
      </c>
      <c r="P30" s="616">
        <v>851</v>
      </c>
      <c r="Q30" s="616">
        <v>1560</v>
      </c>
      <c r="R30" s="616">
        <v>15236</v>
      </c>
      <c r="S30" s="616">
        <v>12847</v>
      </c>
      <c r="T30" s="616">
        <v>28083</v>
      </c>
      <c r="U30" s="616">
        <v>23</v>
      </c>
      <c r="V30" s="616">
        <v>23</v>
      </c>
      <c r="W30" s="616">
        <v>46</v>
      </c>
    </row>
    <row r="31" spans="1:23" x14ac:dyDescent="0.35">
      <c r="A31" s="655"/>
      <c r="B31" s="530" t="s">
        <v>959</v>
      </c>
      <c r="C31" s="601">
        <v>1401</v>
      </c>
      <c r="D31" s="601">
        <v>512</v>
      </c>
      <c r="E31" s="601">
        <v>1913</v>
      </c>
      <c r="F31" s="601">
        <v>2111</v>
      </c>
      <c r="G31" s="601">
        <v>1230</v>
      </c>
      <c r="H31" s="601">
        <v>3341</v>
      </c>
      <c r="I31" s="601">
        <v>9863</v>
      </c>
      <c r="J31" s="601">
        <v>8378</v>
      </c>
      <c r="K31" s="601">
        <v>18241</v>
      </c>
      <c r="L31" s="601">
        <v>663</v>
      </c>
      <c r="M31" s="601">
        <v>944</v>
      </c>
      <c r="N31" s="601">
        <v>1607</v>
      </c>
      <c r="O31" s="601">
        <v>709</v>
      </c>
      <c r="P31" s="601">
        <v>875</v>
      </c>
      <c r="Q31" s="601">
        <v>1584</v>
      </c>
      <c r="R31" s="601">
        <v>14772</v>
      </c>
      <c r="S31" s="601">
        <v>11962</v>
      </c>
      <c r="T31" s="601">
        <v>26734</v>
      </c>
      <c r="U31" s="601">
        <v>25</v>
      </c>
      <c r="V31" s="601">
        <v>23</v>
      </c>
      <c r="W31" s="601">
        <v>48</v>
      </c>
    </row>
    <row r="32" spans="1:23" x14ac:dyDescent="0.35">
      <c r="A32" s="655"/>
      <c r="B32" s="530" t="s">
        <v>958</v>
      </c>
      <c r="C32" s="601">
        <v>1182</v>
      </c>
      <c r="D32" s="601">
        <v>384</v>
      </c>
      <c r="E32" s="601">
        <v>1566</v>
      </c>
      <c r="F32" s="601">
        <v>2092</v>
      </c>
      <c r="G32" s="601">
        <v>1207</v>
      </c>
      <c r="H32" s="601">
        <v>3299</v>
      </c>
      <c r="I32" s="601">
        <v>8903</v>
      </c>
      <c r="J32" s="601">
        <v>7001</v>
      </c>
      <c r="K32" s="601">
        <v>15904</v>
      </c>
      <c r="L32" s="601">
        <v>507</v>
      </c>
      <c r="M32" s="601">
        <v>500</v>
      </c>
      <c r="N32" s="601">
        <v>1007</v>
      </c>
      <c r="O32" s="601">
        <v>681</v>
      </c>
      <c r="P32" s="601">
        <v>843</v>
      </c>
      <c r="Q32" s="601">
        <v>1524</v>
      </c>
      <c r="R32" s="601">
        <v>13365</v>
      </c>
      <c r="S32" s="601">
        <v>9935</v>
      </c>
      <c r="T32" s="601">
        <v>23300</v>
      </c>
      <c r="U32" s="601">
        <v>20</v>
      </c>
      <c r="V32" s="601">
        <v>16</v>
      </c>
      <c r="W32" s="601">
        <v>36</v>
      </c>
    </row>
    <row r="33" spans="1:23" x14ac:dyDescent="0.35">
      <c r="A33" s="655"/>
      <c r="B33" s="530" t="s">
        <v>957</v>
      </c>
      <c r="C33" s="603">
        <v>1220</v>
      </c>
      <c r="D33" s="603">
        <v>379</v>
      </c>
      <c r="E33" s="603">
        <v>1599</v>
      </c>
      <c r="F33" s="603">
        <v>2205</v>
      </c>
      <c r="G33" s="603">
        <v>1276</v>
      </c>
      <c r="H33" s="603">
        <v>3481</v>
      </c>
      <c r="I33" s="603">
        <v>8963</v>
      </c>
      <c r="J33" s="603">
        <v>6880</v>
      </c>
      <c r="K33" s="603">
        <v>15843</v>
      </c>
      <c r="L33" s="603">
        <v>442</v>
      </c>
      <c r="M33" s="603">
        <v>381</v>
      </c>
      <c r="N33" s="603">
        <v>823</v>
      </c>
      <c r="O33" s="603">
        <v>662</v>
      </c>
      <c r="P33" s="603">
        <v>858</v>
      </c>
      <c r="Q33" s="603">
        <v>1520</v>
      </c>
      <c r="R33" s="603">
        <v>13510</v>
      </c>
      <c r="S33" s="603">
        <v>9792</v>
      </c>
      <c r="T33" s="603">
        <v>23302</v>
      </c>
      <c r="U33" s="603">
        <v>18</v>
      </c>
      <c r="V33" s="603">
        <v>18</v>
      </c>
      <c r="W33" s="603">
        <v>36</v>
      </c>
    </row>
    <row r="34" spans="1:23" x14ac:dyDescent="0.35">
      <c r="A34" s="655"/>
      <c r="B34" s="530" t="s">
        <v>956</v>
      </c>
      <c r="C34" s="603">
        <v>1257</v>
      </c>
      <c r="D34" s="603">
        <v>365</v>
      </c>
      <c r="E34" s="603">
        <v>1622</v>
      </c>
      <c r="F34" s="603">
        <v>2489</v>
      </c>
      <c r="G34" s="603">
        <v>1416</v>
      </c>
      <c r="H34" s="603">
        <v>3905</v>
      </c>
      <c r="I34" s="603">
        <v>8618</v>
      </c>
      <c r="J34" s="603">
        <v>6371</v>
      </c>
      <c r="K34" s="603">
        <v>14989</v>
      </c>
      <c r="L34" s="603">
        <v>415</v>
      </c>
      <c r="M34" s="603">
        <v>375</v>
      </c>
      <c r="N34" s="603">
        <v>790</v>
      </c>
      <c r="O34" s="603">
        <v>781</v>
      </c>
      <c r="P34" s="603">
        <v>958</v>
      </c>
      <c r="Q34" s="603">
        <v>1739</v>
      </c>
      <c r="R34" s="603">
        <v>13579</v>
      </c>
      <c r="S34" s="603">
        <v>9501</v>
      </c>
      <c r="T34" s="603">
        <v>23080</v>
      </c>
      <c r="U34" s="603">
        <v>19</v>
      </c>
      <c r="V34" s="603">
        <v>16</v>
      </c>
      <c r="W34" s="603">
        <v>35</v>
      </c>
    </row>
    <row r="35" spans="1:23" ht="14.5" x14ac:dyDescent="0.35">
      <c r="A35" s="655">
        <v>5</v>
      </c>
      <c r="B35" s="649" t="s">
        <v>16</v>
      </c>
      <c r="C35" s="650"/>
      <c r="D35" s="650"/>
      <c r="E35" s="650"/>
      <c r="F35" s="650"/>
      <c r="G35" s="650"/>
      <c r="H35" s="650"/>
      <c r="I35" s="650"/>
      <c r="J35" s="650"/>
      <c r="K35" s="650"/>
      <c r="L35" s="650"/>
      <c r="M35" s="650"/>
      <c r="N35" s="650"/>
      <c r="O35" s="650"/>
      <c r="P35" s="650"/>
      <c r="Q35" s="650"/>
      <c r="R35" s="650"/>
      <c r="S35" s="650"/>
      <c r="T35" s="650"/>
      <c r="U35" s="650"/>
      <c r="V35" s="650"/>
      <c r="W35" s="651"/>
    </row>
    <row r="36" spans="1:23" x14ac:dyDescent="0.35">
      <c r="A36" s="655"/>
      <c r="B36" s="529" t="s">
        <v>960</v>
      </c>
      <c r="C36" s="616">
        <v>2458</v>
      </c>
      <c r="D36" s="616">
        <v>727</v>
      </c>
      <c r="E36" s="616">
        <v>3185</v>
      </c>
      <c r="F36" s="616">
        <v>2632</v>
      </c>
      <c r="G36" s="616">
        <v>676</v>
      </c>
      <c r="H36" s="616">
        <v>3308</v>
      </c>
      <c r="I36" s="616">
        <v>24215</v>
      </c>
      <c r="J36" s="616">
        <v>8236</v>
      </c>
      <c r="K36" s="616">
        <v>32451</v>
      </c>
      <c r="L36" s="616">
        <v>1811</v>
      </c>
      <c r="M36" s="616">
        <v>1969</v>
      </c>
      <c r="N36" s="616">
        <v>3780</v>
      </c>
      <c r="O36" s="616">
        <v>1468</v>
      </c>
      <c r="P36" s="616">
        <v>676</v>
      </c>
      <c r="Q36" s="616">
        <v>2144</v>
      </c>
      <c r="R36" s="616">
        <v>32783</v>
      </c>
      <c r="S36" s="616">
        <v>12371</v>
      </c>
      <c r="T36" s="616">
        <v>45154</v>
      </c>
      <c r="U36" s="616">
        <v>199</v>
      </c>
      <c r="V36" s="616">
        <v>87</v>
      </c>
      <c r="W36" s="616">
        <v>286</v>
      </c>
    </row>
    <row r="37" spans="1:23" x14ac:dyDescent="0.35">
      <c r="A37" s="655"/>
      <c r="B37" s="530" t="s">
        <v>959</v>
      </c>
      <c r="C37" s="601">
        <v>2255</v>
      </c>
      <c r="D37" s="601">
        <v>624</v>
      </c>
      <c r="E37" s="601">
        <v>2879</v>
      </c>
      <c r="F37" s="601">
        <v>2595</v>
      </c>
      <c r="G37" s="601">
        <v>671</v>
      </c>
      <c r="H37" s="601">
        <v>3266</v>
      </c>
      <c r="I37" s="601">
        <v>22627</v>
      </c>
      <c r="J37" s="601">
        <v>6977</v>
      </c>
      <c r="K37" s="601">
        <v>29604</v>
      </c>
      <c r="L37" s="601">
        <v>1479</v>
      </c>
      <c r="M37" s="601">
        <v>1565</v>
      </c>
      <c r="N37" s="601">
        <v>3044</v>
      </c>
      <c r="O37" s="601">
        <v>1463</v>
      </c>
      <c r="P37" s="601">
        <v>647</v>
      </c>
      <c r="Q37" s="601">
        <v>2110</v>
      </c>
      <c r="R37" s="601">
        <v>30628</v>
      </c>
      <c r="S37" s="601">
        <v>10569</v>
      </c>
      <c r="T37" s="601">
        <v>41197</v>
      </c>
      <c r="U37" s="601">
        <v>209</v>
      </c>
      <c r="V37" s="601">
        <v>85</v>
      </c>
      <c r="W37" s="601">
        <v>294</v>
      </c>
    </row>
    <row r="38" spans="1:23" x14ac:dyDescent="0.35">
      <c r="A38" s="655"/>
      <c r="B38" s="530" t="s">
        <v>958</v>
      </c>
      <c r="C38" s="601">
        <v>2169</v>
      </c>
      <c r="D38" s="601">
        <v>549</v>
      </c>
      <c r="E38" s="601">
        <v>2718</v>
      </c>
      <c r="F38" s="601">
        <v>2986</v>
      </c>
      <c r="G38" s="601">
        <v>705</v>
      </c>
      <c r="H38" s="601">
        <v>3691</v>
      </c>
      <c r="I38" s="601">
        <v>21030</v>
      </c>
      <c r="J38" s="601">
        <v>6157</v>
      </c>
      <c r="K38" s="601">
        <v>27187</v>
      </c>
      <c r="L38" s="601">
        <v>1286</v>
      </c>
      <c r="M38" s="601">
        <v>1297</v>
      </c>
      <c r="N38" s="601">
        <v>2583</v>
      </c>
      <c r="O38" s="601">
        <v>1227</v>
      </c>
      <c r="P38" s="601">
        <v>476</v>
      </c>
      <c r="Q38" s="601">
        <v>1703</v>
      </c>
      <c r="R38" s="601">
        <v>28698</v>
      </c>
      <c r="S38" s="601">
        <v>9184</v>
      </c>
      <c r="T38" s="601">
        <v>37882</v>
      </c>
      <c r="U38" s="601">
        <v>198</v>
      </c>
      <c r="V38" s="601">
        <v>72</v>
      </c>
      <c r="W38" s="601">
        <v>270</v>
      </c>
    </row>
    <row r="39" spans="1:23" x14ac:dyDescent="0.35">
      <c r="A39" s="655"/>
      <c r="B39" s="530" t="s">
        <v>957</v>
      </c>
      <c r="C39" s="603">
        <v>2149</v>
      </c>
      <c r="D39" s="603">
        <v>500</v>
      </c>
      <c r="E39" s="603">
        <v>2649</v>
      </c>
      <c r="F39" s="603">
        <v>3050</v>
      </c>
      <c r="G39" s="603">
        <v>711</v>
      </c>
      <c r="H39" s="603">
        <v>3761</v>
      </c>
      <c r="I39" s="603">
        <v>20124</v>
      </c>
      <c r="J39" s="603">
        <v>5669</v>
      </c>
      <c r="K39" s="603">
        <v>25793</v>
      </c>
      <c r="L39" s="603">
        <v>1051</v>
      </c>
      <c r="M39" s="603">
        <v>1123</v>
      </c>
      <c r="N39" s="603">
        <v>2174</v>
      </c>
      <c r="O39" s="603">
        <v>880</v>
      </c>
      <c r="P39" s="603">
        <v>348</v>
      </c>
      <c r="Q39" s="603">
        <v>1228</v>
      </c>
      <c r="R39" s="603">
        <v>27445</v>
      </c>
      <c r="S39" s="603">
        <v>8420</v>
      </c>
      <c r="T39" s="603">
        <v>35865</v>
      </c>
      <c r="U39" s="603">
        <v>191</v>
      </c>
      <c r="V39" s="603">
        <v>69</v>
      </c>
      <c r="W39" s="603">
        <v>260</v>
      </c>
    </row>
    <row r="40" spans="1:23" x14ac:dyDescent="0.35">
      <c r="A40" s="655"/>
      <c r="B40" s="530" t="s">
        <v>956</v>
      </c>
      <c r="C40" s="603">
        <v>1933</v>
      </c>
      <c r="D40" s="603">
        <v>423</v>
      </c>
      <c r="E40" s="603">
        <v>2356</v>
      </c>
      <c r="F40" s="603">
        <v>3336</v>
      </c>
      <c r="G40" s="603">
        <v>757</v>
      </c>
      <c r="H40" s="603">
        <v>4093</v>
      </c>
      <c r="I40" s="603">
        <v>16407</v>
      </c>
      <c r="J40" s="603">
        <v>4362</v>
      </c>
      <c r="K40" s="603">
        <v>20769</v>
      </c>
      <c r="L40" s="603">
        <v>683</v>
      </c>
      <c r="M40" s="603">
        <v>509</v>
      </c>
      <c r="N40" s="603">
        <v>1192</v>
      </c>
      <c r="O40" s="603">
        <v>649</v>
      </c>
      <c r="P40" s="603">
        <v>270</v>
      </c>
      <c r="Q40" s="603">
        <v>919</v>
      </c>
      <c r="R40" s="603">
        <v>23213</v>
      </c>
      <c r="S40" s="603">
        <v>6384</v>
      </c>
      <c r="T40" s="603">
        <v>29597</v>
      </c>
      <c r="U40" s="603">
        <v>205</v>
      </c>
      <c r="V40" s="603">
        <v>63</v>
      </c>
      <c r="W40" s="603">
        <v>268</v>
      </c>
    </row>
    <row r="41" spans="1:23" ht="14.5" x14ac:dyDescent="0.35">
      <c r="A41" s="655">
        <v>6</v>
      </c>
      <c r="B41" s="649" t="s">
        <v>17</v>
      </c>
      <c r="C41" s="650"/>
      <c r="D41" s="650"/>
      <c r="E41" s="650"/>
      <c r="F41" s="650"/>
      <c r="G41" s="650"/>
      <c r="H41" s="650"/>
      <c r="I41" s="650"/>
      <c r="J41" s="650"/>
      <c r="K41" s="650"/>
      <c r="L41" s="650"/>
      <c r="M41" s="650"/>
      <c r="N41" s="650"/>
      <c r="O41" s="650"/>
      <c r="P41" s="650"/>
      <c r="Q41" s="650"/>
      <c r="R41" s="650"/>
      <c r="S41" s="650"/>
      <c r="T41" s="650"/>
      <c r="U41" s="650"/>
      <c r="V41" s="650"/>
      <c r="W41" s="651"/>
    </row>
    <row r="42" spans="1:23" x14ac:dyDescent="0.35">
      <c r="A42" s="655"/>
      <c r="B42" s="529" t="s">
        <v>960</v>
      </c>
      <c r="C42" s="616">
        <v>410</v>
      </c>
      <c r="D42" s="616">
        <v>342</v>
      </c>
      <c r="E42" s="616">
        <v>752</v>
      </c>
      <c r="F42" s="616">
        <v>280</v>
      </c>
      <c r="G42" s="616">
        <v>271</v>
      </c>
      <c r="H42" s="616">
        <v>551</v>
      </c>
      <c r="I42" s="616">
        <v>724</v>
      </c>
      <c r="J42" s="616">
        <v>1250</v>
      </c>
      <c r="K42" s="616">
        <v>1974</v>
      </c>
      <c r="L42" s="616">
        <v>13</v>
      </c>
      <c r="M42" s="616">
        <v>9</v>
      </c>
      <c r="N42" s="616">
        <v>22</v>
      </c>
      <c r="O42" s="616">
        <v>65</v>
      </c>
      <c r="P42" s="616">
        <v>240</v>
      </c>
      <c r="Q42" s="616">
        <v>305</v>
      </c>
      <c r="R42" s="616">
        <v>1494</v>
      </c>
      <c r="S42" s="616">
        <v>2116</v>
      </c>
      <c r="T42" s="616">
        <v>3610</v>
      </c>
      <c r="U42" s="616">
        <v>2</v>
      </c>
      <c r="V42" s="616">
        <v>4</v>
      </c>
      <c r="W42" s="616">
        <v>6</v>
      </c>
    </row>
    <row r="43" spans="1:23" x14ac:dyDescent="0.35">
      <c r="A43" s="655"/>
      <c r="B43" s="530" t="s">
        <v>959</v>
      </c>
      <c r="C43" s="601">
        <v>424</v>
      </c>
      <c r="D43" s="601">
        <v>324</v>
      </c>
      <c r="E43" s="601">
        <v>748</v>
      </c>
      <c r="F43" s="601">
        <v>279</v>
      </c>
      <c r="G43" s="601">
        <v>289</v>
      </c>
      <c r="H43" s="601">
        <v>568</v>
      </c>
      <c r="I43" s="601">
        <v>768</v>
      </c>
      <c r="J43" s="601">
        <v>1298</v>
      </c>
      <c r="K43" s="601">
        <v>2066</v>
      </c>
      <c r="L43" s="601">
        <v>14</v>
      </c>
      <c r="M43" s="601">
        <v>10</v>
      </c>
      <c r="N43" s="601">
        <v>24</v>
      </c>
      <c r="O43" s="601">
        <v>68</v>
      </c>
      <c r="P43" s="601">
        <v>235</v>
      </c>
      <c r="Q43" s="601">
        <v>303</v>
      </c>
      <c r="R43" s="601">
        <v>1556</v>
      </c>
      <c r="S43" s="601">
        <v>2162</v>
      </c>
      <c r="T43" s="601">
        <v>3718</v>
      </c>
      <c r="U43" s="601">
        <v>3</v>
      </c>
      <c r="V43" s="601">
        <v>6</v>
      </c>
      <c r="W43" s="601">
        <v>9</v>
      </c>
    </row>
    <row r="44" spans="1:23" x14ac:dyDescent="0.35">
      <c r="A44" s="655"/>
      <c r="B44" s="530" t="s">
        <v>958</v>
      </c>
      <c r="C44" s="601">
        <v>427</v>
      </c>
      <c r="D44" s="601">
        <v>318</v>
      </c>
      <c r="E44" s="601">
        <v>745</v>
      </c>
      <c r="F44" s="601">
        <v>288</v>
      </c>
      <c r="G44" s="601">
        <v>313</v>
      </c>
      <c r="H44" s="601">
        <v>601</v>
      </c>
      <c r="I44" s="601">
        <v>764</v>
      </c>
      <c r="J44" s="601">
        <v>1308</v>
      </c>
      <c r="K44" s="601">
        <v>2072</v>
      </c>
      <c r="L44" s="601">
        <v>14</v>
      </c>
      <c r="M44" s="601">
        <v>9</v>
      </c>
      <c r="N44" s="601">
        <v>23</v>
      </c>
      <c r="O44" s="601">
        <v>62</v>
      </c>
      <c r="P44" s="601">
        <v>212</v>
      </c>
      <c r="Q44" s="601">
        <v>274</v>
      </c>
      <c r="R44" s="601">
        <v>1555</v>
      </c>
      <c r="S44" s="601">
        <v>2160</v>
      </c>
      <c r="T44" s="601">
        <v>3715</v>
      </c>
      <c r="U44" s="601">
        <v>9</v>
      </c>
      <c r="V44" s="601">
        <v>10</v>
      </c>
      <c r="W44" s="601">
        <v>19</v>
      </c>
    </row>
    <row r="45" spans="1:23" x14ac:dyDescent="0.35">
      <c r="A45" s="655"/>
      <c r="B45" s="530" t="s">
        <v>957</v>
      </c>
      <c r="C45" s="603">
        <v>439</v>
      </c>
      <c r="D45" s="603">
        <v>318</v>
      </c>
      <c r="E45" s="603">
        <v>757</v>
      </c>
      <c r="F45" s="603">
        <v>271</v>
      </c>
      <c r="G45" s="603">
        <v>323</v>
      </c>
      <c r="H45" s="603">
        <v>594</v>
      </c>
      <c r="I45" s="603">
        <v>735</v>
      </c>
      <c r="J45" s="603">
        <v>1240</v>
      </c>
      <c r="K45" s="603">
        <v>1975</v>
      </c>
      <c r="L45" s="603">
        <v>17</v>
      </c>
      <c r="M45" s="603">
        <v>8</v>
      </c>
      <c r="N45" s="603">
        <v>25</v>
      </c>
      <c r="O45" s="603">
        <v>79</v>
      </c>
      <c r="P45" s="603">
        <v>211</v>
      </c>
      <c r="Q45" s="603">
        <v>290</v>
      </c>
      <c r="R45" s="603">
        <v>1551</v>
      </c>
      <c r="S45" s="603">
        <v>2112</v>
      </c>
      <c r="T45" s="603">
        <v>3663</v>
      </c>
      <c r="U45" s="603">
        <v>10</v>
      </c>
      <c r="V45" s="603">
        <v>12</v>
      </c>
      <c r="W45" s="603">
        <v>22</v>
      </c>
    </row>
    <row r="46" spans="1:23" x14ac:dyDescent="0.35">
      <c r="A46" s="655"/>
      <c r="B46" s="530" t="s">
        <v>956</v>
      </c>
      <c r="C46" s="603">
        <v>443</v>
      </c>
      <c r="D46" s="603">
        <v>301</v>
      </c>
      <c r="E46" s="603">
        <v>744</v>
      </c>
      <c r="F46" s="603">
        <v>224</v>
      </c>
      <c r="G46" s="603">
        <v>322</v>
      </c>
      <c r="H46" s="603">
        <v>546</v>
      </c>
      <c r="I46" s="603">
        <v>864</v>
      </c>
      <c r="J46" s="603">
        <v>1368</v>
      </c>
      <c r="K46" s="603">
        <v>2232</v>
      </c>
      <c r="L46" s="603">
        <v>12</v>
      </c>
      <c r="M46" s="603">
        <v>9</v>
      </c>
      <c r="N46" s="603">
        <v>21</v>
      </c>
      <c r="O46" s="603">
        <v>44</v>
      </c>
      <c r="P46" s="603">
        <v>156</v>
      </c>
      <c r="Q46" s="603">
        <v>200</v>
      </c>
      <c r="R46" s="603">
        <v>1595</v>
      </c>
      <c r="S46" s="603">
        <v>2169</v>
      </c>
      <c r="T46" s="603">
        <v>3764</v>
      </c>
      <c r="U46" s="603">
        <v>8</v>
      </c>
      <c r="V46" s="603">
        <v>13</v>
      </c>
      <c r="W46" s="603">
        <v>21</v>
      </c>
    </row>
    <row r="47" spans="1:23" ht="14.5" x14ac:dyDescent="0.35">
      <c r="A47" s="655">
        <v>7</v>
      </c>
      <c r="B47" s="649" t="s">
        <v>18</v>
      </c>
      <c r="C47" s="650"/>
      <c r="D47" s="650"/>
      <c r="E47" s="650"/>
      <c r="F47" s="650"/>
      <c r="G47" s="650"/>
      <c r="H47" s="650"/>
      <c r="I47" s="650"/>
      <c r="J47" s="650"/>
      <c r="K47" s="650"/>
      <c r="L47" s="650"/>
      <c r="M47" s="650"/>
      <c r="N47" s="650"/>
      <c r="O47" s="650"/>
      <c r="P47" s="650"/>
      <c r="Q47" s="650"/>
      <c r="R47" s="650"/>
      <c r="S47" s="650"/>
      <c r="T47" s="650"/>
      <c r="U47" s="650"/>
      <c r="V47" s="650"/>
      <c r="W47" s="651"/>
    </row>
    <row r="48" spans="1:23" x14ac:dyDescent="0.35">
      <c r="A48" s="655"/>
      <c r="B48" s="529" t="s">
        <v>960</v>
      </c>
      <c r="C48" s="616">
        <v>1312</v>
      </c>
      <c r="D48" s="616">
        <v>716</v>
      </c>
      <c r="E48" s="616">
        <v>2028</v>
      </c>
      <c r="F48" s="616">
        <v>966</v>
      </c>
      <c r="G48" s="616">
        <v>718</v>
      </c>
      <c r="H48" s="616">
        <v>1684</v>
      </c>
      <c r="I48" s="616">
        <v>8188</v>
      </c>
      <c r="J48" s="616">
        <v>7850</v>
      </c>
      <c r="K48" s="616">
        <v>16038</v>
      </c>
      <c r="L48" s="616">
        <v>623</v>
      </c>
      <c r="M48" s="616">
        <v>1857</v>
      </c>
      <c r="N48" s="616">
        <v>2480</v>
      </c>
      <c r="O48" s="616">
        <v>1845</v>
      </c>
      <c r="P48" s="616">
        <v>1830</v>
      </c>
      <c r="Q48" s="616">
        <v>3675</v>
      </c>
      <c r="R48" s="616">
        <v>12986</v>
      </c>
      <c r="S48" s="616">
        <v>13013</v>
      </c>
      <c r="T48" s="616">
        <v>25999</v>
      </c>
      <c r="U48" s="616">
        <v>52</v>
      </c>
      <c r="V48" s="616">
        <v>42</v>
      </c>
      <c r="W48" s="616">
        <v>94</v>
      </c>
    </row>
    <row r="49" spans="1:23" x14ac:dyDescent="0.35">
      <c r="A49" s="655"/>
      <c r="B49" s="530" t="s">
        <v>959</v>
      </c>
      <c r="C49" s="601">
        <v>1269</v>
      </c>
      <c r="D49" s="601">
        <v>698</v>
      </c>
      <c r="E49" s="601">
        <v>1967</v>
      </c>
      <c r="F49" s="601">
        <v>955</v>
      </c>
      <c r="G49" s="601">
        <v>733</v>
      </c>
      <c r="H49" s="601">
        <v>1688</v>
      </c>
      <c r="I49" s="601">
        <v>8124</v>
      </c>
      <c r="J49" s="601">
        <v>7615</v>
      </c>
      <c r="K49" s="601">
        <v>15739</v>
      </c>
      <c r="L49" s="601">
        <v>616</v>
      </c>
      <c r="M49" s="601">
        <v>1957</v>
      </c>
      <c r="N49" s="601">
        <v>2573</v>
      </c>
      <c r="O49" s="601">
        <v>1461</v>
      </c>
      <c r="P49" s="601">
        <v>1374</v>
      </c>
      <c r="Q49" s="601">
        <v>2835</v>
      </c>
      <c r="R49" s="601">
        <v>12471</v>
      </c>
      <c r="S49" s="601">
        <v>12431</v>
      </c>
      <c r="T49" s="601">
        <v>24902</v>
      </c>
      <c r="U49" s="601">
        <v>46</v>
      </c>
      <c r="V49" s="601">
        <v>54</v>
      </c>
      <c r="W49" s="601">
        <v>100</v>
      </c>
    </row>
    <row r="50" spans="1:23" x14ac:dyDescent="0.35">
      <c r="A50" s="655"/>
      <c r="B50" s="530" t="s">
        <v>958</v>
      </c>
      <c r="C50" s="601">
        <v>1281</v>
      </c>
      <c r="D50" s="601">
        <v>687</v>
      </c>
      <c r="E50" s="601">
        <v>1968</v>
      </c>
      <c r="F50" s="601">
        <v>976</v>
      </c>
      <c r="G50" s="601">
        <v>692</v>
      </c>
      <c r="H50" s="601">
        <v>1668</v>
      </c>
      <c r="I50" s="601">
        <v>7541</v>
      </c>
      <c r="J50" s="601">
        <v>7048</v>
      </c>
      <c r="K50" s="601">
        <v>14589</v>
      </c>
      <c r="L50" s="601">
        <v>556</v>
      </c>
      <c r="M50" s="601">
        <v>1848</v>
      </c>
      <c r="N50" s="601">
        <v>2404</v>
      </c>
      <c r="O50" s="601">
        <v>1470</v>
      </c>
      <c r="P50" s="601">
        <v>1380</v>
      </c>
      <c r="Q50" s="601">
        <v>2850</v>
      </c>
      <c r="R50" s="601">
        <v>11824</v>
      </c>
      <c r="S50" s="601">
        <v>11655</v>
      </c>
      <c r="T50" s="601">
        <v>23479</v>
      </c>
      <c r="U50" s="601">
        <v>49</v>
      </c>
      <c r="V50" s="601">
        <v>67</v>
      </c>
      <c r="W50" s="601">
        <v>116</v>
      </c>
    </row>
    <row r="51" spans="1:23" x14ac:dyDescent="0.35">
      <c r="A51" s="655"/>
      <c r="B51" s="530" t="s">
        <v>957</v>
      </c>
      <c r="C51" s="603">
        <v>1233</v>
      </c>
      <c r="D51" s="603">
        <v>686</v>
      </c>
      <c r="E51" s="603">
        <v>1919</v>
      </c>
      <c r="F51" s="603">
        <v>947</v>
      </c>
      <c r="G51" s="603">
        <v>651</v>
      </c>
      <c r="H51" s="603">
        <v>1598</v>
      </c>
      <c r="I51" s="603">
        <v>7327</v>
      </c>
      <c r="J51" s="603">
        <v>6529</v>
      </c>
      <c r="K51" s="603">
        <v>13856</v>
      </c>
      <c r="L51" s="603">
        <v>525</v>
      </c>
      <c r="M51" s="603">
        <v>1835</v>
      </c>
      <c r="N51" s="603">
        <v>2360</v>
      </c>
      <c r="O51" s="603">
        <v>1186</v>
      </c>
      <c r="P51" s="603">
        <v>1074</v>
      </c>
      <c r="Q51" s="603">
        <v>2260</v>
      </c>
      <c r="R51" s="603">
        <v>11299</v>
      </c>
      <c r="S51" s="603">
        <v>10864</v>
      </c>
      <c r="T51" s="603">
        <v>22163</v>
      </c>
      <c r="U51" s="603">
        <v>81</v>
      </c>
      <c r="V51" s="603">
        <v>89</v>
      </c>
      <c r="W51" s="603">
        <v>170</v>
      </c>
    </row>
    <row r="52" spans="1:23" x14ac:dyDescent="0.35">
      <c r="A52" s="655"/>
      <c r="B52" s="530" t="s">
        <v>956</v>
      </c>
      <c r="C52" s="603">
        <v>1184</v>
      </c>
      <c r="D52" s="603">
        <v>652</v>
      </c>
      <c r="E52" s="603">
        <v>1836</v>
      </c>
      <c r="F52" s="603">
        <v>986</v>
      </c>
      <c r="G52" s="603">
        <v>631</v>
      </c>
      <c r="H52" s="603">
        <v>1617</v>
      </c>
      <c r="I52" s="603">
        <v>7553</v>
      </c>
      <c r="J52" s="603">
        <v>6554</v>
      </c>
      <c r="K52" s="603">
        <v>14107</v>
      </c>
      <c r="L52" s="603">
        <v>531</v>
      </c>
      <c r="M52" s="603">
        <v>1775</v>
      </c>
      <c r="N52" s="603">
        <v>2306</v>
      </c>
      <c r="O52" s="603">
        <v>1090</v>
      </c>
      <c r="P52" s="603">
        <v>1069</v>
      </c>
      <c r="Q52" s="603">
        <v>2159</v>
      </c>
      <c r="R52" s="603">
        <v>11452</v>
      </c>
      <c r="S52" s="603">
        <v>10783</v>
      </c>
      <c r="T52" s="603">
        <v>22235</v>
      </c>
      <c r="U52" s="603">
        <v>108</v>
      </c>
      <c r="V52" s="603">
        <v>102</v>
      </c>
      <c r="W52" s="603">
        <v>210</v>
      </c>
    </row>
    <row r="53" spans="1:23" ht="14.5" x14ac:dyDescent="0.35">
      <c r="A53" s="655">
        <v>8</v>
      </c>
      <c r="B53" s="649" t="s">
        <v>19</v>
      </c>
      <c r="C53" s="650"/>
      <c r="D53" s="650"/>
      <c r="E53" s="650"/>
      <c r="F53" s="650"/>
      <c r="G53" s="650"/>
      <c r="H53" s="650"/>
      <c r="I53" s="650"/>
      <c r="J53" s="650"/>
      <c r="K53" s="650"/>
      <c r="L53" s="650"/>
      <c r="M53" s="650"/>
      <c r="N53" s="650"/>
      <c r="O53" s="650"/>
      <c r="P53" s="650"/>
      <c r="Q53" s="650"/>
      <c r="R53" s="650"/>
      <c r="S53" s="650"/>
      <c r="T53" s="650"/>
      <c r="U53" s="650"/>
      <c r="V53" s="650"/>
      <c r="W53" s="651"/>
    </row>
    <row r="54" spans="1:23" x14ac:dyDescent="0.35">
      <c r="A54" s="655"/>
      <c r="B54" s="529" t="s">
        <v>960</v>
      </c>
      <c r="C54" s="616">
        <v>2537</v>
      </c>
      <c r="D54" s="616">
        <v>1838</v>
      </c>
      <c r="E54" s="616">
        <v>4375</v>
      </c>
      <c r="F54" s="616">
        <v>1892</v>
      </c>
      <c r="G54" s="616">
        <v>2554</v>
      </c>
      <c r="H54" s="616">
        <v>4446</v>
      </c>
      <c r="I54" s="616">
        <v>6049</v>
      </c>
      <c r="J54" s="616">
        <v>7470</v>
      </c>
      <c r="K54" s="616">
        <v>13519</v>
      </c>
      <c r="L54" s="616">
        <v>80</v>
      </c>
      <c r="M54" s="616">
        <v>394</v>
      </c>
      <c r="N54" s="616">
        <v>474</v>
      </c>
      <c r="O54" s="616">
        <v>588</v>
      </c>
      <c r="P54" s="616">
        <v>667</v>
      </c>
      <c r="Q54" s="616">
        <v>1255</v>
      </c>
      <c r="R54" s="616">
        <v>11320</v>
      </c>
      <c r="S54" s="616">
        <v>13057</v>
      </c>
      <c r="T54" s="616">
        <v>24377</v>
      </c>
      <c r="U54" s="616">
        <v>174</v>
      </c>
      <c r="V54" s="616">
        <v>134</v>
      </c>
      <c r="W54" s="616">
        <v>308</v>
      </c>
    </row>
    <row r="55" spans="1:23" x14ac:dyDescent="0.35">
      <c r="A55" s="655"/>
      <c r="B55" s="530" t="s">
        <v>959</v>
      </c>
      <c r="C55" s="601">
        <v>2432</v>
      </c>
      <c r="D55" s="601">
        <v>1666</v>
      </c>
      <c r="E55" s="601">
        <v>4098</v>
      </c>
      <c r="F55" s="601">
        <v>1900</v>
      </c>
      <c r="G55" s="601">
        <v>2621</v>
      </c>
      <c r="H55" s="601">
        <v>4521</v>
      </c>
      <c r="I55" s="601">
        <v>5570</v>
      </c>
      <c r="J55" s="601">
        <v>6948</v>
      </c>
      <c r="K55" s="601">
        <v>12518</v>
      </c>
      <c r="L55" s="601">
        <v>83</v>
      </c>
      <c r="M55" s="601">
        <v>411</v>
      </c>
      <c r="N55" s="601">
        <v>494</v>
      </c>
      <c r="O55" s="601">
        <v>568</v>
      </c>
      <c r="P55" s="601">
        <v>923</v>
      </c>
      <c r="Q55" s="601">
        <v>1491</v>
      </c>
      <c r="R55" s="601">
        <v>10724</v>
      </c>
      <c r="S55" s="601">
        <v>12698</v>
      </c>
      <c r="T55" s="601">
        <v>23422</v>
      </c>
      <c r="U55" s="601">
        <v>171</v>
      </c>
      <c r="V55" s="601">
        <v>129</v>
      </c>
      <c r="W55" s="601">
        <v>300</v>
      </c>
    </row>
    <row r="56" spans="1:23" x14ac:dyDescent="0.35">
      <c r="A56" s="655"/>
      <c r="B56" s="530" t="s">
        <v>958</v>
      </c>
      <c r="C56" s="601">
        <v>2497</v>
      </c>
      <c r="D56" s="601">
        <v>1579</v>
      </c>
      <c r="E56" s="601">
        <v>4076</v>
      </c>
      <c r="F56" s="601">
        <v>1929</v>
      </c>
      <c r="G56" s="601">
        <v>2638</v>
      </c>
      <c r="H56" s="601">
        <v>4567</v>
      </c>
      <c r="I56" s="601">
        <v>5235</v>
      </c>
      <c r="J56" s="601">
        <v>6793</v>
      </c>
      <c r="K56" s="601">
        <v>12028</v>
      </c>
      <c r="L56" s="601">
        <v>117</v>
      </c>
      <c r="M56" s="601">
        <v>399</v>
      </c>
      <c r="N56" s="601">
        <v>516</v>
      </c>
      <c r="O56" s="601">
        <v>700</v>
      </c>
      <c r="P56" s="601">
        <v>876</v>
      </c>
      <c r="Q56" s="601">
        <v>1576</v>
      </c>
      <c r="R56" s="601">
        <v>10478</v>
      </c>
      <c r="S56" s="601">
        <v>12285</v>
      </c>
      <c r="T56" s="601">
        <v>22763</v>
      </c>
      <c r="U56" s="601">
        <v>102</v>
      </c>
      <c r="V56" s="601">
        <v>64</v>
      </c>
      <c r="W56" s="601">
        <v>166</v>
      </c>
    </row>
    <row r="57" spans="1:23" x14ac:dyDescent="0.35">
      <c r="A57" s="655"/>
      <c r="B57" s="530" t="s">
        <v>957</v>
      </c>
      <c r="C57" s="603">
        <v>2404</v>
      </c>
      <c r="D57" s="603">
        <v>1415</v>
      </c>
      <c r="E57" s="603">
        <v>3819</v>
      </c>
      <c r="F57" s="603">
        <v>1838</v>
      </c>
      <c r="G57" s="603">
        <v>2519</v>
      </c>
      <c r="H57" s="603">
        <v>4357</v>
      </c>
      <c r="I57" s="603">
        <v>5291</v>
      </c>
      <c r="J57" s="603">
        <v>6879</v>
      </c>
      <c r="K57" s="603">
        <v>12170</v>
      </c>
      <c r="L57" s="603">
        <v>136</v>
      </c>
      <c r="M57" s="603">
        <v>401</v>
      </c>
      <c r="N57" s="603">
        <v>537</v>
      </c>
      <c r="O57" s="603">
        <v>464</v>
      </c>
      <c r="P57" s="603">
        <v>620</v>
      </c>
      <c r="Q57" s="603">
        <v>1084</v>
      </c>
      <c r="R57" s="603">
        <v>10196</v>
      </c>
      <c r="S57" s="603">
        <v>11875</v>
      </c>
      <c r="T57" s="603">
        <v>22071</v>
      </c>
      <c r="U57" s="603">
        <v>63</v>
      </c>
      <c r="V57" s="603">
        <v>41</v>
      </c>
      <c r="W57" s="603">
        <v>104</v>
      </c>
    </row>
    <row r="58" spans="1:23" x14ac:dyDescent="0.35">
      <c r="A58" s="655"/>
      <c r="B58" s="530" t="s">
        <v>956</v>
      </c>
      <c r="C58" s="603">
        <v>2333</v>
      </c>
      <c r="D58" s="603">
        <v>1234</v>
      </c>
      <c r="E58" s="603">
        <v>3567</v>
      </c>
      <c r="F58" s="603">
        <v>1749</v>
      </c>
      <c r="G58" s="603">
        <v>2326</v>
      </c>
      <c r="H58" s="603">
        <v>4075</v>
      </c>
      <c r="I58" s="603">
        <v>5213</v>
      </c>
      <c r="J58" s="603">
        <v>6958</v>
      </c>
      <c r="K58" s="603">
        <v>12171</v>
      </c>
      <c r="L58" s="603">
        <v>165</v>
      </c>
      <c r="M58" s="603">
        <v>427</v>
      </c>
      <c r="N58" s="603">
        <v>592</v>
      </c>
      <c r="O58" s="603">
        <v>474</v>
      </c>
      <c r="P58" s="603">
        <v>759</v>
      </c>
      <c r="Q58" s="603">
        <v>1233</v>
      </c>
      <c r="R58" s="603">
        <v>10008</v>
      </c>
      <c r="S58" s="603">
        <v>11754</v>
      </c>
      <c r="T58" s="603">
        <v>21762</v>
      </c>
      <c r="U58" s="603">
        <v>74</v>
      </c>
      <c r="V58" s="603">
        <v>50</v>
      </c>
      <c r="W58" s="603">
        <v>124</v>
      </c>
    </row>
    <row r="59" spans="1:23" ht="14.5" x14ac:dyDescent="0.35">
      <c r="A59" s="655">
        <v>9</v>
      </c>
      <c r="B59" s="649" t="s">
        <v>20</v>
      </c>
      <c r="C59" s="650"/>
      <c r="D59" s="650"/>
      <c r="E59" s="650"/>
      <c r="F59" s="650"/>
      <c r="G59" s="650"/>
      <c r="H59" s="650"/>
      <c r="I59" s="650"/>
      <c r="J59" s="650"/>
      <c r="K59" s="650"/>
      <c r="L59" s="650"/>
      <c r="M59" s="650"/>
      <c r="N59" s="650"/>
      <c r="O59" s="650"/>
      <c r="P59" s="650"/>
      <c r="Q59" s="650"/>
      <c r="R59" s="650"/>
      <c r="S59" s="650"/>
      <c r="T59" s="650"/>
      <c r="U59" s="650"/>
      <c r="V59" s="650"/>
      <c r="W59" s="651"/>
    </row>
    <row r="60" spans="1:23" x14ac:dyDescent="0.35">
      <c r="A60" s="655"/>
      <c r="B60" s="529" t="s">
        <v>960</v>
      </c>
      <c r="C60" s="616">
        <v>246</v>
      </c>
      <c r="D60" s="616">
        <v>106</v>
      </c>
      <c r="E60" s="616">
        <v>352</v>
      </c>
      <c r="F60" s="616">
        <v>301</v>
      </c>
      <c r="G60" s="616">
        <v>290</v>
      </c>
      <c r="H60" s="616">
        <v>591</v>
      </c>
      <c r="I60" s="616">
        <v>1162</v>
      </c>
      <c r="J60" s="616">
        <v>1754</v>
      </c>
      <c r="K60" s="616">
        <v>2916</v>
      </c>
      <c r="L60" s="616">
        <v>28</v>
      </c>
      <c r="M60" s="616">
        <v>79</v>
      </c>
      <c r="N60" s="616">
        <v>107</v>
      </c>
      <c r="O60" s="616">
        <v>77</v>
      </c>
      <c r="P60" s="616">
        <v>108</v>
      </c>
      <c r="Q60" s="616">
        <v>185</v>
      </c>
      <c r="R60" s="616">
        <v>1839</v>
      </c>
      <c r="S60" s="616">
        <v>2397</v>
      </c>
      <c r="T60" s="616">
        <v>4236</v>
      </c>
      <c r="U60" s="616">
        <v>25</v>
      </c>
      <c r="V60" s="616">
        <v>60</v>
      </c>
      <c r="W60" s="616">
        <v>85</v>
      </c>
    </row>
    <row r="61" spans="1:23" x14ac:dyDescent="0.35">
      <c r="A61" s="655"/>
      <c r="B61" s="530" t="s">
        <v>959</v>
      </c>
      <c r="C61" s="601">
        <v>240</v>
      </c>
      <c r="D61" s="601">
        <v>95</v>
      </c>
      <c r="E61" s="601">
        <v>335</v>
      </c>
      <c r="F61" s="601">
        <v>301</v>
      </c>
      <c r="G61" s="601">
        <v>294</v>
      </c>
      <c r="H61" s="601">
        <v>595</v>
      </c>
      <c r="I61" s="601">
        <v>1123</v>
      </c>
      <c r="J61" s="601">
        <v>1652</v>
      </c>
      <c r="K61" s="601">
        <v>2775</v>
      </c>
      <c r="L61" s="601">
        <v>23</v>
      </c>
      <c r="M61" s="601">
        <v>48</v>
      </c>
      <c r="N61" s="601">
        <v>71</v>
      </c>
      <c r="O61" s="601">
        <v>60</v>
      </c>
      <c r="P61" s="601">
        <v>101</v>
      </c>
      <c r="Q61" s="601">
        <v>161</v>
      </c>
      <c r="R61" s="601">
        <v>1776</v>
      </c>
      <c r="S61" s="601">
        <v>2243</v>
      </c>
      <c r="T61" s="601">
        <v>4019</v>
      </c>
      <c r="U61" s="601">
        <v>29</v>
      </c>
      <c r="V61" s="601">
        <v>53</v>
      </c>
      <c r="W61" s="601">
        <v>82</v>
      </c>
    </row>
    <row r="62" spans="1:23" x14ac:dyDescent="0.35">
      <c r="A62" s="655"/>
      <c r="B62" s="530" t="s">
        <v>958</v>
      </c>
      <c r="C62" s="601">
        <v>230</v>
      </c>
      <c r="D62" s="601">
        <v>77</v>
      </c>
      <c r="E62" s="601">
        <v>307</v>
      </c>
      <c r="F62" s="601">
        <v>308</v>
      </c>
      <c r="G62" s="601">
        <v>299</v>
      </c>
      <c r="H62" s="601">
        <v>607</v>
      </c>
      <c r="I62" s="601">
        <v>1033</v>
      </c>
      <c r="J62" s="601">
        <v>1572</v>
      </c>
      <c r="K62" s="601">
        <v>2605</v>
      </c>
      <c r="L62" s="601">
        <v>23</v>
      </c>
      <c r="M62" s="601">
        <v>55</v>
      </c>
      <c r="N62" s="601">
        <v>78</v>
      </c>
      <c r="O62" s="601">
        <v>140</v>
      </c>
      <c r="P62" s="601">
        <v>84</v>
      </c>
      <c r="Q62" s="601">
        <v>224</v>
      </c>
      <c r="R62" s="601">
        <v>1734</v>
      </c>
      <c r="S62" s="601">
        <v>2087</v>
      </c>
      <c r="T62" s="601">
        <v>3821</v>
      </c>
      <c r="U62" s="601">
        <v>22</v>
      </c>
      <c r="V62" s="601">
        <v>60</v>
      </c>
      <c r="W62" s="601">
        <v>82</v>
      </c>
    </row>
    <row r="63" spans="1:23" x14ac:dyDescent="0.35">
      <c r="A63" s="655"/>
      <c r="B63" s="530" t="s">
        <v>957</v>
      </c>
      <c r="C63" s="603">
        <v>202</v>
      </c>
      <c r="D63" s="603">
        <v>65</v>
      </c>
      <c r="E63" s="603">
        <v>267</v>
      </c>
      <c r="F63" s="603">
        <v>245</v>
      </c>
      <c r="G63" s="603">
        <v>278</v>
      </c>
      <c r="H63" s="603">
        <v>523</v>
      </c>
      <c r="I63" s="603">
        <v>895</v>
      </c>
      <c r="J63" s="603">
        <v>1499</v>
      </c>
      <c r="K63" s="603">
        <v>2394</v>
      </c>
      <c r="L63" s="603">
        <v>18</v>
      </c>
      <c r="M63" s="603">
        <v>44</v>
      </c>
      <c r="N63" s="603">
        <v>62</v>
      </c>
      <c r="O63" s="603">
        <v>137</v>
      </c>
      <c r="P63" s="603">
        <v>106</v>
      </c>
      <c r="Q63" s="603">
        <v>243</v>
      </c>
      <c r="R63" s="603">
        <v>1519</v>
      </c>
      <c r="S63" s="603">
        <v>2038</v>
      </c>
      <c r="T63" s="603">
        <v>3557</v>
      </c>
      <c r="U63" s="603">
        <v>22</v>
      </c>
      <c r="V63" s="603">
        <v>46</v>
      </c>
      <c r="W63" s="603">
        <v>68</v>
      </c>
    </row>
    <row r="64" spans="1:23" x14ac:dyDescent="0.35">
      <c r="A64" s="655"/>
      <c r="B64" s="530" t="s">
        <v>956</v>
      </c>
      <c r="C64" s="603">
        <v>171</v>
      </c>
      <c r="D64" s="603">
        <v>56</v>
      </c>
      <c r="E64" s="603">
        <v>227</v>
      </c>
      <c r="F64" s="603">
        <v>272</v>
      </c>
      <c r="G64" s="603">
        <v>286</v>
      </c>
      <c r="H64" s="603">
        <v>558</v>
      </c>
      <c r="I64" s="603">
        <v>1138</v>
      </c>
      <c r="J64" s="603">
        <v>1345</v>
      </c>
      <c r="K64" s="603">
        <v>2483</v>
      </c>
      <c r="L64" s="603">
        <v>14</v>
      </c>
      <c r="M64" s="603">
        <v>45</v>
      </c>
      <c r="N64" s="603">
        <v>59</v>
      </c>
      <c r="O64" s="603">
        <v>51</v>
      </c>
      <c r="P64" s="603">
        <v>162</v>
      </c>
      <c r="Q64" s="603">
        <v>213</v>
      </c>
      <c r="R64" s="603">
        <v>1671</v>
      </c>
      <c r="S64" s="603">
        <v>1968</v>
      </c>
      <c r="T64" s="603">
        <v>3639</v>
      </c>
      <c r="U64" s="603">
        <v>25</v>
      </c>
      <c r="V64" s="603">
        <v>74</v>
      </c>
      <c r="W64" s="603">
        <v>99</v>
      </c>
    </row>
    <row r="65" spans="1:23" ht="14.5" x14ac:dyDescent="0.35">
      <c r="A65" s="655">
        <v>10</v>
      </c>
      <c r="B65" s="649" t="s">
        <v>21</v>
      </c>
      <c r="C65" s="650"/>
      <c r="D65" s="650"/>
      <c r="E65" s="650"/>
      <c r="F65" s="650"/>
      <c r="G65" s="650"/>
      <c r="H65" s="650"/>
      <c r="I65" s="650"/>
      <c r="J65" s="650"/>
      <c r="K65" s="650"/>
      <c r="L65" s="650"/>
      <c r="M65" s="650"/>
      <c r="N65" s="650"/>
      <c r="O65" s="650"/>
      <c r="P65" s="650"/>
      <c r="Q65" s="650"/>
      <c r="R65" s="650"/>
      <c r="S65" s="650"/>
      <c r="T65" s="650"/>
      <c r="U65" s="650"/>
      <c r="V65" s="650"/>
      <c r="W65" s="651"/>
    </row>
    <row r="66" spans="1:23" x14ac:dyDescent="0.35">
      <c r="A66" s="655"/>
      <c r="B66" s="529" t="s">
        <v>960</v>
      </c>
      <c r="C66" s="616">
        <v>4318</v>
      </c>
      <c r="D66" s="616">
        <v>1918</v>
      </c>
      <c r="E66" s="616">
        <v>6236</v>
      </c>
      <c r="F66" s="616">
        <v>5287</v>
      </c>
      <c r="G66" s="616">
        <v>2815</v>
      </c>
      <c r="H66" s="616">
        <v>8102</v>
      </c>
      <c r="I66" s="616">
        <v>23218</v>
      </c>
      <c r="J66" s="616">
        <v>18095</v>
      </c>
      <c r="K66" s="616">
        <v>41313</v>
      </c>
      <c r="L66" s="616">
        <v>2480</v>
      </c>
      <c r="M66" s="616">
        <v>5671</v>
      </c>
      <c r="N66" s="616">
        <v>8151</v>
      </c>
      <c r="O66" s="616">
        <v>1259</v>
      </c>
      <c r="P66" s="616">
        <v>1673</v>
      </c>
      <c r="Q66" s="616">
        <v>2932</v>
      </c>
      <c r="R66" s="616">
        <v>37986</v>
      </c>
      <c r="S66" s="616">
        <v>31261</v>
      </c>
      <c r="T66" s="616">
        <v>69247</v>
      </c>
      <c r="U66" s="616">
        <v>1424</v>
      </c>
      <c r="V66" s="616">
        <v>1089</v>
      </c>
      <c r="W66" s="616">
        <v>2513</v>
      </c>
    </row>
    <row r="67" spans="1:23" x14ac:dyDescent="0.35">
      <c r="A67" s="655"/>
      <c r="B67" s="530" t="s">
        <v>959</v>
      </c>
      <c r="C67" s="601">
        <v>4151</v>
      </c>
      <c r="D67" s="601">
        <v>1807</v>
      </c>
      <c r="E67" s="601">
        <v>5958</v>
      </c>
      <c r="F67" s="601">
        <v>5125</v>
      </c>
      <c r="G67" s="601">
        <v>2655</v>
      </c>
      <c r="H67" s="601">
        <v>7780</v>
      </c>
      <c r="I67" s="601">
        <v>22852</v>
      </c>
      <c r="J67" s="601">
        <v>17021</v>
      </c>
      <c r="K67" s="601">
        <v>39873</v>
      </c>
      <c r="L67" s="601">
        <v>2123</v>
      </c>
      <c r="M67" s="601">
        <v>5107</v>
      </c>
      <c r="N67" s="601">
        <v>7230</v>
      </c>
      <c r="O67" s="601">
        <v>1200</v>
      </c>
      <c r="P67" s="601">
        <v>1590</v>
      </c>
      <c r="Q67" s="601">
        <v>2790</v>
      </c>
      <c r="R67" s="601">
        <v>36939</v>
      </c>
      <c r="S67" s="601">
        <v>29312</v>
      </c>
      <c r="T67" s="601">
        <v>66251</v>
      </c>
      <c r="U67" s="601">
        <v>1488</v>
      </c>
      <c r="V67" s="601">
        <v>1132</v>
      </c>
      <c r="W67" s="601">
        <v>2620</v>
      </c>
    </row>
    <row r="68" spans="1:23" x14ac:dyDescent="0.35">
      <c r="A68" s="655"/>
      <c r="B68" s="530" t="s">
        <v>958</v>
      </c>
      <c r="C68" s="601">
        <v>4061</v>
      </c>
      <c r="D68" s="601">
        <v>1686</v>
      </c>
      <c r="E68" s="601">
        <v>5747</v>
      </c>
      <c r="F68" s="601">
        <v>5034</v>
      </c>
      <c r="G68" s="601">
        <v>2582</v>
      </c>
      <c r="H68" s="601">
        <v>7616</v>
      </c>
      <c r="I68" s="601">
        <v>21947</v>
      </c>
      <c r="J68" s="601">
        <v>15399</v>
      </c>
      <c r="K68" s="601">
        <v>37346</v>
      </c>
      <c r="L68" s="601">
        <v>1753</v>
      </c>
      <c r="M68" s="601">
        <v>4336</v>
      </c>
      <c r="N68" s="601">
        <v>6089</v>
      </c>
      <c r="O68" s="601">
        <v>1216</v>
      </c>
      <c r="P68" s="601">
        <v>1507</v>
      </c>
      <c r="Q68" s="601">
        <v>2723</v>
      </c>
      <c r="R68" s="601">
        <v>34011</v>
      </c>
      <c r="S68" s="601">
        <v>25510</v>
      </c>
      <c r="T68" s="601">
        <v>59521</v>
      </c>
      <c r="U68" s="601">
        <v>1317</v>
      </c>
      <c r="V68" s="601">
        <v>965</v>
      </c>
      <c r="W68" s="601">
        <v>2282</v>
      </c>
    </row>
    <row r="69" spans="1:23" x14ac:dyDescent="0.35">
      <c r="A69" s="655"/>
      <c r="B69" s="530" t="s">
        <v>957</v>
      </c>
      <c r="C69" s="603">
        <v>4096</v>
      </c>
      <c r="D69" s="603">
        <v>1619</v>
      </c>
      <c r="E69" s="603">
        <v>5715</v>
      </c>
      <c r="F69" s="603">
        <v>5094</v>
      </c>
      <c r="G69" s="603">
        <v>2554</v>
      </c>
      <c r="H69" s="603">
        <v>7648</v>
      </c>
      <c r="I69" s="603">
        <v>22208</v>
      </c>
      <c r="J69" s="603">
        <v>14879</v>
      </c>
      <c r="K69" s="603">
        <v>37087</v>
      </c>
      <c r="L69" s="603">
        <v>1605</v>
      </c>
      <c r="M69" s="603">
        <v>3879</v>
      </c>
      <c r="N69" s="603">
        <v>5484</v>
      </c>
      <c r="O69" s="603">
        <v>1139</v>
      </c>
      <c r="P69" s="603">
        <v>1316</v>
      </c>
      <c r="Q69" s="603">
        <v>2455</v>
      </c>
      <c r="R69" s="603">
        <v>35408</v>
      </c>
      <c r="S69" s="603">
        <v>25197</v>
      </c>
      <c r="T69" s="603">
        <v>60605</v>
      </c>
      <c r="U69" s="603">
        <v>1266</v>
      </c>
      <c r="V69" s="603">
        <v>950</v>
      </c>
      <c r="W69" s="603">
        <v>2216</v>
      </c>
    </row>
    <row r="70" spans="1:23" x14ac:dyDescent="0.35">
      <c r="A70" s="655"/>
      <c r="B70" s="530" t="s">
        <v>956</v>
      </c>
      <c r="C70" s="603">
        <v>4161</v>
      </c>
      <c r="D70" s="603">
        <v>1540</v>
      </c>
      <c r="E70" s="603">
        <v>5701</v>
      </c>
      <c r="F70" s="603">
        <v>5138</v>
      </c>
      <c r="G70" s="603">
        <v>2598</v>
      </c>
      <c r="H70" s="603">
        <v>7736</v>
      </c>
      <c r="I70" s="603">
        <v>22191</v>
      </c>
      <c r="J70" s="603">
        <v>14555</v>
      </c>
      <c r="K70" s="603">
        <v>36746</v>
      </c>
      <c r="L70" s="603">
        <v>1461</v>
      </c>
      <c r="M70" s="603">
        <v>3549</v>
      </c>
      <c r="N70" s="603">
        <v>5010</v>
      </c>
      <c r="O70" s="603">
        <v>1251</v>
      </c>
      <c r="P70" s="603">
        <v>1465</v>
      </c>
      <c r="Q70" s="603">
        <v>2716</v>
      </c>
      <c r="R70" s="603">
        <v>35627</v>
      </c>
      <c r="S70" s="603">
        <v>24761</v>
      </c>
      <c r="T70" s="603">
        <v>60388</v>
      </c>
      <c r="U70" s="603">
        <v>1425</v>
      </c>
      <c r="V70" s="603">
        <v>1054</v>
      </c>
      <c r="W70" s="603">
        <v>2479</v>
      </c>
    </row>
    <row r="71" spans="1:23" ht="14.5" x14ac:dyDescent="0.35">
      <c r="A71" s="655">
        <v>11</v>
      </c>
      <c r="B71" s="649" t="s">
        <v>22</v>
      </c>
      <c r="C71" s="650"/>
      <c r="D71" s="650"/>
      <c r="E71" s="650"/>
      <c r="F71" s="650"/>
      <c r="G71" s="650"/>
      <c r="H71" s="650"/>
      <c r="I71" s="650"/>
      <c r="J71" s="650"/>
      <c r="K71" s="650"/>
      <c r="L71" s="650"/>
      <c r="M71" s="650"/>
      <c r="N71" s="650"/>
      <c r="O71" s="650"/>
      <c r="P71" s="650"/>
      <c r="Q71" s="650"/>
      <c r="R71" s="650"/>
      <c r="S71" s="650"/>
      <c r="T71" s="650"/>
      <c r="U71" s="650"/>
      <c r="V71" s="650"/>
      <c r="W71" s="651"/>
    </row>
    <row r="72" spans="1:23" x14ac:dyDescent="0.35">
      <c r="A72" s="655"/>
      <c r="B72" s="529" t="s">
        <v>960</v>
      </c>
      <c r="C72" s="616">
        <v>2701</v>
      </c>
      <c r="D72" s="616">
        <v>1414</v>
      </c>
      <c r="E72" s="616">
        <v>4115</v>
      </c>
      <c r="F72" s="616">
        <v>2232</v>
      </c>
      <c r="G72" s="616">
        <v>2191</v>
      </c>
      <c r="H72" s="616">
        <v>4423</v>
      </c>
      <c r="I72" s="616">
        <v>13936</v>
      </c>
      <c r="J72" s="616">
        <v>17074</v>
      </c>
      <c r="K72" s="616">
        <v>31010</v>
      </c>
      <c r="L72" s="616">
        <v>437</v>
      </c>
      <c r="M72" s="616">
        <v>1449</v>
      </c>
      <c r="N72" s="616">
        <v>1886</v>
      </c>
      <c r="O72" s="616">
        <v>978</v>
      </c>
      <c r="P72" s="616">
        <v>1860</v>
      </c>
      <c r="Q72" s="616">
        <v>2838</v>
      </c>
      <c r="R72" s="616">
        <v>20592</v>
      </c>
      <c r="S72" s="616">
        <v>24336</v>
      </c>
      <c r="T72" s="616">
        <v>44928</v>
      </c>
      <c r="U72" s="616">
        <v>308</v>
      </c>
      <c r="V72" s="616">
        <v>348</v>
      </c>
      <c r="W72" s="616">
        <v>656</v>
      </c>
    </row>
    <row r="73" spans="1:23" x14ac:dyDescent="0.35">
      <c r="A73" s="655"/>
      <c r="B73" s="530" t="s">
        <v>959</v>
      </c>
      <c r="C73" s="601">
        <v>2619</v>
      </c>
      <c r="D73" s="601">
        <v>1298</v>
      </c>
      <c r="E73" s="601">
        <v>3917</v>
      </c>
      <c r="F73" s="601">
        <v>2228</v>
      </c>
      <c r="G73" s="601">
        <v>2106</v>
      </c>
      <c r="H73" s="601">
        <v>4334</v>
      </c>
      <c r="I73" s="601">
        <v>13649</v>
      </c>
      <c r="J73" s="601">
        <v>16534</v>
      </c>
      <c r="K73" s="601">
        <v>30183</v>
      </c>
      <c r="L73" s="601">
        <v>324</v>
      </c>
      <c r="M73" s="601">
        <v>1344</v>
      </c>
      <c r="N73" s="601">
        <v>1668</v>
      </c>
      <c r="O73" s="601">
        <v>980</v>
      </c>
      <c r="P73" s="601">
        <v>1918</v>
      </c>
      <c r="Q73" s="601">
        <v>2898</v>
      </c>
      <c r="R73" s="601">
        <v>20064</v>
      </c>
      <c r="S73" s="601">
        <v>23483</v>
      </c>
      <c r="T73" s="601">
        <v>43547</v>
      </c>
      <c r="U73" s="601">
        <v>264</v>
      </c>
      <c r="V73" s="601">
        <v>283</v>
      </c>
      <c r="W73" s="601">
        <v>547</v>
      </c>
    </row>
    <row r="74" spans="1:23" x14ac:dyDescent="0.35">
      <c r="A74" s="655"/>
      <c r="B74" s="530" t="s">
        <v>958</v>
      </c>
      <c r="C74" s="601">
        <v>2519</v>
      </c>
      <c r="D74" s="601">
        <v>1219</v>
      </c>
      <c r="E74" s="601">
        <v>3738</v>
      </c>
      <c r="F74" s="601">
        <v>2179</v>
      </c>
      <c r="G74" s="601">
        <v>2020</v>
      </c>
      <c r="H74" s="601">
        <v>4199</v>
      </c>
      <c r="I74" s="601">
        <v>12993</v>
      </c>
      <c r="J74" s="601">
        <v>15770</v>
      </c>
      <c r="K74" s="601">
        <v>28763</v>
      </c>
      <c r="L74" s="601">
        <v>313</v>
      </c>
      <c r="M74" s="601">
        <v>1371</v>
      </c>
      <c r="N74" s="601">
        <v>1684</v>
      </c>
      <c r="O74" s="601">
        <v>755</v>
      </c>
      <c r="P74" s="601">
        <v>1486</v>
      </c>
      <c r="Q74" s="601">
        <v>2241</v>
      </c>
      <c r="R74" s="601">
        <v>18759</v>
      </c>
      <c r="S74" s="601">
        <v>21866</v>
      </c>
      <c r="T74" s="601">
        <v>40625</v>
      </c>
      <c r="U74" s="601">
        <v>253</v>
      </c>
      <c r="V74" s="601">
        <v>220</v>
      </c>
      <c r="W74" s="601">
        <v>473</v>
      </c>
    </row>
    <row r="75" spans="1:23" x14ac:dyDescent="0.35">
      <c r="A75" s="655"/>
      <c r="B75" s="530" t="s">
        <v>957</v>
      </c>
      <c r="C75" s="603">
        <v>2435</v>
      </c>
      <c r="D75" s="603">
        <v>1157</v>
      </c>
      <c r="E75" s="603">
        <v>3592</v>
      </c>
      <c r="F75" s="603">
        <v>2168</v>
      </c>
      <c r="G75" s="603">
        <v>2016</v>
      </c>
      <c r="H75" s="603">
        <v>4184</v>
      </c>
      <c r="I75" s="603">
        <v>12746</v>
      </c>
      <c r="J75" s="603">
        <v>15123</v>
      </c>
      <c r="K75" s="603">
        <v>27869</v>
      </c>
      <c r="L75" s="603">
        <v>334</v>
      </c>
      <c r="M75" s="603">
        <v>1229</v>
      </c>
      <c r="N75" s="603">
        <v>1563</v>
      </c>
      <c r="O75" s="603">
        <v>538</v>
      </c>
      <c r="P75" s="603">
        <v>1025</v>
      </c>
      <c r="Q75" s="603">
        <v>1563</v>
      </c>
      <c r="R75" s="603">
        <v>18467</v>
      </c>
      <c r="S75" s="603">
        <v>20789</v>
      </c>
      <c r="T75" s="603">
        <v>39256</v>
      </c>
      <c r="U75" s="603">
        <v>246</v>
      </c>
      <c r="V75" s="603">
        <v>239</v>
      </c>
      <c r="W75" s="603">
        <v>485</v>
      </c>
    </row>
    <row r="76" spans="1:23" x14ac:dyDescent="0.35">
      <c r="A76" s="655"/>
      <c r="B76" s="530" t="s">
        <v>956</v>
      </c>
      <c r="C76" s="603">
        <v>2396</v>
      </c>
      <c r="D76" s="603">
        <v>1054</v>
      </c>
      <c r="E76" s="603">
        <v>3450</v>
      </c>
      <c r="F76" s="603">
        <v>2220</v>
      </c>
      <c r="G76" s="603">
        <v>2035</v>
      </c>
      <c r="H76" s="603">
        <v>4255</v>
      </c>
      <c r="I76" s="603">
        <v>12789</v>
      </c>
      <c r="J76" s="603">
        <v>15185</v>
      </c>
      <c r="K76" s="603">
        <v>27974</v>
      </c>
      <c r="L76" s="603">
        <v>426</v>
      </c>
      <c r="M76" s="603">
        <v>1195</v>
      </c>
      <c r="N76" s="603">
        <v>1621</v>
      </c>
      <c r="O76" s="603">
        <v>451</v>
      </c>
      <c r="P76" s="603">
        <v>939</v>
      </c>
      <c r="Q76" s="603">
        <v>1390</v>
      </c>
      <c r="R76" s="603">
        <v>18541</v>
      </c>
      <c r="S76" s="603">
        <v>20690</v>
      </c>
      <c r="T76" s="603">
        <v>39231</v>
      </c>
      <c r="U76" s="603">
        <v>259</v>
      </c>
      <c r="V76" s="603">
        <v>282</v>
      </c>
      <c r="W76" s="603">
        <v>541</v>
      </c>
    </row>
    <row r="77" spans="1:23" ht="14.5" x14ac:dyDescent="0.35">
      <c r="A77" s="655">
        <v>12</v>
      </c>
      <c r="B77" s="649" t="s">
        <v>23</v>
      </c>
      <c r="C77" s="650"/>
      <c r="D77" s="650"/>
      <c r="E77" s="650"/>
      <c r="F77" s="650"/>
      <c r="G77" s="650"/>
      <c r="H77" s="650"/>
      <c r="I77" s="650"/>
      <c r="J77" s="650"/>
      <c r="K77" s="650"/>
      <c r="L77" s="650"/>
      <c r="M77" s="650"/>
      <c r="N77" s="650"/>
      <c r="O77" s="650"/>
      <c r="P77" s="650"/>
      <c r="Q77" s="650"/>
      <c r="R77" s="650"/>
      <c r="S77" s="650"/>
      <c r="T77" s="650"/>
      <c r="U77" s="650"/>
      <c r="V77" s="650"/>
      <c r="W77" s="651"/>
    </row>
    <row r="78" spans="1:23" x14ac:dyDescent="0.35">
      <c r="A78" s="655"/>
      <c r="B78" s="529" t="s">
        <v>960</v>
      </c>
      <c r="C78" s="616">
        <v>752</v>
      </c>
      <c r="D78" s="616">
        <v>275</v>
      </c>
      <c r="E78" s="616">
        <v>1027</v>
      </c>
      <c r="F78" s="616">
        <v>731</v>
      </c>
      <c r="G78" s="616">
        <v>376</v>
      </c>
      <c r="H78" s="616">
        <v>1107</v>
      </c>
      <c r="I78" s="616">
        <v>3869</v>
      </c>
      <c r="J78" s="616">
        <v>4040</v>
      </c>
      <c r="K78" s="616">
        <v>7909</v>
      </c>
      <c r="L78" s="616">
        <v>109</v>
      </c>
      <c r="M78" s="616">
        <v>734</v>
      </c>
      <c r="N78" s="616">
        <v>843</v>
      </c>
      <c r="O78" s="616">
        <v>195</v>
      </c>
      <c r="P78" s="616">
        <v>226</v>
      </c>
      <c r="Q78" s="616">
        <v>421</v>
      </c>
      <c r="R78" s="616">
        <v>5679</v>
      </c>
      <c r="S78" s="616">
        <v>5668</v>
      </c>
      <c r="T78" s="616">
        <v>11347</v>
      </c>
      <c r="U78" s="616">
        <v>23</v>
      </c>
      <c r="V78" s="616">
        <v>17</v>
      </c>
      <c r="W78" s="616">
        <v>40</v>
      </c>
    </row>
    <row r="79" spans="1:23" x14ac:dyDescent="0.35">
      <c r="A79" s="655"/>
      <c r="B79" s="530" t="s">
        <v>959</v>
      </c>
      <c r="C79" s="601">
        <v>747</v>
      </c>
      <c r="D79" s="601">
        <v>264</v>
      </c>
      <c r="E79" s="601">
        <v>1011</v>
      </c>
      <c r="F79" s="601">
        <v>732</v>
      </c>
      <c r="G79" s="601">
        <v>398</v>
      </c>
      <c r="H79" s="601">
        <v>1130</v>
      </c>
      <c r="I79" s="601">
        <v>3630</v>
      </c>
      <c r="J79" s="601">
        <v>3787</v>
      </c>
      <c r="K79" s="601">
        <v>7417</v>
      </c>
      <c r="L79" s="601">
        <v>129</v>
      </c>
      <c r="M79" s="601">
        <v>696</v>
      </c>
      <c r="N79" s="601">
        <v>825</v>
      </c>
      <c r="O79" s="601">
        <v>154</v>
      </c>
      <c r="P79" s="601">
        <v>214</v>
      </c>
      <c r="Q79" s="601">
        <v>368</v>
      </c>
      <c r="R79" s="601">
        <v>5415</v>
      </c>
      <c r="S79" s="601">
        <v>5386</v>
      </c>
      <c r="T79" s="601">
        <v>10801</v>
      </c>
      <c r="U79" s="601">
        <v>23</v>
      </c>
      <c r="V79" s="601">
        <v>27</v>
      </c>
      <c r="W79" s="601">
        <v>50</v>
      </c>
    </row>
    <row r="80" spans="1:23" x14ac:dyDescent="0.35">
      <c r="A80" s="655"/>
      <c r="B80" s="530" t="s">
        <v>958</v>
      </c>
      <c r="C80" s="601">
        <v>845</v>
      </c>
      <c r="D80" s="601">
        <v>287</v>
      </c>
      <c r="E80" s="601">
        <v>1132</v>
      </c>
      <c r="F80" s="601">
        <v>772</v>
      </c>
      <c r="G80" s="601">
        <v>403</v>
      </c>
      <c r="H80" s="601">
        <v>1175</v>
      </c>
      <c r="I80" s="601">
        <v>3526</v>
      </c>
      <c r="J80" s="601">
        <v>3709</v>
      </c>
      <c r="K80" s="601">
        <v>7235</v>
      </c>
      <c r="L80" s="601">
        <v>224</v>
      </c>
      <c r="M80" s="601">
        <v>751</v>
      </c>
      <c r="N80" s="601">
        <v>975</v>
      </c>
      <c r="O80" s="601">
        <v>125</v>
      </c>
      <c r="P80" s="601">
        <v>203</v>
      </c>
      <c r="Q80" s="601">
        <v>328</v>
      </c>
      <c r="R80" s="601">
        <v>5492</v>
      </c>
      <c r="S80" s="601">
        <v>5353</v>
      </c>
      <c r="T80" s="601">
        <v>10845</v>
      </c>
      <c r="U80" s="601">
        <v>30</v>
      </c>
      <c r="V80" s="601">
        <v>20</v>
      </c>
      <c r="W80" s="601">
        <v>50</v>
      </c>
    </row>
    <row r="81" spans="1:23" x14ac:dyDescent="0.35">
      <c r="A81" s="655"/>
      <c r="B81" s="530" t="s">
        <v>957</v>
      </c>
      <c r="C81" s="603">
        <v>845</v>
      </c>
      <c r="D81" s="603">
        <v>284</v>
      </c>
      <c r="E81" s="603">
        <v>1129</v>
      </c>
      <c r="F81" s="603">
        <v>810</v>
      </c>
      <c r="G81" s="603">
        <v>400</v>
      </c>
      <c r="H81" s="603">
        <v>1210</v>
      </c>
      <c r="I81" s="603">
        <v>3545</v>
      </c>
      <c r="J81" s="603">
        <v>3560</v>
      </c>
      <c r="K81" s="603">
        <v>7105</v>
      </c>
      <c r="L81" s="603">
        <v>202</v>
      </c>
      <c r="M81" s="603">
        <v>728</v>
      </c>
      <c r="N81" s="603">
        <v>930</v>
      </c>
      <c r="O81" s="603">
        <v>119</v>
      </c>
      <c r="P81" s="603">
        <v>195</v>
      </c>
      <c r="Q81" s="603">
        <v>314</v>
      </c>
      <c r="R81" s="603">
        <v>5557</v>
      </c>
      <c r="S81" s="603">
        <v>5195</v>
      </c>
      <c r="T81" s="603">
        <v>10752</v>
      </c>
      <c r="U81" s="603">
        <v>36</v>
      </c>
      <c r="V81" s="603">
        <v>28</v>
      </c>
      <c r="W81" s="603">
        <v>64</v>
      </c>
    </row>
    <row r="82" spans="1:23" x14ac:dyDescent="0.35">
      <c r="A82" s="655"/>
      <c r="B82" s="530" t="s">
        <v>956</v>
      </c>
      <c r="C82" s="603">
        <v>909</v>
      </c>
      <c r="D82" s="603">
        <v>292</v>
      </c>
      <c r="E82" s="603">
        <v>1201</v>
      </c>
      <c r="F82" s="603">
        <v>837</v>
      </c>
      <c r="G82" s="603">
        <v>400</v>
      </c>
      <c r="H82" s="603">
        <v>1237</v>
      </c>
      <c r="I82" s="603">
        <v>3579</v>
      </c>
      <c r="J82" s="603">
        <v>3547</v>
      </c>
      <c r="K82" s="603">
        <v>7126</v>
      </c>
      <c r="L82" s="603">
        <v>190</v>
      </c>
      <c r="M82" s="603">
        <v>719</v>
      </c>
      <c r="N82" s="603">
        <v>909</v>
      </c>
      <c r="O82" s="603">
        <v>103</v>
      </c>
      <c r="P82" s="603">
        <v>154</v>
      </c>
      <c r="Q82" s="603">
        <v>257</v>
      </c>
      <c r="R82" s="603">
        <v>5648</v>
      </c>
      <c r="S82" s="603">
        <v>5133</v>
      </c>
      <c r="T82" s="603">
        <v>10781</v>
      </c>
      <c r="U82" s="603">
        <v>30</v>
      </c>
      <c r="V82" s="603">
        <v>21</v>
      </c>
      <c r="W82" s="603">
        <v>51</v>
      </c>
    </row>
    <row r="83" spans="1:23" ht="14.5" x14ac:dyDescent="0.35">
      <c r="A83" s="655">
        <v>13</v>
      </c>
      <c r="B83" s="649" t="s">
        <v>24</v>
      </c>
      <c r="C83" s="650"/>
      <c r="D83" s="650"/>
      <c r="E83" s="650"/>
      <c r="F83" s="650"/>
      <c r="G83" s="650"/>
      <c r="H83" s="650"/>
      <c r="I83" s="650"/>
      <c r="J83" s="650"/>
      <c r="K83" s="650"/>
      <c r="L83" s="650"/>
      <c r="M83" s="650"/>
      <c r="N83" s="650"/>
      <c r="O83" s="650"/>
      <c r="P83" s="650"/>
      <c r="Q83" s="650"/>
      <c r="R83" s="650"/>
      <c r="S83" s="650"/>
      <c r="T83" s="650"/>
      <c r="U83" s="650"/>
      <c r="V83" s="650"/>
      <c r="W83" s="651"/>
    </row>
    <row r="84" spans="1:23" x14ac:dyDescent="0.35">
      <c r="A84" s="655"/>
      <c r="B84" s="529" t="s">
        <v>960</v>
      </c>
      <c r="C84" s="616">
        <v>917</v>
      </c>
      <c r="D84" s="616">
        <v>369</v>
      </c>
      <c r="E84" s="616">
        <v>1286</v>
      </c>
      <c r="F84" s="616">
        <v>724</v>
      </c>
      <c r="G84" s="616">
        <v>437</v>
      </c>
      <c r="H84" s="616">
        <v>1161</v>
      </c>
      <c r="I84" s="616">
        <v>4048</v>
      </c>
      <c r="J84" s="616">
        <v>2979</v>
      </c>
      <c r="K84" s="616">
        <v>7027</v>
      </c>
      <c r="L84" s="616">
        <v>332</v>
      </c>
      <c r="M84" s="616">
        <v>709</v>
      </c>
      <c r="N84" s="616">
        <v>1041</v>
      </c>
      <c r="O84" s="616">
        <v>896</v>
      </c>
      <c r="P84" s="616">
        <v>563</v>
      </c>
      <c r="Q84" s="616">
        <v>1459</v>
      </c>
      <c r="R84" s="616">
        <v>6938</v>
      </c>
      <c r="S84" s="616">
        <v>5078</v>
      </c>
      <c r="T84" s="616">
        <v>12016</v>
      </c>
      <c r="U84" s="616">
        <v>21</v>
      </c>
      <c r="V84" s="616">
        <v>21</v>
      </c>
      <c r="W84" s="616">
        <v>42</v>
      </c>
    </row>
    <row r="85" spans="1:23" x14ac:dyDescent="0.35">
      <c r="A85" s="655"/>
      <c r="B85" s="530" t="s">
        <v>959</v>
      </c>
      <c r="C85" s="601">
        <v>845</v>
      </c>
      <c r="D85" s="601">
        <v>316</v>
      </c>
      <c r="E85" s="601">
        <v>1161</v>
      </c>
      <c r="F85" s="601">
        <v>627</v>
      </c>
      <c r="G85" s="601">
        <v>406</v>
      </c>
      <c r="H85" s="601">
        <v>1033</v>
      </c>
      <c r="I85" s="601">
        <v>4063</v>
      </c>
      <c r="J85" s="601">
        <v>2956</v>
      </c>
      <c r="K85" s="601">
        <v>7019</v>
      </c>
      <c r="L85" s="601">
        <v>328</v>
      </c>
      <c r="M85" s="601">
        <v>577</v>
      </c>
      <c r="N85" s="601">
        <v>905</v>
      </c>
      <c r="O85" s="601">
        <v>979</v>
      </c>
      <c r="P85" s="601">
        <v>629</v>
      </c>
      <c r="Q85" s="601">
        <v>1608</v>
      </c>
      <c r="R85" s="601">
        <v>6868</v>
      </c>
      <c r="S85" s="601">
        <v>4900</v>
      </c>
      <c r="T85" s="601">
        <v>11768</v>
      </c>
      <c r="U85" s="601">
        <v>26</v>
      </c>
      <c r="V85" s="601">
        <v>16</v>
      </c>
      <c r="W85" s="601">
        <v>42</v>
      </c>
    </row>
    <row r="86" spans="1:23" x14ac:dyDescent="0.35">
      <c r="A86" s="655"/>
      <c r="B86" s="530" t="s">
        <v>958</v>
      </c>
      <c r="C86" s="601">
        <v>811</v>
      </c>
      <c r="D86" s="601">
        <v>293</v>
      </c>
      <c r="E86" s="601">
        <v>1104</v>
      </c>
      <c r="F86" s="601">
        <v>633</v>
      </c>
      <c r="G86" s="601">
        <v>394</v>
      </c>
      <c r="H86" s="601">
        <v>1027</v>
      </c>
      <c r="I86" s="601">
        <v>4011</v>
      </c>
      <c r="J86" s="601">
        <v>2952</v>
      </c>
      <c r="K86" s="601">
        <v>6963</v>
      </c>
      <c r="L86" s="601">
        <v>344</v>
      </c>
      <c r="M86" s="601">
        <v>536</v>
      </c>
      <c r="N86" s="601">
        <v>880</v>
      </c>
      <c r="O86" s="601">
        <v>805</v>
      </c>
      <c r="P86" s="601">
        <v>521</v>
      </c>
      <c r="Q86" s="601">
        <v>1326</v>
      </c>
      <c r="R86" s="601">
        <v>6604</v>
      </c>
      <c r="S86" s="601">
        <v>4696</v>
      </c>
      <c r="T86" s="601">
        <v>11300</v>
      </c>
      <c r="U86" s="601">
        <v>34</v>
      </c>
      <c r="V86" s="601">
        <v>29</v>
      </c>
      <c r="W86" s="601">
        <v>63</v>
      </c>
    </row>
    <row r="87" spans="1:23" x14ac:dyDescent="0.35">
      <c r="A87" s="655"/>
      <c r="B87" s="530" t="s">
        <v>957</v>
      </c>
      <c r="C87" s="603">
        <v>824</v>
      </c>
      <c r="D87" s="603">
        <v>289</v>
      </c>
      <c r="E87" s="603">
        <v>1113</v>
      </c>
      <c r="F87" s="603">
        <v>664</v>
      </c>
      <c r="G87" s="603">
        <v>400</v>
      </c>
      <c r="H87" s="603">
        <v>1064</v>
      </c>
      <c r="I87" s="603">
        <v>3966</v>
      </c>
      <c r="J87" s="603">
        <v>2995</v>
      </c>
      <c r="K87" s="603">
        <v>6961</v>
      </c>
      <c r="L87" s="603">
        <v>324</v>
      </c>
      <c r="M87" s="603">
        <v>511</v>
      </c>
      <c r="N87" s="603">
        <v>835</v>
      </c>
      <c r="O87" s="603">
        <v>834</v>
      </c>
      <c r="P87" s="603">
        <v>501</v>
      </c>
      <c r="Q87" s="603">
        <v>1335</v>
      </c>
      <c r="R87" s="603">
        <v>6661</v>
      </c>
      <c r="S87" s="603">
        <v>4731</v>
      </c>
      <c r="T87" s="603">
        <v>11392</v>
      </c>
      <c r="U87" s="603">
        <v>49</v>
      </c>
      <c r="V87" s="603">
        <v>35</v>
      </c>
      <c r="W87" s="603">
        <v>84</v>
      </c>
    </row>
    <row r="88" spans="1:23" x14ac:dyDescent="0.35">
      <c r="A88" s="655"/>
      <c r="B88" s="530" t="s">
        <v>956</v>
      </c>
      <c r="C88" s="603">
        <v>863</v>
      </c>
      <c r="D88" s="603">
        <v>272</v>
      </c>
      <c r="E88" s="603">
        <v>1135</v>
      </c>
      <c r="F88" s="603">
        <v>716</v>
      </c>
      <c r="G88" s="603">
        <v>434</v>
      </c>
      <c r="H88" s="603">
        <v>1150</v>
      </c>
      <c r="I88" s="603">
        <v>3822</v>
      </c>
      <c r="J88" s="603">
        <v>2926</v>
      </c>
      <c r="K88" s="603">
        <v>6748</v>
      </c>
      <c r="L88" s="603">
        <v>310</v>
      </c>
      <c r="M88" s="603">
        <v>498</v>
      </c>
      <c r="N88" s="603">
        <v>808</v>
      </c>
      <c r="O88" s="603">
        <v>831</v>
      </c>
      <c r="P88" s="603">
        <v>582</v>
      </c>
      <c r="Q88" s="603">
        <v>1413</v>
      </c>
      <c r="R88" s="603">
        <v>6580</v>
      </c>
      <c r="S88" s="603">
        <v>4741</v>
      </c>
      <c r="T88" s="603">
        <v>11321</v>
      </c>
      <c r="U88" s="603">
        <v>38</v>
      </c>
      <c r="V88" s="603">
        <v>29</v>
      </c>
      <c r="W88" s="603">
        <v>67</v>
      </c>
    </row>
    <row r="89" spans="1:23" ht="14.5" x14ac:dyDescent="0.35">
      <c r="A89" s="655">
        <v>14</v>
      </c>
      <c r="B89" s="649" t="s">
        <v>25</v>
      </c>
      <c r="C89" s="650"/>
      <c r="D89" s="650"/>
      <c r="E89" s="650"/>
      <c r="F89" s="650"/>
      <c r="G89" s="650"/>
      <c r="H89" s="650"/>
      <c r="I89" s="650"/>
      <c r="J89" s="650"/>
      <c r="K89" s="650"/>
      <c r="L89" s="650"/>
      <c r="M89" s="650"/>
      <c r="N89" s="650"/>
      <c r="O89" s="650"/>
      <c r="P89" s="650"/>
      <c r="Q89" s="650"/>
      <c r="R89" s="650"/>
      <c r="S89" s="650"/>
      <c r="T89" s="650"/>
      <c r="U89" s="650"/>
      <c r="V89" s="650"/>
      <c r="W89" s="651"/>
    </row>
    <row r="90" spans="1:23" x14ac:dyDescent="0.35">
      <c r="A90" s="655"/>
      <c r="B90" s="529" t="s">
        <v>960</v>
      </c>
      <c r="C90" s="616">
        <v>1050</v>
      </c>
      <c r="D90" s="616">
        <v>365</v>
      </c>
      <c r="E90" s="616">
        <v>1415</v>
      </c>
      <c r="F90" s="616">
        <v>961</v>
      </c>
      <c r="G90" s="616">
        <v>320</v>
      </c>
      <c r="H90" s="616">
        <v>1281</v>
      </c>
      <c r="I90" s="616">
        <v>8179</v>
      </c>
      <c r="J90" s="616">
        <v>4280</v>
      </c>
      <c r="K90" s="616">
        <v>12459</v>
      </c>
      <c r="L90" s="616">
        <v>530</v>
      </c>
      <c r="M90" s="616">
        <v>1245</v>
      </c>
      <c r="N90" s="616">
        <v>1775</v>
      </c>
      <c r="O90" s="616">
        <v>682</v>
      </c>
      <c r="P90" s="616">
        <v>464</v>
      </c>
      <c r="Q90" s="616">
        <v>1146</v>
      </c>
      <c r="R90" s="616">
        <v>11468</v>
      </c>
      <c r="S90" s="616">
        <v>6712</v>
      </c>
      <c r="T90" s="616">
        <v>18180</v>
      </c>
      <c r="U90" s="616">
        <v>66</v>
      </c>
      <c r="V90" s="616">
        <v>38</v>
      </c>
      <c r="W90" s="616">
        <v>104</v>
      </c>
    </row>
    <row r="91" spans="1:23" x14ac:dyDescent="0.35">
      <c r="A91" s="655"/>
      <c r="B91" s="530" t="s">
        <v>959</v>
      </c>
      <c r="C91" s="601">
        <v>926</v>
      </c>
      <c r="D91" s="601">
        <v>330</v>
      </c>
      <c r="E91" s="601">
        <v>1256</v>
      </c>
      <c r="F91" s="601">
        <v>930</v>
      </c>
      <c r="G91" s="601">
        <v>299</v>
      </c>
      <c r="H91" s="601">
        <v>1229</v>
      </c>
      <c r="I91" s="601">
        <v>7746</v>
      </c>
      <c r="J91" s="601">
        <v>3968</v>
      </c>
      <c r="K91" s="601">
        <v>11714</v>
      </c>
      <c r="L91" s="601">
        <v>502</v>
      </c>
      <c r="M91" s="601">
        <v>1124</v>
      </c>
      <c r="N91" s="601">
        <v>1626</v>
      </c>
      <c r="O91" s="601">
        <v>663</v>
      </c>
      <c r="P91" s="601">
        <v>456</v>
      </c>
      <c r="Q91" s="601">
        <v>1119</v>
      </c>
      <c r="R91" s="601">
        <v>10829</v>
      </c>
      <c r="S91" s="601">
        <v>6203</v>
      </c>
      <c r="T91" s="601">
        <v>17032</v>
      </c>
      <c r="U91" s="601">
        <v>62</v>
      </c>
      <c r="V91" s="601">
        <v>26</v>
      </c>
      <c r="W91" s="601">
        <v>88</v>
      </c>
    </row>
    <row r="92" spans="1:23" x14ac:dyDescent="0.35">
      <c r="A92" s="655"/>
      <c r="B92" s="530" t="s">
        <v>958</v>
      </c>
      <c r="C92" s="601">
        <v>866</v>
      </c>
      <c r="D92" s="601">
        <v>237</v>
      </c>
      <c r="E92" s="601">
        <v>1103</v>
      </c>
      <c r="F92" s="601">
        <v>891</v>
      </c>
      <c r="G92" s="601">
        <v>291</v>
      </c>
      <c r="H92" s="601">
        <v>1182</v>
      </c>
      <c r="I92" s="601">
        <v>7186</v>
      </c>
      <c r="J92" s="601">
        <v>3566</v>
      </c>
      <c r="K92" s="601">
        <v>10752</v>
      </c>
      <c r="L92" s="601">
        <v>316</v>
      </c>
      <c r="M92" s="601">
        <v>646</v>
      </c>
      <c r="N92" s="601">
        <v>962</v>
      </c>
      <c r="O92" s="601">
        <v>608</v>
      </c>
      <c r="P92" s="601">
        <v>386</v>
      </c>
      <c r="Q92" s="601">
        <v>994</v>
      </c>
      <c r="R92" s="601">
        <v>9867</v>
      </c>
      <c r="S92" s="601">
        <v>5126</v>
      </c>
      <c r="T92" s="601">
        <v>14993</v>
      </c>
      <c r="U92" s="601">
        <v>65</v>
      </c>
      <c r="V92" s="601">
        <v>31</v>
      </c>
      <c r="W92" s="601">
        <v>96</v>
      </c>
    </row>
    <row r="93" spans="1:23" x14ac:dyDescent="0.35">
      <c r="A93" s="655"/>
      <c r="B93" s="530" t="s">
        <v>957</v>
      </c>
      <c r="C93" s="603">
        <v>829</v>
      </c>
      <c r="D93" s="603">
        <v>207</v>
      </c>
      <c r="E93" s="603">
        <v>1036</v>
      </c>
      <c r="F93" s="603">
        <v>895</v>
      </c>
      <c r="G93" s="603">
        <v>295</v>
      </c>
      <c r="H93" s="603">
        <v>1190</v>
      </c>
      <c r="I93" s="603">
        <v>6995</v>
      </c>
      <c r="J93" s="603">
        <v>3282</v>
      </c>
      <c r="K93" s="603">
        <v>10277</v>
      </c>
      <c r="L93" s="603">
        <v>301</v>
      </c>
      <c r="M93" s="603">
        <v>472</v>
      </c>
      <c r="N93" s="603">
        <v>773</v>
      </c>
      <c r="O93" s="603">
        <v>614</v>
      </c>
      <c r="P93" s="603">
        <v>393</v>
      </c>
      <c r="Q93" s="603">
        <v>1007</v>
      </c>
      <c r="R93" s="603">
        <v>9702</v>
      </c>
      <c r="S93" s="603">
        <v>4684</v>
      </c>
      <c r="T93" s="603">
        <v>14386</v>
      </c>
      <c r="U93" s="603">
        <v>68</v>
      </c>
      <c r="V93" s="603">
        <v>35</v>
      </c>
      <c r="W93" s="603">
        <v>103</v>
      </c>
    </row>
    <row r="94" spans="1:23" x14ac:dyDescent="0.35">
      <c r="A94" s="655"/>
      <c r="B94" s="530" t="s">
        <v>956</v>
      </c>
      <c r="C94" s="603">
        <v>810</v>
      </c>
      <c r="D94" s="603">
        <v>165</v>
      </c>
      <c r="E94" s="603">
        <v>975</v>
      </c>
      <c r="F94" s="603">
        <v>920</v>
      </c>
      <c r="G94" s="603">
        <v>299</v>
      </c>
      <c r="H94" s="603">
        <v>1219</v>
      </c>
      <c r="I94" s="603">
        <v>6828</v>
      </c>
      <c r="J94" s="603">
        <v>2926</v>
      </c>
      <c r="K94" s="603">
        <v>9754</v>
      </c>
      <c r="L94" s="603">
        <v>227</v>
      </c>
      <c r="M94" s="603">
        <v>292</v>
      </c>
      <c r="N94" s="603">
        <v>519</v>
      </c>
      <c r="O94" s="603">
        <v>652</v>
      </c>
      <c r="P94" s="603">
        <v>423</v>
      </c>
      <c r="Q94" s="603">
        <v>1075</v>
      </c>
      <c r="R94" s="603">
        <v>9514</v>
      </c>
      <c r="S94" s="603">
        <v>4174</v>
      </c>
      <c r="T94" s="603">
        <v>13688</v>
      </c>
      <c r="U94" s="603">
        <v>77</v>
      </c>
      <c r="V94" s="603">
        <v>69</v>
      </c>
      <c r="W94" s="603">
        <v>146</v>
      </c>
    </row>
    <row r="95" spans="1:23" ht="14.5" x14ac:dyDescent="0.35">
      <c r="A95" s="655">
        <v>15</v>
      </c>
      <c r="B95" s="649" t="s">
        <v>26</v>
      </c>
      <c r="C95" s="650"/>
      <c r="D95" s="650"/>
      <c r="E95" s="650"/>
      <c r="F95" s="650"/>
      <c r="G95" s="650"/>
      <c r="H95" s="650"/>
      <c r="I95" s="650"/>
      <c r="J95" s="650"/>
      <c r="K95" s="650"/>
      <c r="L95" s="650"/>
      <c r="M95" s="650"/>
      <c r="N95" s="650"/>
      <c r="O95" s="650"/>
      <c r="P95" s="650"/>
      <c r="Q95" s="650"/>
      <c r="R95" s="650"/>
      <c r="S95" s="650"/>
      <c r="T95" s="650"/>
      <c r="U95" s="650"/>
      <c r="V95" s="650"/>
      <c r="W95" s="651"/>
    </row>
    <row r="96" spans="1:23" x14ac:dyDescent="0.35">
      <c r="A96" s="655"/>
      <c r="B96" s="529" t="s">
        <v>960</v>
      </c>
      <c r="C96" s="616">
        <v>12937</v>
      </c>
      <c r="D96" s="616">
        <v>6115</v>
      </c>
      <c r="E96" s="616">
        <v>19052</v>
      </c>
      <c r="F96" s="616">
        <v>9887</v>
      </c>
      <c r="G96" s="616">
        <v>7058</v>
      </c>
      <c r="H96" s="616">
        <v>16945</v>
      </c>
      <c r="I96" s="616">
        <v>43482</v>
      </c>
      <c r="J96" s="616">
        <v>46935</v>
      </c>
      <c r="K96" s="616">
        <v>90417</v>
      </c>
      <c r="L96" s="616">
        <v>6176</v>
      </c>
      <c r="M96" s="616">
        <v>11227</v>
      </c>
      <c r="N96" s="616">
        <v>17403</v>
      </c>
      <c r="O96" s="616">
        <v>5914</v>
      </c>
      <c r="P96" s="616">
        <v>5418</v>
      </c>
      <c r="Q96" s="616">
        <v>11332</v>
      </c>
      <c r="R96" s="616">
        <v>78938</v>
      </c>
      <c r="S96" s="616">
        <v>77224</v>
      </c>
      <c r="T96" s="616">
        <v>156162</v>
      </c>
      <c r="U96" s="616">
        <v>542</v>
      </c>
      <c r="V96" s="616">
        <v>471</v>
      </c>
      <c r="W96" s="616">
        <v>1013</v>
      </c>
    </row>
    <row r="97" spans="1:23" x14ac:dyDescent="0.35">
      <c r="A97" s="655"/>
      <c r="B97" s="530" t="s">
        <v>959</v>
      </c>
      <c r="C97" s="601">
        <v>12356</v>
      </c>
      <c r="D97" s="601">
        <v>5596</v>
      </c>
      <c r="E97" s="601">
        <v>17952</v>
      </c>
      <c r="F97" s="601">
        <v>9526</v>
      </c>
      <c r="G97" s="601">
        <v>6602</v>
      </c>
      <c r="H97" s="601">
        <v>16128</v>
      </c>
      <c r="I97" s="601">
        <v>43836</v>
      </c>
      <c r="J97" s="601">
        <v>44775</v>
      </c>
      <c r="K97" s="601">
        <v>88611</v>
      </c>
      <c r="L97" s="601">
        <v>5494</v>
      </c>
      <c r="M97" s="601">
        <v>10544</v>
      </c>
      <c r="N97" s="601">
        <v>16038</v>
      </c>
      <c r="O97" s="601">
        <v>6028</v>
      </c>
      <c r="P97" s="601">
        <v>5503</v>
      </c>
      <c r="Q97" s="601">
        <v>11531</v>
      </c>
      <c r="R97" s="601">
        <v>77894</v>
      </c>
      <c r="S97" s="601">
        <v>73610</v>
      </c>
      <c r="T97" s="601">
        <v>151504</v>
      </c>
      <c r="U97" s="601">
        <v>654</v>
      </c>
      <c r="V97" s="601">
        <v>590</v>
      </c>
      <c r="W97" s="601">
        <v>1244</v>
      </c>
    </row>
    <row r="98" spans="1:23" x14ac:dyDescent="0.35">
      <c r="A98" s="655"/>
      <c r="B98" s="530" t="s">
        <v>958</v>
      </c>
      <c r="C98" s="601">
        <v>12372</v>
      </c>
      <c r="D98" s="601">
        <v>5264</v>
      </c>
      <c r="E98" s="601">
        <v>17636</v>
      </c>
      <c r="F98" s="601">
        <v>9702</v>
      </c>
      <c r="G98" s="601">
        <v>6456</v>
      </c>
      <c r="H98" s="601">
        <v>16158</v>
      </c>
      <c r="I98" s="601">
        <v>45288</v>
      </c>
      <c r="J98" s="601">
        <v>43741</v>
      </c>
      <c r="K98" s="601">
        <v>89029</v>
      </c>
      <c r="L98" s="601">
        <v>5301</v>
      </c>
      <c r="M98" s="601">
        <v>9911</v>
      </c>
      <c r="N98" s="601">
        <v>15212</v>
      </c>
      <c r="O98" s="601">
        <v>5773</v>
      </c>
      <c r="P98" s="601">
        <v>5576</v>
      </c>
      <c r="Q98" s="601">
        <v>11349</v>
      </c>
      <c r="R98" s="601">
        <v>78436</v>
      </c>
      <c r="S98" s="601">
        <v>70948</v>
      </c>
      <c r="T98" s="601">
        <v>149384</v>
      </c>
      <c r="U98" s="601">
        <v>791</v>
      </c>
      <c r="V98" s="601">
        <v>710</v>
      </c>
      <c r="W98" s="601">
        <v>1501</v>
      </c>
    </row>
    <row r="99" spans="1:23" x14ac:dyDescent="0.35">
      <c r="A99" s="655"/>
      <c r="B99" s="530" t="s">
        <v>957</v>
      </c>
      <c r="C99" s="603">
        <v>12912</v>
      </c>
      <c r="D99" s="603">
        <v>5238</v>
      </c>
      <c r="E99" s="603">
        <v>18150</v>
      </c>
      <c r="F99" s="603">
        <v>10306</v>
      </c>
      <c r="G99" s="603">
        <v>6707</v>
      </c>
      <c r="H99" s="603">
        <v>17013</v>
      </c>
      <c r="I99" s="603">
        <v>46297</v>
      </c>
      <c r="J99" s="603">
        <v>42719</v>
      </c>
      <c r="K99" s="603">
        <v>89016</v>
      </c>
      <c r="L99" s="603">
        <v>4734</v>
      </c>
      <c r="M99" s="603">
        <v>9302</v>
      </c>
      <c r="N99" s="603">
        <v>14036</v>
      </c>
      <c r="O99" s="603">
        <v>5873</v>
      </c>
      <c r="P99" s="603">
        <v>5821</v>
      </c>
      <c r="Q99" s="603">
        <v>11694</v>
      </c>
      <c r="R99" s="603">
        <v>81100</v>
      </c>
      <c r="S99" s="603">
        <v>70693</v>
      </c>
      <c r="T99" s="603">
        <v>151793</v>
      </c>
      <c r="U99" s="603">
        <v>978</v>
      </c>
      <c r="V99" s="603">
        <v>906</v>
      </c>
      <c r="W99" s="603">
        <v>1884</v>
      </c>
    </row>
    <row r="100" spans="1:23" x14ac:dyDescent="0.35">
      <c r="A100" s="655"/>
      <c r="B100" s="530" t="s">
        <v>956</v>
      </c>
      <c r="C100" s="603">
        <v>12578</v>
      </c>
      <c r="D100" s="603">
        <v>4748</v>
      </c>
      <c r="E100" s="603">
        <v>17326</v>
      </c>
      <c r="F100" s="603">
        <v>10584</v>
      </c>
      <c r="G100" s="603">
        <v>6523</v>
      </c>
      <c r="H100" s="603">
        <v>17107</v>
      </c>
      <c r="I100" s="603">
        <v>45593</v>
      </c>
      <c r="J100" s="603">
        <v>40559</v>
      </c>
      <c r="K100" s="603">
        <v>86152</v>
      </c>
      <c r="L100" s="603">
        <v>4456</v>
      </c>
      <c r="M100" s="603">
        <v>8445</v>
      </c>
      <c r="N100" s="603">
        <v>12901</v>
      </c>
      <c r="O100" s="603">
        <v>6443</v>
      </c>
      <c r="P100" s="603">
        <v>6388</v>
      </c>
      <c r="Q100" s="603">
        <v>12831</v>
      </c>
      <c r="R100" s="603">
        <v>80677</v>
      </c>
      <c r="S100" s="603">
        <v>67691</v>
      </c>
      <c r="T100" s="603">
        <v>148368</v>
      </c>
      <c r="U100" s="603">
        <v>1023</v>
      </c>
      <c r="V100" s="603">
        <v>1028</v>
      </c>
      <c r="W100" s="603">
        <v>2051</v>
      </c>
    </row>
    <row r="101" spans="1:23" ht="14.5" x14ac:dyDescent="0.35">
      <c r="A101" s="655">
        <v>16</v>
      </c>
      <c r="B101" s="649" t="s">
        <v>27</v>
      </c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1"/>
    </row>
    <row r="102" spans="1:23" x14ac:dyDescent="0.35">
      <c r="A102" s="655"/>
      <c r="B102" s="529" t="s">
        <v>960</v>
      </c>
      <c r="C102" s="616">
        <v>3386</v>
      </c>
      <c r="D102" s="616">
        <v>2519</v>
      </c>
      <c r="E102" s="616">
        <v>5905</v>
      </c>
      <c r="F102" s="616">
        <v>2914</v>
      </c>
      <c r="G102" s="616">
        <v>3137</v>
      </c>
      <c r="H102" s="616">
        <v>6051</v>
      </c>
      <c r="I102" s="616">
        <v>15643</v>
      </c>
      <c r="J102" s="616">
        <v>32429</v>
      </c>
      <c r="K102" s="616">
        <v>48072</v>
      </c>
      <c r="L102" s="616">
        <v>976</v>
      </c>
      <c r="M102" s="616">
        <v>2493</v>
      </c>
      <c r="N102" s="616">
        <v>3469</v>
      </c>
      <c r="O102" s="616">
        <v>1070</v>
      </c>
      <c r="P102" s="616">
        <v>3065</v>
      </c>
      <c r="Q102" s="616">
        <v>4135</v>
      </c>
      <c r="R102" s="616">
        <v>24047</v>
      </c>
      <c r="S102" s="616">
        <v>43676</v>
      </c>
      <c r="T102" s="616">
        <v>67723</v>
      </c>
      <c r="U102" s="616">
        <v>58</v>
      </c>
      <c r="V102" s="616">
        <v>33</v>
      </c>
      <c r="W102" s="616">
        <v>91</v>
      </c>
    </row>
    <row r="103" spans="1:23" x14ac:dyDescent="0.35">
      <c r="A103" s="655"/>
      <c r="B103" s="530" t="s">
        <v>959</v>
      </c>
      <c r="C103" s="601">
        <v>3313</v>
      </c>
      <c r="D103" s="601">
        <v>2290</v>
      </c>
      <c r="E103" s="601">
        <v>5603</v>
      </c>
      <c r="F103" s="601">
        <v>2920</v>
      </c>
      <c r="G103" s="601">
        <v>3035</v>
      </c>
      <c r="H103" s="601">
        <v>5955</v>
      </c>
      <c r="I103" s="601">
        <v>15636</v>
      </c>
      <c r="J103" s="601">
        <v>30975</v>
      </c>
      <c r="K103" s="601">
        <v>46611</v>
      </c>
      <c r="L103" s="601">
        <v>994</v>
      </c>
      <c r="M103" s="601">
        <v>2453</v>
      </c>
      <c r="N103" s="601">
        <v>3447</v>
      </c>
      <c r="O103" s="601">
        <v>1136</v>
      </c>
      <c r="P103" s="601">
        <v>3421</v>
      </c>
      <c r="Q103" s="601">
        <v>4557</v>
      </c>
      <c r="R103" s="601">
        <v>24055</v>
      </c>
      <c r="S103" s="601">
        <v>42208</v>
      </c>
      <c r="T103" s="601">
        <v>66263</v>
      </c>
      <c r="U103" s="601">
        <v>56</v>
      </c>
      <c r="V103" s="601">
        <v>34</v>
      </c>
      <c r="W103" s="601">
        <v>90</v>
      </c>
    </row>
    <row r="104" spans="1:23" x14ac:dyDescent="0.35">
      <c r="A104" s="655"/>
      <c r="B104" s="530" t="s">
        <v>958</v>
      </c>
      <c r="C104" s="601">
        <v>3151</v>
      </c>
      <c r="D104" s="601">
        <v>2058</v>
      </c>
      <c r="E104" s="601">
        <v>5209</v>
      </c>
      <c r="F104" s="601">
        <v>2841</v>
      </c>
      <c r="G104" s="601">
        <v>2820</v>
      </c>
      <c r="H104" s="601">
        <v>5661</v>
      </c>
      <c r="I104" s="601">
        <v>15536</v>
      </c>
      <c r="J104" s="601">
        <v>29264</v>
      </c>
      <c r="K104" s="601">
        <v>44800</v>
      </c>
      <c r="L104" s="601">
        <v>903</v>
      </c>
      <c r="M104" s="601">
        <v>2231</v>
      </c>
      <c r="N104" s="601">
        <v>3134</v>
      </c>
      <c r="O104" s="601">
        <v>1041</v>
      </c>
      <c r="P104" s="601">
        <v>2915</v>
      </c>
      <c r="Q104" s="601">
        <v>3956</v>
      </c>
      <c r="R104" s="601">
        <v>23472</v>
      </c>
      <c r="S104" s="601">
        <v>39288</v>
      </c>
      <c r="T104" s="601">
        <v>62760</v>
      </c>
      <c r="U104" s="601">
        <v>44</v>
      </c>
      <c r="V104" s="601">
        <v>51</v>
      </c>
      <c r="W104" s="601">
        <v>95</v>
      </c>
    </row>
    <row r="105" spans="1:23" x14ac:dyDescent="0.35">
      <c r="A105" s="655"/>
      <c r="B105" s="530" t="s">
        <v>957</v>
      </c>
      <c r="C105" s="603">
        <v>3112</v>
      </c>
      <c r="D105" s="603">
        <v>1991</v>
      </c>
      <c r="E105" s="603">
        <v>5103</v>
      </c>
      <c r="F105" s="603">
        <v>2827</v>
      </c>
      <c r="G105" s="603">
        <v>2768</v>
      </c>
      <c r="H105" s="603">
        <v>5595</v>
      </c>
      <c r="I105" s="603">
        <v>15113</v>
      </c>
      <c r="J105" s="603">
        <v>27849</v>
      </c>
      <c r="K105" s="603">
        <v>42962</v>
      </c>
      <c r="L105" s="603">
        <v>932</v>
      </c>
      <c r="M105" s="603">
        <v>2253</v>
      </c>
      <c r="N105" s="603">
        <v>3185</v>
      </c>
      <c r="O105" s="603">
        <v>1118</v>
      </c>
      <c r="P105" s="603">
        <v>3022</v>
      </c>
      <c r="Q105" s="603">
        <v>4140</v>
      </c>
      <c r="R105" s="603">
        <v>23150</v>
      </c>
      <c r="S105" s="603">
        <v>37930</v>
      </c>
      <c r="T105" s="603">
        <v>61080</v>
      </c>
      <c r="U105" s="603">
        <v>48</v>
      </c>
      <c r="V105" s="603">
        <v>47</v>
      </c>
      <c r="W105" s="603">
        <v>95</v>
      </c>
    </row>
    <row r="106" spans="1:23" x14ac:dyDescent="0.35">
      <c r="A106" s="655"/>
      <c r="B106" s="530" t="s">
        <v>956</v>
      </c>
      <c r="C106" s="603">
        <v>3193</v>
      </c>
      <c r="D106" s="603">
        <v>1976</v>
      </c>
      <c r="E106" s="603">
        <v>5169</v>
      </c>
      <c r="F106" s="603">
        <v>2939</v>
      </c>
      <c r="G106" s="603">
        <v>2788</v>
      </c>
      <c r="H106" s="603">
        <v>5727</v>
      </c>
      <c r="I106" s="603">
        <v>15166</v>
      </c>
      <c r="J106" s="603">
        <v>26837</v>
      </c>
      <c r="K106" s="603">
        <v>42003</v>
      </c>
      <c r="L106" s="603">
        <v>997</v>
      </c>
      <c r="M106" s="603">
        <v>2310</v>
      </c>
      <c r="N106" s="603">
        <v>3307</v>
      </c>
      <c r="O106" s="603">
        <v>1361</v>
      </c>
      <c r="P106" s="603">
        <v>3882</v>
      </c>
      <c r="Q106" s="603">
        <v>5243</v>
      </c>
      <c r="R106" s="603">
        <v>23712</v>
      </c>
      <c r="S106" s="603">
        <v>37846</v>
      </c>
      <c r="T106" s="603">
        <v>61558</v>
      </c>
      <c r="U106" s="603">
        <v>56</v>
      </c>
      <c r="V106" s="603">
        <v>53</v>
      </c>
      <c r="W106" s="603">
        <v>109</v>
      </c>
    </row>
    <row r="107" spans="1:23" ht="14.5" x14ac:dyDescent="0.35">
      <c r="A107" s="655">
        <v>17</v>
      </c>
      <c r="B107" s="649" t="s">
        <v>28</v>
      </c>
      <c r="C107" s="650"/>
      <c r="D107" s="650"/>
      <c r="E107" s="650"/>
      <c r="F107" s="650"/>
      <c r="G107" s="650"/>
      <c r="H107" s="650"/>
      <c r="I107" s="650"/>
      <c r="J107" s="650"/>
      <c r="K107" s="650"/>
      <c r="L107" s="650"/>
      <c r="M107" s="650"/>
      <c r="N107" s="650"/>
      <c r="O107" s="650"/>
      <c r="P107" s="650"/>
      <c r="Q107" s="650"/>
      <c r="R107" s="650"/>
      <c r="S107" s="650"/>
      <c r="T107" s="650"/>
      <c r="U107" s="650"/>
      <c r="V107" s="650"/>
      <c r="W107" s="651"/>
    </row>
    <row r="108" spans="1:23" x14ac:dyDescent="0.35">
      <c r="A108" s="655"/>
      <c r="B108" s="529" t="s">
        <v>960</v>
      </c>
      <c r="C108" s="616">
        <v>9</v>
      </c>
      <c r="D108" s="616">
        <v>8</v>
      </c>
      <c r="E108" s="616">
        <v>17</v>
      </c>
      <c r="F108" s="616">
        <v>4</v>
      </c>
      <c r="G108" s="616"/>
      <c r="H108" s="616">
        <v>4</v>
      </c>
      <c r="I108" s="616">
        <v>144</v>
      </c>
      <c r="J108" s="616">
        <v>93</v>
      </c>
      <c r="K108" s="616">
        <v>237</v>
      </c>
      <c r="L108" s="616">
        <v>10</v>
      </c>
      <c r="M108" s="616">
        <v>9</v>
      </c>
      <c r="N108" s="616">
        <v>19</v>
      </c>
      <c r="O108" s="616">
        <v>46</v>
      </c>
      <c r="P108" s="616">
        <v>29</v>
      </c>
      <c r="Q108" s="616">
        <v>75</v>
      </c>
      <c r="R108" s="616">
        <v>213</v>
      </c>
      <c r="S108" s="616">
        <v>139</v>
      </c>
      <c r="T108" s="616">
        <v>352</v>
      </c>
      <c r="U108" s="616"/>
      <c r="V108" s="616"/>
      <c r="W108" s="616"/>
    </row>
    <row r="109" spans="1:23" x14ac:dyDescent="0.35">
      <c r="A109" s="655"/>
      <c r="B109" s="530" t="s">
        <v>959</v>
      </c>
      <c r="C109" s="601">
        <v>9</v>
      </c>
      <c r="D109" s="601">
        <v>6</v>
      </c>
      <c r="E109" s="601">
        <v>15</v>
      </c>
      <c r="F109" s="601">
        <v>3</v>
      </c>
      <c r="G109" s="601"/>
      <c r="H109" s="601">
        <v>3</v>
      </c>
      <c r="I109" s="601">
        <v>134</v>
      </c>
      <c r="J109" s="601">
        <v>77</v>
      </c>
      <c r="K109" s="601">
        <v>211</v>
      </c>
      <c r="L109" s="601">
        <v>8</v>
      </c>
      <c r="M109" s="601">
        <v>3</v>
      </c>
      <c r="N109" s="601">
        <v>11</v>
      </c>
      <c r="O109" s="601">
        <v>48</v>
      </c>
      <c r="P109" s="601">
        <v>25</v>
      </c>
      <c r="Q109" s="601">
        <v>73</v>
      </c>
      <c r="R109" s="601">
        <v>202</v>
      </c>
      <c r="S109" s="601">
        <v>111</v>
      </c>
      <c r="T109" s="601">
        <v>313</v>
      </c>
      <c r="U109" s="601"/>
      <c r="V109" s="601"/>
      <c r="W109" s="601"/>
    </row>
    <row r="110" spans="1:23" x14ac:dyDescent="0.35">
      <c r="A110" s="655"/>
      <c r="B110" s="530" t="s">
        <v>958</v>
      </c>
      <c r="C110" s="601">
        <v>9</v>
      </c>
      <c r="D110" s="601">
        <v>4</v>
      </c>
      <c r="E110" s="601">
        <v>13</v>
      </c>
      <c r="F110" s="601">
        <v>3</v>
      </c>
      <c r="G110" s="601"/>
      <c r="H110" s="601">
        <v>3</v>
      </c>
      <c r="I110" s="601">
        <v>119</v>
      </c>
      <c r="J110" s="601">
        <v>77</v>
      </c>
      <c r="K110" s="601">
        <v>196</v>
      </c>
      <c r="L110" s="601">
        <v>9</v>
      </c>
      <c r="M110" s="601">
        <v>3</v>
      </c>
      <c r="N110" s="601">
        <v>12</v>
      </c>
      <c r="O110" s="601">
        <v>19</v>
      </c>
      <c r="P110" s="601">
        <v>31</v>
      </c>
      <c r="Q110" s="601">
        <v>50</v>
      </c>
      <c r="R110" s="601">
        <v>159</v>
      </c>
      <c r="S110" s="601">
        <v>115</v>
      </c>
      <c r="T110" s="601">
        <v>274</v>
      </c>
      <c r="U110" s="601"/>
      <c r="V110" s="601"/>
      <c r="W110" s="601"/>
    </row>
    <row r="111" spans="1:23" x14ac:dyDescent="0.35">
      <c r="A111" s="655"/>
      <c r="B111" s="530" t="s">
        <v>957</v>
      </c>
      <c r="C111" s="603">
        <v>3</v>
      </c>
      <c r="D111" s="603">
        <v>2</v>
      </c>
      <c r="E111" s="603">
        <v>5</v>
      </c>
      <c r="F111" s="603">
        <v>4</v>
      </c>
      <c r="G111" s="603">
        <v>0</v>
      </c>
      <c r="H111" s="603">
        <v>4</v>
      </c>
      <c r="I111" s="603">
        <v>73</v>
      </c>
      <c r="J111" s="603">
        <v>41</v>
      </c>
      <c r="K111" s="603">
        <v>114</v>
      </c>
      <c r="L111" s="603">
        <v>5</v>
      </c>
      <c r="M111" s="603">
        <v>0</v>
      </c>
      <c r="N111" s="603">
        <v>5</v>
      </c>
      <c r="O111" s="603">
        <v>19</v>
      </c>
      <c r="P111" s="603">
        <v>18</v>
      </c>
      <c r="Q111" s="603">
        <v>37</v>
      </c>
      <c r="R111" s="603">
        <v>104</v>
      </c>
      <c r="S111" s="603">
        <v>61</v>
      </c>
      <c r="T111" s="603">
        <v>165</v>
      </c>
      <c r="U111" s="603">
        <v>0</v>
      </c>
      <c r="V111" s="603">
        <v>0</v>
      </c>
      <c r="W111" s="603">
        <v>0</v>
      </c>
    </row>
    <row r="112" spans="1:23" x14ac:dyDescent="0.35">
      <c r="A112" s="655"/>
      <c r="B112" s="530" t="s">
        <v>956</v>
      </c>
      <c r="C112" s="603">
        <v>6</v>
      </c>
      <c r="D112" s="603">
        <v>3</v>
      </c>
      <c r="E112" s="603">
        <v>9</v>
      </c>
      <c r="F112" s="603">
        <v>5</v>
      </c>
      <c r="G112" s="603">
        <v>1</v>
      </c>
      <c r="H112" s="603">
        <v>6</v>
      </c>
      <c r="I112" s="603">
        <v>86</v>
      </c>
      <c r="J112" s="603">
        <v>47</v>
      </c>
      <c r="K112" s="603">
        <v>133</v>
      </c>
      <c r="L112" s="603">
        <v>5</v>
      </c>
      <c r="M112" s="603">
        <v>0</v>
      </c>
      <c r="N112" s="603">
        <v>5</v>
      </c>
      <c r="O112" s="603">
        <v>33</v>
      </c>
      <c r="P112" s="603">
        <v>13</v>
      </c>
      <c r="Q112" s="603">
        <v>46</v>
      </c>
      <c r="R112" s="603">
        <v>135</v>
      </c>
      <c r="S112" s="603">
        <v>64</v>
      </c>
      <c r="T112" s="603">
        <v>199</v>
      </c>
      <c r="U112" s="603">
        <v>0</v>
      </c>
      <c r="V112" s="603">
        <v>0</v>
      </c>
      <c r="W112" s="603">
        <v>0</v>
      </c>
    </row>
    <row r="113" spans="1:23" ht="14.5" x14ac:dyDescent="0.35">
      <c r="A113" s="655">
        <v>18</v>
      </c>
      <c r="B113" s="649" t="s">
        <v>82</v>
      </c>
      <c r="C113" s="650"/>
      <c r="D113" s="650"/>
      <c r="E113" s="650"/>
      <c r="F113" s="650"/>
      <c r="G113" s="650"/>
      <c r="H113" s="650"/>
      <c r="I113" s="650"/>
      <c r="J113" s="650"/>
      <c r="K113" s="650"/>
      <c r="L113" s="650"/>
      <c r="M113" s="650"/>
      <c r="N113" s="650"/>
      <c r="O113" s="650"/>
      <c r="P113" s="650"/>
      <c r="Q113" s="650"/>
      <c r="R113" s="650"/>
      <c r="S113" s="650"/>
      <c r="T113" s="650"/>
      <c r="U113" s="650"/>
      <c r="V113" s="650"/>
      <c r="W113" s="651"/>
    </row>
    <row r="114" spans="1:23" x14ac:dyDescent="0.35">
      <c r="A114" s="655"/>
      <c r="B114" s="529" t="s">
        <v>960</v>
      </c>
      <c r="C114" s="616">
        <v>2</v>
      </c>
      <c r="D114" s="616">
        <v>4</v>
      </c>
      <c r="E114" s="616">
        <v>6</v>
      </c>
      <c r="F114" s="616"/>
      <c r="G114" s="616">
        <v>1</v>
      </c>
      <c r="H114" s="616">
        <v>1</v>
      </c>
      <c r="I114" s="616">
        <v>32</v>
      </c>
      <c r="J114" s="616">
        <v>24</v>
      </c>
      <c r="K114" s="616">
        <v>56</v>
      </c>
      <c r="L114" s="616"/>
      <c r="M114" s="616">
        <v>3</v>
      </c>
      <c r="N114" s="616">
        <v>3</v>
      </c>
      <c r="O114" s="616"/>
      <c r="P114" s="616">
        <v>1</v>
      </c>
      <c r="Q114" s="616">
        <v>1</v>
      </c>
      <c r="R114" s="616">
        <v>34</v>
      </c>
      <c r="S114" s="616">
        <v>33</v>
      </c>
      <c r="T114" s="616">
        <v>67</v>
      </c>
      <c r="U114" s="616"/>
      <c r="V114" s="616"/>
      <c r="W114" s="616"/>
    </row>
    <row r="115" spans="1:23" x14ac:dyDescent="0.35">
      <c r="A115" s="655"/>
      <c r="B115" s="530" t="s">
        <v>959</v>
      </c>
      <c r="C115" s="601">
        <v>2</v>
      </c>
      <c r="D115" s="601">
        <v>2</v>
      </c>
      <c r="E115" s="601">
        <v>4</v>
      </c>
      <c r="F115" s="601"/>
      <c r="G115" s="601"/>
      <c r="H115" s="601"/>
      <c r="I115" s="601">
        <v>32</v>
      </c>
      <c r="J115" s="601">
        <v>22</v>
      </c>
      <c r="K115" s="601">
        <v>54</v>
      </c>
      <c r="L115" s="601"/>
      <c r="M115" s="601"/>
      <c r="N115" s="601"/>
      <c r="O115" s="601"/>
      <c r="P115" s="601">
        <v>1</v>
      </c>
      <c r="Q115" s="601">
        <v>1</v>
      </c>
      <c r="R115" s="601">
        <v>34</v>
      </c>
      <c r="S115" s="601">
        <v>25</v>
      </c>
      <c r="T115" s="601">
        <v>59</v>
      </c>
      <c r="U115" s="601"/>
      <c r="V115" s="601"/>
      <c r="W115" s="601"/>
    </row>
    <row r="116" spans="1:23" x14ac:dyDescent="0.35">
      <c r="A116" s="655"/>
      <c r="B116" s="530" t="s">
        <v>958</v>
      </c>
      <c r="C116" s="601"/>
      <c r="D116" s="601">
        <v>1</v>
      </c>
      <c r="E116" s="601">
        <v>1</v>
      </c>
      <c r="F116" s="601"/>
      <c r="G116" s="601"/>
      <c r="H116" s="601"/>
      <c r="I116" s="601">
        <v>5</v>
      </c>
      <c r="J116" s="601">
        <v>4</v>
      </c>
      <c r="K116" s="601">
        <v>9</v>
      </c>
      <c r="L116" s="601"/>
      <c r="M116" s="601"/>
      <c r="N116" s="601"/>
      <c r="O116" s="601"/>
      <c r="P116" s="601"/>
      <c r="Q116" s="601"/>
      <c r="R116" s="601">
        <v>5</v>
      </c>
      <c r="S116" s="601">
        <v>5</v>
      </c>
      <c r="T116" s="601">
        <v>10</v>
      </c>
      <c r="U116" s="601"/>
      <c r="V116" s="601"/>
      <c r="W116" s="601"/>
    </row>
    <row r="117" spans="1:23" x14ac:dyDescent="0.35">
      <c r="A117" s="655"/>
      <c r="B117" s="530" t="s">
        <v>957</v>
      </c>
      <c r="C117" s="603">
        <v>1</v>
      </c>
      <c r="D117" s="603">
        <v>1</v>
      </c>
      <c r="E117" s="603">
        <v>2</v>
      </c>
      <c r="F117" s="603">
        <v>0</v>
      </c>
      <c r="G117" s="603">
        <v>0</v>
      </c>
      <c r="H117" s="603">
        <v>0</v>
      </c>
      <c r="I117" s="603">
        <v>11</v>
      </c>
      <c r="J117" s="603">
        <v>12</v>
      </c>
      <c r="K117" s="603">
        <v>23</v>
      </c>
      <c r="L117" s="603">
        <v>0</v>
      </c>
      <c r="M117" s="603">
        <v>0</v>
      </c>
      <c r="N117" s="603">
        <v>0</v>
      </c>
      <c r="O117" s="603">
        <v>0</v>
      </c>
      <c r="P117" s="603">
        <v>0</v>
      </c>
      <c r="Q117" s="603">
        <v>0</v>
      </c>
      <c r="R117" s="603">
        <v>12</v>
      </c>
      <c r="S117" s="603">
        <v>13</v>
      </c>
      <c r="T117" s="603">
        <v>25</v>
      </c>
      <c r="U117" s="603">
        <v>0</v>
      </c>
      <c r="V117" s="603">
        <v>0</v>
      </c>
      <c r="W117" s="603">
        <v>0</v>
      </c>
    </row>
    <row r="118" spans="1:23" x14ac:dyDescent="0.35">
      <c r="A118" s="655"/>
      <c r="B118" s="530" t="s">
        <v>956</v>
      </c>
      <c r="C118" s="603">
        <v>2</v>
      </c>
      <c r="D118" s="603">
        <v>1</v>
      </c>
      <c r="E118" s="603">
        <v>3</v>
      </c>
      <c r="F118" s="603">
        <v>0</v>
      </c>
      <c r="G118" s="603">
        <v>0</v>
      </c>
      <c r="H118" s="603">
        <v>0</v>
      </c>
      <c r="I118" s="603">
        <v>23</v>
      </c>
      <c r="J118" s="603">
        <v>19</v>
      </c>
      <c r="K118" s="603">
        <v>42</v>
      </c>
      <c r="L118" s="603">
        <v>0</v>
      </c>
      <c r="M118" s="603">
        <v>0</v>
      </c>
      <c r="N118" s="603">
        <v>0</v>
      </c>
      <c r="O118" s="603">
        <v>0</v>
      </c>
      <c r="P118" s="603">
        <v>0</v>
      </c>
      <c r="Q118" s="603">
        <v>0</v>
      </c>
      <c r="R118" s="603">
        <v>25</v>
      </c>
      <c r="S118" s="603">
        <v>20</v>
      </c>
      <c r="T118" s="603">
        <v>45</v>
      </c>
      <c r="U118" s="603">
        <v>0</v>
      </c>
      <c r="V118" s="603">
        <v>0</v>
      </c>
      <c r="W118" s="603">
        <v>0</v>
      </c>
    </row>
    <row r="119" spans="1:23" ht="14.5" x14ac:dyDescent="0.35">
      <c r="A119" s="655">
        <v>19</v>
      </c>
      <c r="B119" s="649" t="s">
        <v>29</v>
      </c>
      <c r="C119" s="650"/>
      <c r="D119" s="650"/>
      <c r="E119" s="650"/>
      <c r="F119" s="650"/>
      <c r="G119" s="650"/>
      <c r="H119" s="650"/>
      <c r="I119" s="650"/>
      <c r="J119" s="650"/>
      <c r="K119" s="650"/>
      <c r="L119" s="650"/>
      <c r="M119" s="650"/>
      <c r="N119" s="650"/>
      <c r="O119" s="650"/>
      <c r="P119" s="650"/>
      <c r="Q119" s="650"/>
      <c r="R119" s="650"/>
      <c r="S119" s="650"/>
      <c r="T119" s="650"/>
      <c r="U119" s="650"/>
      <c r="V119" s="650"/>
      <c r="W119" s="651"/>
    </row>
    <row r="120" spans="1:23" x14ac:dyDescent="0.35">
      <c r="A120" s="655"/>
      <c r="B120" s="529" t="s">
        <v>960</v>
      </c>
      <c r="C120" s="616">
        <v>6164</v>
      </c>
      <c r="D120" s="616">
        <v>3311</v>
      </c>
      <c r="E120" s="616">
        <v>9475</v>
      </c>
      <c r="F120" s="616">
        <v>5106</v>
      </c>
      <c r="G120" s="616">
        <v>3152</v>
      </c>
      <c r="H120" s="616">
        <v>8258</v>
      </c>
      <c r="I120" s="616">
        <v>33234</v>
      </c>
      <c r="J120" s="616">
        <v>24329</v>
      </c>
      <c r="K120" s="616">
        <v>57563</v>
      </c>
      <c r="L120" s="616">
        <v>2534</v>
      </c>
      <c r="M120" s="616">
        <v>4626</v>
      </c>
      <c r="N120" s="616">
        <v>7160</v>
      </c>
      <c r="O120" s="616">
        <v>3668</v>
      </c>
      <c r="P120" s="616">
        <v>3204</v>
      </c>
      <c r="Q120" s="616">
        <v>6872</v>
      </c>
      <c r="R120" s="616">
        <v>50979</v>
      </c>
      <c r="S120" s="616">
        <v>38861</v>
      </c>
      <c r="T120" s="616">
        <v>89840</v>
      </c>
      <c r="U120" s="616">
        <v>273</v>
      </c>
      <c r="V120" s="616">
        <v>239</v>
      </c>
      <c r="W120" s="616">
        <v>512</v>
      </c>
    </row>
    <row r="121" spans="1:23" x14ac:dyDescent="0.35">
      <c r="A121" s="655"/>
      <c r="B121" s="530" t="s">
        <v>959</v>
      </c>
      <c r="C121" s="601">
        <v>5974</v>
      </c>
      <c r="D121" s="601">
        <v>3237</v>
      </c>
      <c r="E121" s="601">
        <v>9211</v>
      </c>
      <c r="F121" s="601">
        <v>4777</v>
      </c>
      <c r="G121" s="601">
        <v>2970</v>
      </c>
      <c r="H121" s="601">
        <v>7747</v>
      </c>
      <c r="I121" s="601">
        <v>31813</v>
      </c>
      <c r="J121" s="601">
        <v>22917</v>
      </c>
      <c r="K121" s="601">
        <v>54730</v>
      </c>
      <c r="L121" s="601">
        <v>2580</v>
      </c>
      <c r="M121" s="601">
        <v>4580</v>
      </c>
      <c r="N121" s="601">
        <v>7160</v>
      </c>
      <c r="O121" s="601">
        <v>3355</v>
      </c>
      <c r="P121" s="601">
        <v>2938</v>
      </c>
      <c r="Q121" s="601">
        <v>6293</v>
      </c>
      <c r="R121" s="601">
        <v>48798</v>
      </c>
      <c r="S121" s="601">
        <v>36866</v>
      </c>
      <c r="T121" s="601">
        <v>85664</v>
      </c>
      <c r="U121" s="601">
        <v>299</v>
      </c>
      <c r="V121" s="601">
        <v>224</v>
      </c>
      <c r="W121" s="601">
        <v>523</v>
      </c>
    </row>
    <row r="122" spans="1:23" x14ac:dyDescent="0.35">
      <c r="A122" s="655"/>
      <c r="B122" s="530" t="s">
        <v>958</v>
      </c>
      <c r="C122" s="601">
        <v>5781</v>
      </c>
      <c r="D122" s="601">
        <v>3136</v>
      </c>
      <c r="E122" s="601">
        <v>8917</v>
      </c>
      <c r="F122" s="601">
        <v>4546</v>
      </c>
      <c r="G122" s="601">
        <v>2792</v>
      </c>
      <c r="H122" s="601">
        <v>7338</v>
      </c>
      <c r="I122" s="601">
        <v>31473</v>
      </c>
      <c r="J122" s="601">
        <v>22239</v>
      </c>
      <c r="K122" s="601">
        <v>53712</v>
      </c>
      <c r="L122" s="601">
        <v>2385</v>
      </c>
      <c r="M122" s="601">
        <v>4171</v>
      </c>
      <c r="N122" s="601">
        <v>6556</v>
      </c>
      <c r="O122" s="601">
        <v>2831</v>
      </c>
      <c r="P122" s="601">
        <v>2575</v>
      </c>
      <c r="Q122" s="601">
        <v>5406</v>
      </c>
      <c r="R122" s="601">
        <v>47016</v>
      </c>
      <c r="S122" s="601">
        <v>34913</v>
      </c>
      <c r="T122" s="601">
        <v>81929</v>
      </c>
      <c r="U122" s="601">
        <v>303</v>
      </c>
      <c r="V122" s="601">
        <v>229</v>
      </c>
      <c r="W122" s="601">
        <v>532</v>
      </c>
    </row>
    <row r="123" spans="1:23" x14ac:dyDescent="0.35">
      <c r="A123" s="655"/>
      <c r="B123" s="530" t="s">
        <v>957</v>
      </c>
      <c r="C123" s="603">
        <v>5566</v>
      </c>
      <c r="D123" s="603">
        <v>3066</v>
      </c>
      <c r="E123" s="603">
        <v>8632</v>
      </c>
      <c r="F123" s="603">
        <v>4385</v>
      </c>
      <c r="G123" s="603">
        <v>2647</v>
      </c>
      <c r="H123" s="603">
        <v>7032</v>
      </c>
      <c r="I123" s="603">
        <v>30140</v>
      </c>
      <c r="J123" s="603">
        <v>20792</v>
      </c>
      <c r="K123" s="603">
        <v>50932</v>
      </c>
      <c r="L123" s="603">
        <v>1916</v>
      </c>
      <c r="M123" s="603">
        <v>3485</v>
      </c>
      <c r="N123" s="603">
        <v>5401</v>
      </c>
      <c r="O123" s="603">
        <v>2425</v>
      </c>
      <c r="P123" s="603">
        <v>2168</v>
      </c>
      <c r="Q123" s="603">
        <v>4593</v>
      </c>
      <c r="R123" s="603">
        <v>44736</v>
      </c>
      <c r="S123" s="603">
        <v>32386</v>
      </c>
      <c r="T123" s="603">
        <v>77122</v>
      </c>
      <c r="U123" s="603">
        <v>304</v>
      </c>
      <c r="V123" s="603">
        <v>228</v>
      </c>
      <c r="W123" s="603">
        <v>532</v>
      </c>
    </row>
    <row r="124" spans="1:23" x14ac:dyDescent="0.35">
      <c r="A124" s="655"/>
      <c r="B124" s="530" t="s">
        <v>956</v>
      </c>
      <c r="C124" s="603">
        <v>4775</v>
      </c>
      <c r="D124" s="603">
        <v>2549</v>
      </c>
      <c r="E124" s="603">
        <v>7324</v>
      </c>
      <c r="F124" s="603">
        <v>3985</v>
      </c>
      <c r="G124" s="603">
        <v>2311</v>
      </c>
      <c r="H124" s="603">
        <v>6296</v>
      </c>
      <c r="I124" s="603">
        <v>25048</v>
      </c>
      <c r="J124" s="603">
        <v>17483</v>
      </c>
      <c r="K124" s="603">
        <v>42531</v>
      </c>
      <c r="L124" s="603">
        <v>1426</v>
      </c>
      <c r="M124" s="603">
        <v>2260</v>
      </c>
      <c r="N124" s="603">
        <v>3686</v>
      </c>
      <c r="O124" s="603">
        <v>1947</v>
      </c>
      <c r="P124" s="603">
        <v>1818</v>
      </c>
      <c r="Q124" s="603">
        <v>3765</v>
      </c>
      <c r="R124" s="603">
        <v>37474</v>
      </c>
      <c r="S124" s="603">
        <v>26632</v>
      </c>
      <c r="T124" s="603">
        <v>64106</v>
      </c>
      <c r="U124" s="603">
        <v>293</v>
      </c>
      <c r="V124" s="603">
        <v>211</v>
      </c>
      <c r="W124" s="603">
        <v>504</v>
      </c>
    </row>
    <row r="125" spans="1:23" ht="14.5" x14ac:dyDescent="0.35">
      <c r="A125" s="655">
        <v>20</v>
      </c>
      <c r="B125" s="649" t="s">
        <v>30</v>
      </c>
      <c r="C125" s="650"/>
      <c r="D125" s="650"/>
      <c r="E125" s="650"/>
      <c r="F125" s="650"/>
      <c r="G125" s="650"/>
      <c r="H125" s="650"/>
      <c r="I125" s="650"/>
      <c r="J125" s="650"/>
      <c r="K125" s="650"/>
      <c r="L125" s="650"/>
      <c r="M125" s="650"/>
      <c r="N125" s="650"/>
      <c r="O125" s="650"/>
      <c r="P125" s="650"/>
      <c r="Q125" s="650"/>
      <c r="R125" s="650"/>
      <c r="S125" s="650"/>
      <c r="T125" s="650"/>
      <c r="U125" s="650"/>
      <c r="V125" s="650"/>
      <c r="W125" s="651"/>
    </row>
    <row r="126" spans="1:23" x14ac:dyDescent="0.35">
      <c r="A126" s="655"/>
      <c r="B126" s="529" t="s">
        <v>960</v>
      </c>
      <c r="C126" s="616">
        <v>12811</v>
      </c>
      <c r="D126" s="616">
        <v>5590</v>
      </c>
      <c r="E126" s="616">
        <v>18401</v>
      </c>
      <c r="F126" s="616">
        <v>12770</v>
      </c>
      <c r="G126" s="616">
        <v>6744</v>
      </c>
      <c r="H126" s="616">
        <v>19514</v>
      </c>
      <c r="I126" s="616">
        <v>64988</v>
      </c>
      <c r="J126" s="616">
        <v>58012</v>
      </c>
      <c r="K126" s="616">
        <v>123000</v>
      </c>
      <c r="L126" s="616">
        <v>3537</v>
      </c>
      <c r="M126" s="616">
        <v>6376</v>
      </c>
      <c r="N126" s="616">
        <v>9913</v>
      </c>
      <c r="O126" s="616">
        <v>5213</v>
      </c>
      <c r="P126" s="616">
        <v>5913</v>
      </c>
      <c r="Q126" s="616">
        <v>11126</v>
      </c>
      <c r="R126" s="616">
        <v>101597</v>
      </c>
      <c r="S126" s="616">
        <v>84868</v>
      </c>
      <c r="T126" s="616">
        <v>186465</v>
      </c>
      <c r="U126" s="616">
        <v>2278</v>
      </c>
      <c r="V126" s="616">
        <v>2233</v>
      </c>
      <c r="W126" s="616">
        <v>4511</v>
      </c>
    </row>
    <row r="127" spans="1:23" x14ac:dyDescent="0.35">
      <c r="A127" s="655"/>
      <c r="B127" s="530" t="s">
        <v>959</v>
      </c>
      <c r="C127" s="603">
        <v>12156</v>
      </c>
      <c r="D127" s="603">
        <v>5070</v>
      </c>
      <c r="E127" s="603">
        <v>17226</v>
      </c>
      <c r="F127" s="603">
        <v>12566</v>
      </c>
      <c r="G127" s="603">
        <v>6540</v>
      </c>
      <c r="H127" s="603">
        <v>19106</v>
      </c>
      <c r="I127" s="603">
        <v>63451</v>
      </c>
      <c r="J127" s="603">
        <v>53875</v>
      </c>
      <c r="K127" s="603">
        <v>117326</v>
      </c>
      <c r="L127" s="603">
        <v>3043</v>
      </c>
      <c r="M127" s="603">
        <v>5634</v>
      </c>
      <c r="N127" s="603">
        <v>8677</v>
      </c>
      <c r="O127" s="603">
        <v>5658</v>
      </c>
      <c r="P127" s="603">
        <v>5911</v>
      </c>
      <c r="Q127" s="603">
        <v>11569</v>
      </c>
      <c r="R127" s="603">
        <v>99125</v>
      </c>
      <c r="S127" s="603">
        <v>79153</v>
      </c>
      <c r="T127" s="603">
        <v>178278</v>
      </c>
      <c r="U127" s="603">
        <v>2251</v>
      </c>
      <c r="V127" s="603">
        <v>2123</v>
      </c>
      <c r="W127" s="603">
        <v>4374</v>
      </c>
    </row>
    <row r="128" spans="1:23" x14ac:dyDescent="0.35">
      <c r="A128" s="655"/>
      <c r="B128" s="530" t="s">
        <v>958</v>
      </c>
      <c r="C128" s="601">
        <v>11443</v>
      </c>
      <c r="D128" s="601">
        <v>4745</v>
      </c>
      <c r="E128" s="601">
        <v>16188</v>
      </c>
      <c r="F128" s="601">
        <v>12023</v>
      </c>
      <c r="G128" s="601">
        <v>6242</v>
      </c>
      <c r="H128" s="601">
        <v>18265</v>
      </c>
      <c r="I128" s="601">
        <v>62690</v>
      </c>
      <c r="J128" s="601">
        <v>48957</v>
      </c>
      <c r="K128" s="601">
        <v>111647</v>
      </c>
      <c r="L128" s="601">
        <v>2790</v>
      </c>
      <c r="M128" s="601">
        <v>5200</v>
      </c>
      <c r="N128" s="601">
        <v>7990</v>
      </c>
      <c r="O128" s="601">
        <v>4949</v>
      </c>
      <c r="P128" s="601">
        <v>5055</v>
      </c>
      <c r="Q128" s="601">
        <v>10004</v>
      </c>
      <c r="R128" s="601">
        <v>93895</v>
      </c>
      <c r="S128" s="601">
        <v>70199</v>
      </c>
      <c r="T128" s="601">
        <v>164094</v>
      </c>
      <c r="U128" s="601">
        <v>1884</v>
      </c>
      <c r="V128" s="601">
        <v>1714</v>
      </c>
      <c r="W128" s="601">
        <v>3598</v>
      </c>
    </row>
    <row r="129" spans="1:23" x14ac:dyDescent="0.35">
      <c r="A129" s="655"/>
      <c r="B129" s="530" t="s">
        <v>957</v>
      </c>
      <c r="C129" s="603">
        <v>10921</v>
      </c>
      <c r="D129" s="603">
        <v>4421</v>
      </c>
      <c r="E129" s="603">
        <v>15342</v>
      </c>
      <c r="F129" s="603">
        <v>12082</v>
      </c>
      <c r="G129" s="603">
        <v>6131</v>
      </c>
      <c r="H129" s="603">
        <v>18213</v>
      </c>
      <c r="I129" s="603">
        <v>62559</v>
      </c>
      <c r="J129" s="603">
        <v>46741</v>
      </c>
      <c r="K129" s="603">
        <v>109300</v>
      </c>
      <c r="L129" s="603">
        <v>2356</v>
      </c>
      <c r="M129" s="603">
        <v>4596</v>
      </c>
      <c r="N129" s="603">
        <v>6952</v>
      </c>
      <c r="O129" s="603">
        <v>4615</v>
      </c>
      <c r="P129" s="603">
        <v>4821</v>
      </c>
      <c r="Q129" s="603">
        <v>9436</v>
      </c>
      <c r="R129" s="603">
        <v>94345</v>
      </c>
      <c r="S129" s="603">
        <v>68328</v>
      </c>
      <c r="T129" s="603">
        <v>162673</v>
      </c>
      <c r="U129" s="603">
        <v>1812</v>
      </c>
      <c r="V129" s="603">
        <v>1618</v>
      </c>
      <c r="W129" s="603">
        <v>3430</v>
      </c>
    </row>
    <row r="130" spans="1:23" x14ac:dyDescent="0.35">
      <c r="A130" s="655"/>
      <c r="B130" s="530" t="s">
        <v>956</v>
      </c>
      <c r="C130" s="603">
        <v>10412</v>
      </c>
      <c r="D130" s="603">
        <v>4103</v>
      </c>
      <c r="E130" s="603">
        <v>14515</v>
      </c>
      <c r="F130" s="603">
        <v>12789</v>
      </c>
      <c r="G130" s="603">
        <v>6465</v>
      </c>
      <c r="H130" s="603">
        <v>19254</v>
      </c>
      <c r="I130" s="603">
        <v>63431</v>
      </c>
      <c r="J130" s="603">
        <v>45524</v>
      </c>
      <c r="K130" s="603">
        <v>108955</v>
      </c>
      <c r="L130" s="603">
        <v>2273</v>
      </c>
      <c r="M130" s="603">
        <v>4536</v>
      </c>
      <c r="N130" s="603">
        <v>6809</v>
      </c>
      <c r="O130" s="603">
        <v>4749</v>
      </c>
      <c r="P130" s="603">
        <v>5565</v>
      </c>
      <c r="Q130" s="603">
        <v>10314</v>
      </c>
      <c r="R130" s="603">
        <v>95447</v>
      </c>
      <c r="S130" s="603">
        <v>67685</v>
      </c>
      <c r="T130" s="603">
        <v>163132</v>
      </c>
      <c r="U130" s="603">
        <v>1793</v>
      </c>
      <c r="V130" s="603">
        <v>1492</v>
      </c>
      <c r="W130" s="603">
        <v>3285</v>
      </c>
    </row>
    <row r="131" spans="1:23" ht="14.5" x14ac:dyDescent="0.35">
      <c r="A131" s="655">
        <v>21</v>
      </c>
      <c r="B131" s="649" t="s">
        <v>31</v>
      </c>
      <c r="C131" s="650"/>
      <c r="D131" s="650"/>
      <c r="E131" s="650"/>
      <c r="F131" s="650"/>
      <c r="G131" s="650"/>
      <c r="H131" s="650"/>
      <c r="I131" s="650"/>
      <c r="J131" s="650"/>
      <c r="K131" s="650"/>
      <c r="L131" s="650"/>
      <c r="M131" s="650"/>
      <c r="N131" s="650"/>
      <c r="O131" s="650"/>
      <c r="P131" s="650"/>
      <c r="Q131" s="650"/>
      <c r="R131" s="650"/>
      <c r="S131" s="650"/>
      <c r="T131" s="650"/>
      <c r="U131" s="650"/>
      <c r="V131" s="650"/>
      <c r="W131" s="651"/>
    </row>
    <row r="132" spans="1:23" x14ac:dyDescent="0.35">
      <c r="A132" s="655"/>
      <c r="B132" s="529" t="s">
        <v>960</v>
      </c>
      <c r="C132" s="616">
        <v>341</v>
      </c>
      <c r="D132" s="616">
        <v>168</v>
      </c>
      <c r="E132" s="616">
        <v>509</v>
      </c>
      <c r="F132" s="616">
        <v>427</v>
      </c>
      <c r="G132" s="616">
        <v>281</v>
      </c>
      <c r="H132" s="616">
        <v>708</v>
      </c>
      <c r="I132" s="616">
        <v>2332</v>
      </c>
      <c r="J132" s="616">
        <v>2635</v>
      </c>
      <c r="K132" s="616">
        <v>4967</v>
      </c>
      <c r="L132" s="616">
        <v>52</v>
      </c>
      <c r="M132" s="616">
        <v>275</v>
      </c>
      <c r="N132" s="616">
        <v>327</v>
      </c>
      <c r="O132" s="616">
        <v>140</v>
      </c>
      <c r="P132" s="616">
        <v>134</v>
      </c>
      <c r="Q132" s="616">
        <v>274</v>
      </c>
      <c r="R132" s="616">
        <v>3340</v>
      </c>
      <c r="S132" s="616">
        <v>3505</v>
      </c>
      <c r="T132" s="616">
        <v>6845</v>
      </c>
      <c r="U132" s="616">
        <v>48</v>
      </c>
      <c r="V132" s="616">
        <v>12</v>
      </c>
      <c r="W132" s="616">
        <v>60</v>
      </c>
    </row>
    <row r="133" spans="1:23" x14ac:dyDescent="0.35">
      <c r="A133" s="655"/>
      <c r="B133" s="530" t="s">
        <v>959</v>
      </c>
      <c r="C133" s="601">
        <v>351</v>
      </c>
      <c r="D133" s="601">
        <v>161</v>
      </c>
      <c r="E133" s="601">
        <v>512</v>
      </c>
      <c r="F133" s="601">
        <v>450</v>
      </c>
      <c r="G133" s="601">
        <v>296</v>
      </c>
      <c r="H133" s="601">
        <v>746</v>
      </c>
      <c r="I133" s="601">
        <v>2288</v>
      </c>
      <c r="J133" s="601">
        <v>2521</v>
      </c>
      <c r="K133" s="601">
        <v>4809</v>
      </c>
      <c r="L133" s="601">
        <v>54</v>
      </c>
      <c r="M133" s="601">
        <v>239</v>
      </c>
      <c r="N133" s="601">
        <v>293</v>
      </c>
      <c r="O133" s="601">
        <v>151</v>
      </c>
      <c r="P133" s="601">
        <v>109</v>
      </c>
      <c r="Q133" s="601">
        <v>260</v>
      </c>
      <c r="R133" s="601">
        <v>3339</v>
      </c>
      <c r="S133" s="601">
        <v>3336</v>
      </c>
      <c r="T133" s="601">
        <v>6675</v>
      </c>
      <c r="U133" s="601">
        <v>45</v>
      </c>
      <c r="V133" s="601">
        <v>10</v>
      </c>
      <c r="W133" s="601">
        <v>55</v>
      </c>
    </row>
    <row r="134" spans="1:23" x14ac:dyDescent="0.35">
      <c r="A134" s="655"/>
      <c r="B134" s="530" t="s">
        <v>958</v>
      </c>
      <c r="C134" s="601">
        <v>282</v>
      </c>
      <c r="D134" s="601">
        <v>111</v>
      </c>
      <c r="E134" s="601">
        <v>393</v>
      </c>
      <c r="F134" s="601">
        <v>420</v>
      </c>
      <c r="G134" s="601">
        <v>305</v>
      </c>
      <c r="H134" s="601">
        <v>725</v>
      </c>
      <c r="I134" s="601">
        <v>2180</v>
      </c>
      <c r="J134" s="601">
        <v>2434</v>
      </c>
      <c r="K134" s="601">
        <v>4614</v>
      </c>
      <c r="L134" s="601">
        <v>23</v>
      </c>
      <c r="M134" s="601">
        <v>200</v>
      </c>
      <c r="N134" s="601">
        <v>223</v>
      </c>
      <c r="O134" s="601">
        <v>151</v>
      </c>
      <c r="P134" s="601">
        <v>107</v>
      </c>
      <c r="Q134" s="601">
        <v>258</v>
      </c>
      <c r="R134" s="601">
        <v>3056</v>
      </c>
      <c r="S134" s="601">
        <v>3157</v>
      </c>
      <c r="T134" s="601">
        <v>6213</v>
      </c>
      <c r="U134" s="601">
        <v>47</v>
      </c>
      <c r="V134" s="601">
        <v>10</v>
      </c>
      <c r="W134" s="601">
        <v>57</v>
      </c>
    </row>
    <row r="135" spans="1:23" x14ac:dyDescent="0.35">
      <c r="A135" s="655"/>
      <c r="B135" s="530" t="s">
        <v>957</v>
      </c>
      <c r="C135" s="603">
        <v>290</v>
      </c>
      <c r="D135" s="603">
        <v>117</v>
      </c>
      <c r="E135" s="603">
        <v>407</v>
      </c>
      <c r="F135" s="603">
        <v>448</v>
      </c>
      <c r="G135" s="603">
        <v>322</v>
      </c>
      <c r="H135" s="603">
        <v>770</v>
      </c>
      <c r="I135" s="603">
        <v>2000</v>
      </c>
      <c r="J135" s="603">
        <v>2136</v>
      </c>
      <c r="K135" s="603">
        <v>4136</v>
      </c>
      <c r="L135" s="603">
        <v>23</v>
      </c>
      <c r="M135" s="603">
        <v>184</v>
      </c>
      <c r="N135" s="603">
        <v>207</v>
      </c>
      <c r="O135" s="603">
        <v>130</v>
      </c>
      <c r="P135" s="603">
        <v>102</v>
      </c>
      <c r="Q135" s="603">
        <v>232</v>
      </c>
      <c r="R135" s="603">
        <v>2946</v>
      </c>
      <c r="S135" s="603">
        <v>2873</v>
      </c>
      <c r="T135" s="603">
        <v>5819</v>
      </c>
      <c r="U135" s="603">
        <v>55</v>
      </c>
      <c r="V135" s="603">
        <v>12</v>
      </c>
      <c r="W135" s="603">
        <v>67</v>
      </c>
    </row>
    <row r="136" spans="1:23" x14ac:dyDescent="0.35">
      <c r="A136" s="655"/>
      <c r="B136" s="530" t="s">
        <v>956</v>
      </c>
      <c r="C136" s="603">
        <v>274</v>
      </c>
      <c r="D136" s="603">
        <v>107</v>
      </c>
      <c r="E136" s="603">
        <v>381</v>
      </c>
      <c r="F136" s="603">
        <v>521</v>
      </c>
      <c r="G136" s="603">
        <v>408</v>
      </c>
      <c r="H136" s="603">
        <v>929</v>
      </c>
      <c r="I136" s="603">
        <v>1796</v>
      </c>
      <c r="J136" s="603">
        <v>1874</v>
      </c>
      <c r="K136" s="603">
        <v>3670</v>
      </c>
      <c r="L136" s="603">
        <v>24</v>
      </c>
      <c r="M136" s="603">
        <v>174</v>
      </c>
      <c r="N136" s="603">
        <v>198</v>
      </c>
      <c r="O136" s="603">
        <v>128</v>
      </c>
      <c r="P136" s="603">
        <v>128</v>
      </c>
      <c r="Q136" s="603">
        <v>256</v>
      </c>
      <c r="R136" s="603">
        <v>2792</v>
      </c>
      <c r="S136" s="603">
        <v>2702</v>
      </c>
      <c r="T136" s="603">
        <v>5494</v>
      </c>
      <c r="U136" s="603">
        <v>49</v>
      </c>
      <c r="V136" s="603">
        <v>11</v>
      </c>
      <c r="W136" s="603">
        <v>60</v>
      </c>
    </row>
    <row r="137" spans="1:23" ht="14.5" x14ac:dyDescent="0.35">
      <c r="A137" s="655">
        <v>22</v>
      </c>
      <c r="B137" s="649" t="s">
        <v>32</v>
      </c>
      <c r="C137" s="650"/>
      <c r="D137" s="650"/>
      <c r="E137" s="650"/>
      <c r="F137" s="650"/>
      <c r="G137" s="650"/>
      <c r="H137" s="650"/>
      <c r="I137" s="650"/>
      <c r="J137" s="650"/>
      <c r="K137" s="650"/>
      <c r="L137" s="650"/>
      <c r="M137" s="650"/>
      <c r="N137" s="650"/>
      <c r="O137" s="650"/>
      <c r="P137" s="650"/>
      <c r="Q137" s="650"/>
      <c r="R137" s="650"/>
      <c r="S137" s="650"/>
      <c r="T137" s="650"/>
      <c r="U137" s="650"/>
      <c r="V137" s="650"/>
      <c r="W137" s="651"/>
    </row>
    <row r="138" spans="1:23" x14ac:dyDescent="0.35">
      <c r="A138" s="655"/>
      <c r="B138" s="529" t="s">
        <v>960</v>
      </c>
      <c r="C138" s="616">
        <v>209</v>
      </c>
      <c r="D138" s="616">
        <v>119</v>
      </c>
      <c r="E138" s="616">
        <v>328</v>
      </c>
      <c r="F138" s="616">
        <v>254</v>
      </c>
      <c r="G138" s="616">
        <v>224</v>
      </c>
      <c r="H138" s="616">
        <v>478</v>
      </c>
      <c r="I138" s="616">
        <v>1241</v>
      </c>
      <c r="J138" s="616">
        <v>1881</v>
      </c>
      <c r="K138" s="616">
        <v>3122</v>
      </c>
      <c r="L138" s="616">
        <v>38</v>
      </c>
      <c r="M138" s="616">
        <v>116</v>
      </c>
      <c r="N138" s="616">
        <v>154</v>
      </c>
      <c r="O138" s="616">
        <v>54</v>
      </c>
      <c r="P138" s="616">
        <v>76</v>
      </c>
      <c r="Q138" s="616">
        <v>130</v>
      </c>
      <c r="R138" s="616">
        <v>1796</v>
      </c>
      <c r="S138" s="616">
        <v>2417</v>
      </c>
      <c r="T138" s="616">
        <v>4213</v>
      </c>
      <c r="U138" s="616"/>
      <c r="V138" s="616">
        <v>1</v>
      </c>
      <c r="W138" s="616">
        <v>1</v>
      </c>
    </row>
    <row r="139" spans="1:23" x14ac:dyDescent="0.35">
      <c r="A139" s="655"/>
      <c r="B139" s="530" t="s">
        <v>959</v>
      </c>
      <c r="C139" s="601">
        <v>210</v>
      </c>
      <c r="D139" s="601">
        <v>113</v>
      </c>
      <c r="E139" s="601">
        <v>323</v>
      </c>
      <c r="F139" s="601">
        <v>232</v>
      </c>
      <c r="G139" s="601">
        <v>219</v>
      </c>
      <c r="H139" s="601">
        <v>451</v>
      </c>
      <c r="I139" s="601">
        <v>1182</v>
      </c>
      <c r="J139" s="601">
        <v>1826</v>
      </c>
      <c r="K139" s="601">
        <v>3008</v>
      </c>
      <c r="L139" s="601">
        <v>37</v>
      </c>
      <c r="M139" s="601">
        <v>115</v>
      </c>
      <c r="N139" s="601">
        <v>152</v>
      </c>
      <c r="O139" s="601">
        <v>55</v>
      </c>
      <c r="P139" s="601">
        <v>72</v>
      </c>
      <c r="Q139" s="601">
        <v>127</v>
      </c>
      <c r="R139" s="601">
        <v>1717</v>
      </c>
      <c r="S139" s="601">
        <v>2351</v>
      </c>
      <c r="T139" s="601">
        <v>4068</v>
      </c>
      <c r="U139" s="601">
        <v>1</v>
      </c>
      <c r="V139" s="601">
        <v>6</v>
      </c>
      <c r="W139" s="601">
        <v>7</v>
      </c>
    </row>
    <row r="140" spans="1:23" x14ac:dyDescent="0.35">
      <c r="A140" s="655"/>
      <c r="B140" s="530" t="s">
        <v>958</v>
      </c>
      <c r="C140" s="601">
        <v>188</v>
      </c>
      <c r="D140" s="601">
        <v>96</v>
      </c>
      <c r="E140" s="601">
        <v>284</v>
      </c>
      <c r="F140" s="601">
        <v>218</v>
      </c>
      <c r="G140" s="601">
        <v>211</v>
      </c>
      <c r="H140" s="601">
        <v>429</v>
      </c>
      <c r="I140" s="601">
        <v>1147</v>
      </c>
      <c r="J140" s="601">
        <v>1695</v>
      </c>
      <c r="K140" s="601">
        <v>2842</v>
      </c>
      <c r="L140" s="601">
        <v>34</v>
      </c>
      <c r="M140" s="601">
        <v>113</v>
      </c>
      <c r="N140" s="601">
        <v>147</v>
      </c>
      <c r="O140" s="601">
        <v>40</v>
      </c>
      <c r="P140" s="601">
        <v>48</v>
      </c>
      <c r="Q140" s="601">
        <v>88</v>
      </c>
      <c r="R140" s="601">
        <v>1627</v>
      </c>
      <c r="S140" s="601">
        <v>2163</v>
      </c>
      <c r="T140" s="601">
        <v>3790</v>
      </c>
      <c r="U140" s="601">
        <v>3</v>
      </c>
      <c r="V140" s="601">
        <v>12</v>
      </c>
      <c r="W140" s="601">
        <v>15</v>
      </c>
    </row>
    <row r="141" spans="1:23" x14ac:dyDescent="0.35">
      <c r="A141" s="655"/>
      <c r="B141" s="530" t="s">
        <v>957</v>
      </c>
      <c r="C141" s="603">
        <v>170</v>
      </c>
      <c r="D141" s="603">
        <v>82</v>
      </c>
      <c r="E141" s="603">
        <v>252</v>
      </c>
      <c r="F141" s="603">
        <v>213</v>
      </c>
      <c r="G141" s="603">
        <v>203</v>
      </c>
      <c r="H141" s="603">
        <v>416</v>
      </c>
      <c r="I141" s="603">
        <v>1099</v>
      </c>
      <c r="J141" s="603">
        <v>1580</v>
      </c>
      <c r="K141" s="603">
        <v>2679</v>
      </c>
      <c r="L141" s="603">
        <v>34</v>
      </c>
      <c r="M141" s="603">
        <v>111</v>
      </c>
      <c r="N141" s="603">
        <v>145</v>
      </c>
      <c r="O141" s="603">
        <v>42</v>
      </c>
      <c r="P141" s="603">
        <v>68</v>
      </c>
      <c r="Q141" s="603">
        <v>110</v>
      </c>
      <c r="R141" s="603">
        <v>1560</v>
      </c>
      <c r="S141" s="603">
        <v>2052</v>
      </c>
      <c r="T141" s="603">
        <v>3612</v>
      </c>
      <c r="U141" s="603">
        <v>2</v>
      </c>
      <c r="V141" s="603">
        <v>8</v>
      </c>
      <c r="W141" s="603">
        <v>10</v>
      </c>
    </row>
    <row r="142" spans="1:23" x14ac:dyDescent="0.35">
      <c r="A142" s="655"/>
      <c r="B142" s="530" t="s">
        <v>956</v>
      </c>
      <c r="C142" s="603">
        <v>171</v>
      </c>
      <c r="D142" s="603">
        <v>69</v>
      </c>
      <c r="E142" s="603">
        <v>240</v>
      </c>
      <c r="F142" s="603">
        <v>244</v>
      </c>
      <c r="G142" s="603">
        <v>229</v>
      </c>
      <c r="H142" s="603">
        <v>473</v>
      </c>
      <c r="I142" s="603">
        <v>1077</v>
      </c>
      <c r="J142" s="603">
        <v>1539</v>
      </c>
      <c r="K142" s="603">
        <v>2616</v>
      </c>
      <c r="L142" s="603">
        <v>50</v>
      </c>
      <c r="M142" s="603">
        <v>96</v>
      </c>
      <c r="N142" s="603">
        <v>146</v>
      </c>
      <c r="O142" s="603">
        <v>53</v>
      </c>
      <c r="P142" s="603">
        <v>83</v>
      </c>
      <c r="Q142" s="603">
        <v>136</v>
      </c>
      <c r="R142" s="603">
        <v>1597</v>
      </c>
      <c r="S142" s="603">
        <v>2027</v>
      </c>
      <c r="T142" s="603">
        <v>3624</v>
      </c>
      <c r="U142" s="603">
        <v>2</v>
      </c>
      <c r="V142" s="603">
        <v>11</v>
      </c>
      <c r="W142" s="603">
        <v>13</v>
      </c>
    </row>
    <row r="143" spans="1:23" ht="14.5" x14ac:dyDescent="0.35">
      <c r="A143" s="655">
        <v>23</v>
      </c>
      <c r="B143" s="649" t="s">
        <v>33</v>
      </c>
      <c r="C143" s="650"/>
      <c r="D143" s="650"/>
      <c r="E143" s="650"/>
      <c r="F143" s="650"/>
      <c r="G143" s="650"/>
      <c r="H143" s="650"/>
      <c r="I143" s="650"/>
      <c r="J143" s="650"/>
      <c r="K143" s="650"/>
      <c r="L143" s="650"/>
      <c r="M143" s="650"/>
      <c r="N143" s="650"/>
      <c r="O143" s="650"/>
      <c r="P143" s="650"/>
      <c r="Q143" s="650"/>
      <c r="R143" s="650"/>
      <c r="S143" s="650"/>
      <c r="T143" s="650"/>
      <c r="U143" s="650"/>
      <c r="V143" s="650"/>
      <c r="W143" s="651"/>
    </row>
    <row r="144" spans="1:23" x14ac:dyDescent="0.35">
      <c r="A144" s="655"/>
      <c r="B144" s="529" t="s">
        <v>960</v>
      </c>
      <c r="C144" s="616">
        <v>160</v>
      </c>
      <c r="D144" s="616">
        <v>63</v>
      </c>
      <c r="E144" s="616">
        <v>223</v>
      </c>
      <c r="F144" s="616">
        <v>222</v>
      </c>
      <c r="G144" s="616">
        <v>205</v>
      </c>
      <c r="H144" s="616">
        <v>427</v>
      </c>
      <c r="I144" s="616">
        <v>564</v>
      </c>
      <c r="J144" s="616">
        <v>573</v>
      </c>
      <c r="K144" s="616">
        <v>1137</v>
      </c>
      <c r="L144" s="616">
        <v>53</v>
      </c>
      <c r="M144" s="616">
        <v>145</v>
      </c>
      <c r="N144" s="616">
        <v>198</v>
      </c>
      <c r="O144" s="616">
        <v>149</v>
      </c>
      <c r="P144" s="616">
        <v>142</v>
      </c>
      <c r="Q144" s="616">
        <v>291</v>
      </c>
      <c r="R144" s="616">
        <v>1157</v>
      </c>
      <c r="S144" s="616">
        <v>1134</v>
      </c>
      <c r="T144" s="616">
        <v>2291</v>
      </c>
      <c r="U144" s="616">
        <v>9</v>
      </c>
      <c r="V144" s="616">
        <v>6</v>
      </c>
      <c r="W144" s="616">
        <v>15</v>
      </c>
    </row>
    <row r="145" spans="1:23" x14ac:dyDescent="0.35">
      <c r="A145" s="655"/>
      <c r="B145" s="530" t="s">
        <v>959</v>
      </c>
      <c r="C145" s="601">
        <v>160</v>
      </c>
      <c r="D145" s="601">
        <v>55</v>
      </c>
      <c r="E145" s="601">
        <v>215</v>
      </c>
      <c r="F145" s="601">
        <v>241</v>
      </c>
      <c r="G145" s="601">
        <v>212</v>
      </c>
      <c r="H145" s="601">
        <v>453</v>
      </c>
      <c r="I145" s="601">
        <v>584</v>
      </c>
      <c r="J145" s="601">
        <v>558</v>
      </c>
      <c r="K145" s="601">
        <v>1142</v>
      </c>
      <c r="L145" s="601">
        <v>43</v>
      </c>
      <c r="M145" s="601">
        <v>131</v>
      </c>
      <c r="N145" s="601">
        <v>174</v>
      </c>
      <c r="O145" s="601">
        <v>139</v>
      </c>
      <c r="P145" s="601">
        <v>128</v>
      </c>
      <c r="Q145" s="601">
        <v>267</v>
      </c>
      <c r="R145" s="601">
        <v>1181</v>
      </c>
      <c r="S145" s="601">
        <v>1092</v>
      </c>
      <c r="T145" s="601">
        <v>2273</v>
      </c>
      <c r="U145" s="601">
        <v>14</v>
      </c>
      <c r="V145" s="601">
        <v>8</v>
      </c>
      <c r="W145" s="601">
        <v>22</v>
      </c>
    </row>
    <row r="146" spans="1:23" x14ac:dyDescent="0.35">
      <c r="A146" s="655"/>
      <c r="B146" s="530" t="s">
        <v>958</v>
      </c>
      <c r="C146" s="601">
        <v>138</v>
      </c>
      <c r="D146" s="601">
        <v>47</v>
      </c>
      <c r="E146" s="601">
        <v>185</v>
      </c>
      <c r="F146" s="601">
        <v>267</v>
      </c>
      <c r="G146" s="601">
        <v>214</v>
      </c>
      <c r="H146" s="601">
        <v>481</v>
      </c>
      <c r="I146" s="601">
        <v>580</v>
      </c>
      <c r="J146" s="601">
        <v>547</v>
      </c>
      <c r="K146" s="601">
        <v>1127</v>
      </c>
      <c r="L146" s="601">
        <v>40</v>
      </c>
      <c r="M146" s="601">
        <v>109</v>
      </c>
      <c r="N146" s="601">
        <v>149</v>
      </c>
      <c r="O146" s="601">
        <v>135</v>
      </c>
      <c r="P146" s="601">
        <v>121</v>
      </c>
      <c r="Q146" s="601">
        <v>256</v>
      </c>
      <c r="R146" s="601">
        <v>1160</v>
      </c>
      <c r="S146" s="601">
        <v>1038</v>
      </c>
      <c r="T146" s="601">
        <v>2198</v>
      </c>
      <c r="U146" s="601">
        <v>8</v>
      </c>
      <c r="V146" s="601">
        <v>4</v>
      </c>
      <c r="W146" s="601">
        <v>12</v>
      </c>
    </row>
    <row r="147" spans="1:23" x14ac:dyDescent="0.35">
      <c r="A147" s="655"/>
      <c r="B147" s="530" t="s">
        <v>957</v>
      </c>
      <c r="C147" s="603">
        <v>118</v>
      </c>
      <c r="D147" s="603">
        <v>34</v>
      </c>
      <c r="E147" s="603">
        <v>152</v>
      </c>
      <c r="F147" s="603">
        <v>260</v>
      </c>
      <c r="G147" s="603">
        <v>208</v>
      </c>
      <c r="H147" s="603">
        <v>468</v>
      </c>
      <c r="I147" s="603">
        <v>542</v>
      </c>
      <c r="J147" s="603">
        <v>496</v>
      </c>
      <c r="K147" s="603">
        <v>1038</v>
      </c>
      <c r="L147" s="603">
        <v>28</v>
      </c>
      <c r="M147" s="603">
        <v>102</v>
      </c>
      <c r="N147" s="603">
        <v>130</v>
      </c>
      <c r="O147" s="603">
        <v>112</v>
      </c>
      <c r="P147" s="603">
        <v>109</v>
      </c>
      <c r="Q147" s="603">
        <v>221</v>
      </c>
      <c r="R147" s="603">
        <v>1073</v>
      </c>
      <c r="S147" s="603">
        <v>960</v>
      </c>
      <c r="T147" s="603">
        <v>2033</v>
      </c>
      <c r="U147" s="603">
        <v>13</v>
      </c>
      <c r="V147" s="603">
        <v>11</v>
      </c>
      <c r="W147" s="603">
        <v>24</v>
      </c>
    </row>
    <row r="148" spans="1:23" x14ac:dyDescent="0.35">
      <c r="A148" s="655"/>
      <c r="B148" s="530" t="s">
        <v>956</v>
      </c>
      <c r="C148" s="603">
        <v>128</v>
      </c>
      <c r="D148" s="603">
        <v>29</v>
      </c>
      <c r="E148" s="603">
        <v>157</v>
      </c>
      <c r="F148" s="603">
        <v>262</v>
      </c>
      <c r="G148" s="603">
        <v>207</v>
      </c>
      <c r="H148" s="603">
        <v>469</v>
      </c>
      <c r="I148" s="603">
        <v>501</v>
      </c>
      <c r="J148" s="603">
        <v>467</v>
      </c>
      <c r="K148" s="603">
        <v>968</v>
      </c>
      <c r="L148" s="603">
        <v>36</v>
      </c>
      <c r="M148" s="603">
        <v>84</v>
      </c>
      <c r="N148" s="603">
        <v>120</v>
      </c>
      <c r="O148" s="603">
        <v>98</v>
      </c>
      <c r="P148" s="603">
        <v>99</v>
      </c>
      <c r="Q148" s="603">
        <v>197</v>
      </c>
      <c r="R148" s="603">
        <v>1032</v>
      </c>
      <c r="S148" s="603">
        <v>895</v>
      </c>
      <c r="T148" s="603">
        <v>1927</v>
      </c>
      <c r="U148" s="603">
        <v>7</v>
      </c>
      <c r="V148" s="603">
        <v>9</v>
      </c>
      <c r="W148" s="603">
        <v>16</v>
      </c>
    </row>
    <row r="149" spans="1:23" ht="14.5" x14ac:dyDescent="0.35">
      <c r="A149" s="655">
        <v>24</v>
      </c>
      <c r="B149" s="649" t="s">
        <v>34</v>
      </c>
      <c r="C149" s="650"/>
      <c r="D149" s="650"/>
      <c r="E149" s="650"/>
      <c r="F149" s="650"/>
      <c r="G149" s="650"/>
      <c r="H149" s="650"/>
      <c r="I149" s="650"/>
      <c r="J149" s="650"/>
      <c r="K149" s="650"/>
      <c r="L149" s="650"/>
      <c r="M149" s="650"/>
      <c r="N149" s="650"/>
      <c r="O149" s="650"/>
      <c r="P149" s="650"/>
      <c r="Q149" s="650"/>
      <c r="R149" s="650"/>
      <c r="S149" s="650"/>
      <c r="T149" s="650"/>
      <c r="U149" s="650"/>
      <c r="V149" s="650"/>
      <c r="W149" s="651"/>
    </row>
    <row r="150" spans="1:23" x14ac:dyDescent="0.35">
      <c r="A150" s="655"/>
      <c r="B150" s="529" t="s">
        <v>960</v>
      </c>
      <c r="C150" s="616">
        <v>127</v>
      </c>
      <c r="D150" s="616">
        <v>65</v>
      </c>
      <c r="E150" s="616">
        <v>192</v>
      </c>
      <c r="F150" s="616">
        <v>90</v>
      </c>
      <c r="G150" s="616">
        <v>90</v>
      </c>
      <c r="H150" s="616">
        <v>180</v>
      </c>
      <c r="I150" s="616">
        <v>880</v>
      </c>
      <c r="J150" s="616">
        <v>1384</v>
      </c>
      <c r="K150" s="616">
        <v>2264</v>
      </c>
      <c r="L150" s="616">
        <v>57</v>
      </c>
      <c r="M150" s="616">
        <v>111</v>
      </c>
      <c r="N150" s="616">
        <v>168</v>
      </c>
      <c r="O150" s="616">
        <v>23</v>
      </c>
      <c r="P150" s="616">
        <v>34</v>
      </c>
      <c r="Q150" s="616">
        <v>57</v>
      </c>
      <c r="R150" s="616">
        <v>1182</v>
      </c>
      <c r="S150" s="616">
        <v>1690</v>
      </c>
      <c r="T150" s="616">
        <v>2872</v>
      </c>
      <c r="U150" s="616">
        <v>5</v>
      </c>
      <c r="V150" s="616">
        <v>6</v>
      </c>
      <c r="W150" s="616">
        <v>11</v>
      </c>
    </row>
    <row r="151" spans="1:23" x14ac:dyDescent="0.35">
      <c r="A151" s="655"/>
      <c r="B151" s="530" t="s">
        <v>959</v>
      </c>
      <c r="C151" s="601">
        <v>107</v>
      </c>
      <c r="D151" s="601">
        <v>60</v>
      </c>
      <c r="E151" s="601">
        <v>167</v>
      </c>
      <c r="F151" s="601">
        <v>72</v>
      </c>
      <c r="G151" s="601">
        <v>89</v>
      </c>
      <c r="H151" s="601">
        <v>161</v>
      </c>
      <c r="I151" s="601">
        <v>863</v>
      </c>
      <c r="J151" s="601">
        <v>1317</v>
      </c>
      <c r="K151" s="601">
        <v>2180</v>
      </c>
      <c r="L151" s="601">
        <v>44</v>
      </c>
      <c r="M151" s="601">
        <v>63</v>
      </c>
      <c r="N151" s="601">
        <v>107</v>
      </c>
      <c r="O151" s="601">
        <v>20</v>
      </c>
      <c r="P151" s="601">
        <v>32</v>
      </c>
      <c r="Q151" s="601">
        <v>52</v>
      </c>
      <c r="R151" s="601">
        <v>1113</v>
      </c>
      <c r="S151" s="601">
        <v>1570</v>
      </c>
      <c r="T151" s="601">
        <v>2683</v>
      </c>
      <c r="U151" s="601">
        <v>7</v>
      </c>
      <c r="V151" s="601">
        <v>9</v>
      </c>
      <c r="W151" s="601">
        <v>16</v>
      </c>
    </row>
    <row r="152" spans="1:23" x14ac:dyDescent="0.35">
      <c r="A152" s="655"/>
      <c r="B152" s="530" t="s">
        <v>958</v>
      </c>
      <c r="C152" s="601">
        <v>106</v>
      </c>
      <c r="D152" s="601">
        <v>57</v>
      </c>
      <c r="E152" s="601">
        <v>163</v>
      </c>
      <c r="F152" s="601">
        <v>74</v>
      </c>
      <c r="G152" s="601">
        <v>95</v>
      </c>
      <c r="H152" s="601">
        <v>169</v>
      </c>
      <c r="I152" s="601">
        <v>840</v>
      </c>
      <c r="J152" s="601">
        <v>1198</v>
      </c>
      <c r="K152" s="601">
        <v>2038</v>
      </c>
      <c r="L152" s="601">
        <v>40</v>
      </c>
      <c r="M152" s="601">
        <v>62</v>
      </c>
      <c r="N152" s="601">
        <v>102</v>
      </c>
      <c r="O152" s="601">
        <v>18</v>
      </c>
      <c r="P152" s="601">
        <v>32</v>
      </c>
      <c r="Q152" s="601">
        <v>50</v>
      </c>
      <c r="R152" s="601">
        <v>1078</v>
      </c>
      <c r="S152" s="601">
        <v>1444</v>
      </c>
      <c r="T152" s="601">
        <v>2522</v>
      </c>
      <c r="U152" s="601">
        <v>9</v>
      </c>
      <c r="V152" s="601">
        <v>8</v>
      </c>
      <c r="W152" s="601">
        <v>17</v>
      </c>
    </row>
    <row r="153" spans="1:23" x14ac:dyDescent="0.35">
      <c r="A153" s="655"/>
      <c r="B153" s="530" t="s">
        <v>957</v>
      </c>
      <c r="C153" s="603">
        <v>114</v>
      </c>
      <c r="D153" s="603">
        <v>55</v>
      </c>
      <c r="E153" s="603">
        <v>169</v>
      </c>
      <c r="F153" s="603">
        <v>69</v>
      </c>
      <c r="G153" s="603">
        <v>100</v>
      </c>
      <c r="H153" s="603">
        <v>169</v>
      </c>
      <c r="I153" s="603">
        <v>814</v>
      </c>
      <c r="J153" s="603">
        <v>1125</v>
      </c>
      <c r="K153" s="603">
        <v>1939</v>
      </c>
      <c r="L153" s="603">
        <v>40</v>
      </c>
      <c r="M153" s="603">
        <v>61</v>
      </c>
      <c r="N153" s="603">
        <v>101</v>
      </c>
      <c r="O153" s="603">
        <v>19</v>
      </c>
      <c r="P153" s="603">
        <v>31</v>
      </c>
      <c r="Q153" s="603">
        <v>50</v>
      </c>
      <c r="R153" s="603">
        <v>1059</v>
      </c>
      <c r="S153" s="603">
        <v>1374</v>
      </c>
      <c r="T153" s="603">
        <v>2433</v>
      </c>
      <c r="U153" s="603">
        <v>3</v>
      </c>
      <c r="V153" s="603">
        <v>2</v>
      </c>
      <c r="W153" s="603">
        <v>5</v>
      </c>
    </row>
    <row r="154" spans="1:23" x14ac:dyDescent="0.35">
      <c r="A154" s="655"/>
      <c r="B154" s="530" t="s">
        <v>956</v>
      </c>
      <c r="C154" s="603">
        <v>112</v>
      </c>
      <c r="D154" s="603">
        <v>50</v>
      </c>
      <c r="E154" s="603">
        <v>162</v>
      </c>
      <c r="F154" s="603">
        <v>70</v>
      </c>
      <c r="G154" s="603">
        <v>99</v>
      </c>
      <c r="H154" s="603">
        <v>169</v>
      </c>
      <c r="I154" s="603">
        <v>824</v>
      </c>
      <c r="J154" s="603">
        <v>1127</v>
      </c>
      <c r="K154" s="603">
        <v>1951</v>
      </c>
      <c r="L154" s="603">
        <v>29</v>
      </c>
      <c r="M154" s="603">
        <v>57</v>
      </c>
      <c r="N154" s="603">
        <v>86</v>
      </c>
      <c r="O154" s="603">
        <v>19</v>
      </c>
      <c r="P154" s="603">
        <v>28</v>
      </c>
      <c r="Q154" s="603">
        <v>47</v>
      </c>
      <c r="R154" s="603">
        <v>1058</v>
      </c>
      <c r="S154" s="603">
        <v>1363</v>
      </c>
      <c r="T154" s="603">
        <v>2421</v>
      </c>
      <c r="U154" s="603">
        <v>4</v>
      </c>
      <c r="V154" s="603">
        <v>2</v>
      </c>
      <c r="W154" s="603">
        <v>6</v>
      </c>
    </row>
    <row r="155" spans="1:23" ht="14.5" x14ac:dyDescent="0.35">
      <c r="A155" s="655">
        <v>25</v>
      </c>
      <c r="B155" s="649" t="s">
        <v>35</v>
      </c>
      <c r="C155" s="650"/>
      <c r="D155" s="650"/>
      <c r="E155" s="650"/>
      <c r="F155" s="650"/>
      <c r="G155" s="650"/>
      <c r="H155" s="650"/>
      <c r="I155" s="650"/>
      <c r="J155" s="650"/>
      <c r="K155" s="650"/>
      <c r="L155" s="650"/>
      <c r="M155" s="650"/>
      <c r="N155" s="650"/>
      <c r="O155" s="650"/>
      <c r="P155" s="650"/>
      <c r="Q155" s="650"/>
      <c r="R155" s="650"/>
      <c r="S155" s="650"/>
      <c r="T155" s="650"/>
      <c r="U155" s="650"/>
      <c r="V155" s="650"/>
      <c r="W155" s="651"/>
    </row>
    <row r="156" spans="1:23" x14ac:dyDescent="0.35">
      <c r="A156" s="655"/>
      <c r="B156" s="529" t="s">
        <v>960</v>
      </c>
      <c r="C156" s="616">
        <v>2890</v>
      </c>
      <c r="D156" s="616">
        <v>1107</v>
      </c>
      <c r="E156" s="616">
        <v>3997</v>
      </c>
      <c r="F156" s="616">
        <v>2962</v>
      </c>
      <c r="G156" s="616">
        <v>1293</v>
      </c>
      <c r="H156" s="616">
        <v>4255</v>
      </c>
      <c r="I156" s="616">
        <v>19933</v>
      </c>
      <c r="J156" s="616">
        <v>13681</v>
      </c>
      <c r="K156" s="616">
        <v>33614</v>
      </c>
      <c r="L156" s="616">
        <v>1530</v>
      </c>
      <c r="M156" s="616">
        <v>3181</v>
      </c>
      <c r="N156" s="616">
        <v>4711</v>
      </c>
      <c r="O156" s="616">
        <v>1282</v>
      </c>
      <c r="P156" s="616">
        <v>1276</v>
      </c>
      <c r="Q156" s="616">
        <v>2558</v>
      </c>
      <c r="R156" s="616">
        <v>28754</v>
      </c>
      <c r="S156" s="616">
        <v>20607</v>
      </c>
      <c r="T156" s="616">
        <v>49361</v>
      </c>
      <c r="U156" s="616">
        <v>157</v>
      </c>
      <c r="V156" s="616">
        <v>69</v>
      </c>
      <c r="W156" s="616">
        <v>226</v>
      </c>
    </row>
    <row r="157" spans="1:23" x14ac:dyDescent="0.35">
      <c r="A157" s="655"/>
      <c r="B157" s="530" t="s">
        <v>959</v>
      </c>
      <c r="C157" s="601">
        <v>2774</v>
      </c>
      <c r="D157" s="601">
        <v>945</v>
      </c>
      <c r="E157" s="601">
        <v>3719</v>
      </c>
      <c r="F157" s="601">
        <v>3070</v>
      </c>
      <c r="G157" s="601">
        <v>1301</v>
      </c>
      <c r="H157" s="601">
        <v>4371</v>
      </c>
      <c r="I157" s="601">
        <v>18941</v>
      </c>
      <c r="J157" s="601">
        <v>12381</v>
      </c>
      <c r="K157" s="601">
        <v>31322</v>
      </c>
      <c r="L157" s="601">
        <v>1396</v>
      </c>
      <c r="M157" s="601">
        <v>2533</v>
      </c>
      <c r="N157" s="601">
        <v>3929</v>
      </c>
      <c r="O157" s="601">
        <v>1156</v>
      </c>
      <c r="P157" s="601">
        <v>1159</v>
      </c>
      <c r="Q157" s="601">
        <v>2315</v>
      </c>
      <c r="R157" s="601">
        <v>27444</v>
      </c>
      <c r="S157" s="601">
        <v>18397</v>
      </c>
      <c r="T157" s="601">
        <v>45841</v>
      </c>
      <c r="U157" s="601">
        <v>107</v>
      </c>
      <c r="V157" s="601">
        <v>78</v>
      </c>
      <c r="W157" s="601">
        <v>185</v>
      </c>
    </row>
    <row r="158" spans="1:23" x14ac:dyDescent="0.35">
      <c r="A158" s="655"/>
      <c r="B158" s="530" t="s">
        <v>958</v>
      </c>
      <c r="C158" s="601">
        <v>2657</v>
      </c>
      <c r="D158" s="601">
        <v>866</v>
      </c>
      <c r="E158" s="601">
        <v>3523</v>
      </c>
      <c r="F158" s="601">
        <v>3153</v>
      </c>
      <c r="G158" s="601">
        <v>1271</v>
      </c>
      <c r="H158" s="601">
        <v>4424</v>
      </c>
      <c r="I158" s="601">
        <v>18280</v>
      </c>
      <c r="J158" s="601">
        <v>11381</v>
      </c>
      <c r="K158" s="601">
        <v>29661</v>
      </c>
      <c r="L158" s="601">
        <v>1423</v>
      </c>
      <c r="M158" s="601">
        <v>2465</v>
      </c>
      <c r="N158" s="601">
        <v>3888</v>
      </c>
      <c r="O158" s="601">
        <v>1009</v>
      </c>
      <c r="P158" s="601">
        <v>978</v>
      </c>
      <c r="Q158" s="601">
        <v>1987</v>
      </c>
      <c r="R158" s="601">
        <v>26522</v>
      </c>
      <c r="S158" s="601">
        <v>16961</v>
      </c>
      <c r="T158" s="601">
        <v>43483</v>
      </c>
      <c r="U158" s="601">
        <v>142</v>
      </c>
      <c r="V158" s="601">
        <v>105</v>
      </c>
      <c r="W158" s="601">
        <v>247</v>
      </c>
    </row>
    <row r="159" spans="1:23" x14ac:dyDescent="0.35">
      <c r="A159" s="655"/>
      <c r="B159" s="530" t="s">
        <v>957</v>
      </c>
      <c r="C159" s="603">
        <v>2479</v>
      </c>
      <c r="D159" s="603">
        <v>771</v>
      </c>
      <c r="E159" s="603">
        <v>3250</v>
      </c>
      <c r="F159" s="603">
        <v>3159</v>
      </c>
      <c r="G159" s="603">
        <v>1269</v>
      </c>
      <c r="H159" s="603">
        <v>4428</v>
      </c>
      <c r="I159" s="603">
        <v>17626</v>
      </c>
      <c r="J159" s="603">
        <v>10670</v>
      </c>
      <c r="K159" s="603">
        <v>28296</v>
      </c>
      <c r="L159" s="603">
        <v>1440</v>
      </c>
      <c r="M159" s="603">
        <v>2428</v>
      </c>
      <c r="N159" s="603">
        <v>3868</v>
      </c>
      <c r="O159" s="603">
        <v>919</v>
      </c>
      <c r="P159" s="603">
        <v>937</v>
      </c>
      <c r="Q159" s="603">
        <v>1856</v>
      </c>
      <c r="R159" s="603">
        <v>25787</v>
      </c>
      <c r="S159" s="603">
        <v>16186</v>
      </c>
      <c r="T159" s="603">
        <v>41973</v>
      </c>
      <c r="U159" s="603">
        <v>164</v>
      </c>
      <c r="V159" s="603">
        <v>111</v>
      </c>
      <c r="W159" s="603">
        <v>275</v>
      </c>
    </row>
    <row r="160" spans="1:23" x14ac:dyDescent="0.35">
      <c r="A160" s="655"/>
      <c r="B160" s="530" t="s">
        <v>956</v>
      </c>
      <c r="C160" s="603">
        <v>2325</v>
      </c>
      <c r="D160" s="603">
        <v>642</v>
      </c>
      <c r="E160" s="603">
        <v>2967</v>
      </c>
      <c r="F160" s="603">
        <v>2880</v>
      </c>
      <c r="G160" s="603">
        <v>1131</v>
      </c>
      <c r="H160" s="603">
        <v>4011</v>
      </c>
      <c r="I160" s="603">
        <v>17447</v>
      </c>
      <c r="J160" s="603">
        <v>10222</v>
      </c>
      <c r="K160" s="603">
        <v>27669</v>
      </c>
      <c r="L160" s="603">
        <v>1414</v>
      </c>
      <c r="M160" s="603">
        <v>2026</v>
      </c>
      <c r="N160" s="603">
        <v>3440</v>
      </c>
      <c r="O160" s="603">
        <v>847</v>
      </c>
      <c r="P160" s="603">
        <v>863</v>
      </c>
      <c r="Q160" s="603">
        <v>1710</v>
      </c>
      <c r="R160" s="603">
        <v>25065</v>
      </c>
      <c r="S160" s="603">
        <v>14991</v>
      </c>
      <c r="T160" s="603">
        <v>40056</v>
      </c>
      <c r="U160" s="603">
        <v>152</v>
      </c>
      <c r="V160" s="603">
        <v>107</v>
      </c>
      <c r="W160" s="603">
        <v>259</v>
      </c>
    </row>
    <row r="161" spans="1:23" ht="14.5" x14ac:dyDescent="0.35">
      <c r="A161" s="655">
        <v>26</v>
      </c>
      <c r="B161" s="649" t="s">
        <v>36</v>
      </c>
      <c r="C161" s="650"/>
      <c r="D161" s="650"/>
      <c r="E161" s="650"/>
      <c r="F161" s="650"/>
      <c r="G161" s="650"/>
      <c r="H161" s="650"/>
      <c r="I161" s="650"/>
      <c r="J161" s="650"/>
      <c r="K161" s="650"/>
      <c r="L161" s="650"/>
      <c r="M161" s="650"/>
      <c r="N161" s="650"/>
      <c r="O161" s="650"/>
      <c r="P161" s="650"/>
      <c r="Q161" s="650"/>
      <c r="R161" s="650"/>
      <c r="S161" s="650"/>
      <c r="T161" s="650"/>
      <c r="U161" s="650"/>
      <c r="V161" s="650"/>
      <c r="W161" s="651"/>
    </row>
    <row r="162" spans="1:23" x14ac:dyDescent="0.35">
      <c r="A162" s="655"/>
      <c r="B162" s="529" t="s">
        <v>960</v>
      </c>
      <c r="C162" s="616">
        <v>867</v>
      </c>
      <c r="D162" s="616">
        <v>437</v>
      </c>
      <c r="E162" s="616">
        <v>1304</v>
      </c>
      <c r="F162" s="616">
        <v>575</v>
      </c>
      <c r="G162" s="616">
        <v>383</v>
      </c>
      <c r="H162" s="616">
        <v>958</v>
      </c>
      <c r="I162" s="616">
        <v>2329</v>
      </c>
      <c r="J162" s="616">
        <v>2292</v>
      </c>
      <c r="K162" s="616">
        <v>4621</v>
      </c>
      <c r="L162" s="616">
        <v>476</v>
      </c>
      <c r="M162" s="616">
        <v>708</v>
      </c>
      <c r="N162" s="616">
        <v>1184</v>
      </c>
      <c r="O162" s="616">
        <v>76</v>
      </c>
      <c r="P162" s="616">
        <v>101</v>
      </c>
      <c r="Q162" s="616">
        <v>177</v>
      </c>
      <c r="R162" s="616">
        <v>4325</v>
      </c>
      <c r="S162" s="616">
        <v>3921</v>
      </c>
      <c r="T162" s="616">
        <v>8246</v>
      </c>
      <c r="U162" s="616">
        <v>2</v>
      </c>
      <c r="V162" s="616"/>
      <c r="W162" s="616">
        <v>2</v>
      </c>
    </row>
    <row r="163" spans="1:23" x14ac:dyDescent="0.35">
      <c r="A163" s="655"/>
      <c r="B163" s="530" t="s">
        <v>959</v>
      </c>
      <c r="C163" s="601">
        <v>805</v>
      </c>
      <c r="D163" s="601">
        <v>374</v>
      </c>
      <c r="E163" s="601">
        <v>1179</v>
      </c>
      <c r="F163" s="601">
        <v>532</v>
      </c>
      <c r="G163" s="601">
        <v>361</v>
      </c>
      <c r="H163" s="601">
        <v>893</v>
      </c>
      <c r="I163" s="601">
        <v>2062</v>
      </c>
      <c r="J163" s="601">
        <v>1963</v>
      </c>
      <c r="K163" s="601">
        <v>4025</v>
      </c>
      <c r="L163" s="601">
        <v>382</v>
      </c>
      <c r="M163" s="601">
        <v>608</v>
      </c>
      <c r="N163" s="601">
        <v>990</v>
      </c>
      <c r="O163" s="601">
        <v>63</v>
      </c>
      <c r="P163" s="601">
        <v>65</v>
      </c>
      <c r="Q163" s="601">
        <v>128</v>
      </c>
      <c r="R163" s="601">
        <v>3846</v>
      </c>
      <c r="S163" s="601">
        <v>3373</v>
      </c>
      <c r="T163" s="601">
        <v>7219</v>
      </c>
      <c r="U163" s="601">
        <v>2</v>
      </c>
      <c r="V163" s="601">
        <v>2</v>
      </c>
      <c r="W163" s="601">
        <v>4</v>
      </c>
    </row>
    <row r="164" spans="1:23" x14ac:dyDescent="0.35">
      <c r="A164" s="655"/>
      <c r="B164" s="530" t="s">
        <v>958</v>
      </c>
      <c r="C164" s="601">
        <v>742</v>
      </c>
      <c r="D164" s="601">
        <v>333</v>
      </c>
      <c r="E164" s="601">
        <v>1075</v>
      </c>
      <c r="F164" s="601">
        <v>499</v>
      </c>
      <c r="G164" s="601">
        <v>351</v>
      </c>
      <c r="H164" s="601">
        <v>850</v>
      </c>
      <c r="I164" s="601">
        <v>1981</v>
      </c>
      <c r="J164" s="601">
        <v>1810</v>
      </c>
      <c r="K164" s="601">
        <v>3791</v>
      </c>
      <c r="L164" s="601">
        <v>282</v>
      </c>
      <c r="M164" s="601">
        <v>485</v>
      </c>
      <c r="N164" s="601">
        <v>767</v>
      </c>
      <c r="O164" s="601">
        <v>57</v>
      </c>
      <c r="P164" s="601">
        <v>53</v>
      </c>
      <c r="Q164" s="601">
        <v>110</v>
      </c>
      <c r="R164" s="601">
        <v>3561</v>
      </c>
      <c r="S164" s="601">
        <v>3032</v>
      </c>
      <c r="T164" s="601">
        <v>6593</v>
      </c>
      <c r="U164" s="601">
        <v>1</v>
      </c>
      <c r="V164" s="601"/>
      <c r="W164" s="601">
        <v>1</v>
      </c>
    </row>
    <row r="165" spans="1:23" x14ac:dyDescent="0.35">
      <c r="A165" s="655"/>
      <c r="B165" s="530" t="s">
        <v>957</v>
      </c>
      <c r="C165" s="603">
        <v>751</v>
      </c>
      <c r="D165" s="603">
        <v>328</v>
      </c>
      <c r="E165" s="603">
        <v>1079</v>
      </c>
      <c r="F165" s="603">
        <v>528</v>
      </c>
      <c r="G165" s="603">
        <v>347</v>
      </c>
      <c r="H165" s="603">
        <v>875</v>
      </c>
      <c r="I165" s="603">
        <v>2016</v>
      </c>
      <c r="J165" s="603">
        <v>1768</v>
      </c>
      <c r="K165" s="603">
        <v>3784</v>
      </c>
      <c r="L165" s="603">
        <v>306</v>
      </c>
      <c r="M165" s="603">
        <v>508</v>
      </c>
      <c r="N165" s="603">
        <v>814</v>
      </c>
      <c r="O165" s="603">
        <v>52</v>
      </c>
      <c r="P165" s="603">
        <v>52</v>
      </c>
      <c r="Q165" s="603">
        <v>104</v>
      </c>
      <c r="R165" s="603">
        <v>3654</v>
      </c>
      <c r="S165" s="603">
        <v>3003</v>
      </c>
      <c r="T165" s="603">
        <v>6657</v>
      </c>
      <c r="U165" s="603">
        <v>1</v>
      </c>
      <c r="V165" s="603">
        <v>0</v>
      </c>
      <c r="W165" s="603">
        <v>1</v>
      </c>
    </row>
    <row r="166" spans="1:23" x14ac:dyDescent="0.35">
      <c r="A166" s="655"/>
      <c r="B166" s="530" t="s">
        <v>956</v>
      </c>
      <c r="C166" s="603">
        <v>754</v>
      </c>
      <c r="D166" s="603">
        <v>282</v>
      </c>
      <c r="E166" s="603">
        <v>1036</v>
      </c>
      <c r="F166" s="603">
        <v>508</v>
      </c>
      <c r="G166" s="603">
        <v>352</v>
      </c>
      <c r="H166" s="603">
        <v>860</v>
      </c>
      <c r="I166" s="603">
        <v>1941</v>
      </c>
      <c r="J166" s="603">
        <v>1564</v>
      </c>
      <c r="K166" s="603">
        <v>3505</v>
      </c>
      <c r="L166" s="603">
        <v>337</v>
      </c>
      <c r="M166" s="603">
        <v>551</v>
      </c>
      <c r="N166" s="603">
        <v>888</v>
      </c>
      <c r="O166" s="603">
        <v>34</v>
      </c>
      <c r="P166" s="603">
        <v>45</v>
      </c>
      <c r="Q166" s="603">
        <v>79</v>
      </c>
      <c r="R166" s="603">
        <v>3576</v>
      </c>
      <c r="S166" s="603">
        <v>2795</v>
      </c>
      <c r="T166" s="603">
        <v>6371</v>
      </c>
      <c r="U166" s="603">
        <v>2</v>
      </c>
      <c r="V166" s="603">
        <v>1</v>
      </c>
      <c r="W166" s="603">
        <v>3</v>
      </c>
    </row>
    <row r="167" spans="1:23" ht="14.5" x14ac:dyDescent="0.35">
      <c r="A167" s="655">
        <v>27</v>
      </c>
      <c r="B167" s="649" t="s">
        <v>37</v>
      </c>
      <c r="C167" s="650"/>
      <c r="D167" s="650"/>
      <c r="E167" s="650"/>
      <c r="F167" s="650"/>
      <c r="G167" s="650"/>
      <c r="H167" s="650"/>
      <c r="I167" s="650"/>
      <c r="J167" s="650"/>
      <c r="K167" s="650"/>
      <c r="L167" s="650"/>
      <c r="M167" s="650"/>
      <c r="N167" s="650"/>
      <c r="O167" s="650"/>
      <c r="P167" s="650"/>
      <c r="Q167" s="650"/>
      <c r="R167" s="650"/>
      <c r="S167" s="650"/>
      <c r="T167" s="650"/>
      <c r="U167" s="650"/>
      <c r="V167" s="650"/>
      <c r="W167" s="651"/>
    </row>
    <row r="168" spans="1:23" x14ac:dyDescent="0.35">
      <c r="A168" s="655"/>
      <c r="B168" s="529" t="s">
        <v>960</v>
      </c>
      <c r="C168" s="616">
        <v>2756</v>
      </c>
      <c r="D168" s="616">
        <v>1837</v>
      </c>
      <c r="E168" s="616">
        <v>4593</v>
      </c>
      <c r="F168" s="616">
        <v>2320</v>
      </c>
      <c r="G168" s="616">
        <v>2183</v>
      </c>
      <c r="H168" s="616">
        <v>4503</v>
      </c>
      <c r="I168" s="616">
        <v>13337</v>
      </c>
      <c r="J168" s="616">
        <v>21978</v>
      </c>
      <c r="K168" s="616">
        <v>35315</v>
      </c>
      <c r="L168" s="616">
        <v>613</v>
      </c>
      <c r="M168" s="616">
        <v>4313</v>
      </c>
      <c r="N168" s="616">
        <v>4926</v>
      </c>
      <c r="O168" s="616">
        <v>599</v>
      </c>
      <c r="P168" s="616">
        <v>1514</v>
      </c>
      <c r="Q168" s="616">
        <v>2113</v>
      </c>
      <c r="R168" s="616">
        <v>19757</v>
      </c>
      <c r="S168" s="616">
        <v>32082</v>
      </c>
      <c r="T168" s="616">
        <v>51839</v>
      </c>
      <c r="U168" s="616">
        <v>132</v>
      </c>
      <c r="V168" s="616">
        <v>257</v>
      </c>
      <c r="W168" s="616">
        <v>389</v>
      </c>
    </row>
    <row r="169" spans="1:23" x14ac:dyDescent="0.35">
      <c r="A169" s="655"/>
      <c r="B169" s="530" t="s">
        <v>959</v>
      </c>
      <c r="C169" s="601">
        <v>2723</v>
      </c>
      <c r="D169" s="601">
        <v>1793</v>
      </c>
      <c r="E169" s="601">
        <v>4516</v>
      </c>
      <c r="F169" s="601">
        <v>2238</v>
      </c>
      <c r="G169" s="601">
        <v>2118</v>
      </c>
      <c r="H169" s="601">
        <v>4356</v>
      </c>
      <c r="I169" s="601">
        <v>13487</v>
      </c>
      <c r="J169" s="601">
        <v>21395</v>
      </c>
      <c r="K169" s="601">
        <v>34882</v>
      </c>
      <c r="L169" s="601">
        <v>669</v>
      </c>
      <c r="M169" s="601">
        <v>4432</v>
      </c>
      <c r="N169" s="601">
        <v>5101</v>
      </c>
      <c r="O169" s="601">
        <v>558</v>
      </c>
      <c r="P169" s="601">
        <v>1390</v>
      </c>
      <c r="Q169" s="601">
        <v>1948</v>
      </c>
      <c r="R169" s="601">
        <v>19824</v>
      </c>
      <c r="S169" s="601">
        <v>31407</v>
      </c>
      <c r="T169" s="601">
        <v>51231</v>
      </c>
      <c r="U169" s="601">
        <v>149</v>
      </c>
      <c r="V169" s="601">
        <v>279</v>
      </c>
      <c r="W169" s="601">
        <v>428</v>
      </c>
    </row>
    <row r="170" spans="1:23" x14ac:dyDescent="0.35">
      <c r="A170" s="655"/>
      <c r="B170" s="530" t="s">
        <v>958</v>
      </c>
      <c r="C170" s="601">
        <v>2549</v>
      </c>
      <c r="D170" s="601">
        <v>1604</v>
      </c>
      <c r="E170" s="601">
        <v>4153</v>
      </c>
      <c r="F170" s="601">
        <v>2206</v>
      </c>
      <c r="G170" s="601">
        <v>2061</v>
      </c>
      <c r="H170" s="601">
        <v>4267</v>
      </c>
      <c r="I170" s="601">
        <v>14239</v>
      </c>
      <c r="J170" s="601">
        <v>21367</v>
      </c>
      <c r="K170" s="601">
        <v>35606</v>
      </c>
      <c r="L170" s="601">
        <v>538</v>
      </c>
      <c r="M170" s="601">
        <v>4204</v>
      </c>
      <c r="N170" s="601">
        <v>4742</v>
      </c>
      <c r="O170" s="601">
        <v>473</v>
      </c>
      <c r="P170" s="601">
        <v>1256</v>
      </c>
      <c r="Q170" s="601">
        <v>1729</v>
      </c>
      <c r="R170" s="601">
        <v>20005</v>
      </c>
      <c r="S170" s="601">
        <v>30492</v>
      </c>
      <c r="T170" s="601">
        <v>50497</v>
      </c>
      <c r="U170" s="601">
        <v>180</v>
      </c>
      <c r="V170" s="601">
        <v>315</v>
      </c>
      <c r="W170" s="601">
        <v>495</v>
      </c>
    </row>
    <row r="171" spans="1:23" x14ac:dyDescent="0.35">
      <c r="A171" s="655"/>
      <c r="B171" s="530" t="s">
        <v>957</v>
      </c>
      <c r="C171" s="603">
        <v>2448</v>
      </c>
      <c r="D171" s="603">
        <v>1517</v>
      </c>
      <c r="E171" s="603">
        <v>3965</v>
      </c>
      <c r="F171" s="603">
        <v>2181</v>
      </c>
      <c r="G171" s="603">
        <v>2038</v>
      </c>
      <c r="H171" s="603">
        <v>4219</v>
      </c>
      <c r="I171" s="603">
        <v>14440</v>
      </c>
      <c r="J171" s="603">
        <v>21226</v>
      </c>
      <c r="K171" s="603">
        <v>35666</v>
      </c>
      <c r="L171" s="603">
        <v>545</v>
      </c>
      <c r="M171" s="603">
        <v>4078</v>
      </c>
      <c r="N171" s="603">
        <v>4623</v>
      </c>
      <c r="O171" s="603">
        <v>419</v>
      </c>
      <c r="P171" s="603">
        <v>1135</v>
      </c>
      <c r="Q171" s="603">
        <v>1554</v>
      </c>
      <c r="R171" s="603">
        <v>20217</v>
      </c>
      <c r="S171" s="603">
        <v>30261</v>
      </c>
      <c r="T171" s="603">
        <v>50478</v>
      </c>
      <c r="U171" s="603">
        <v>184</v>
      </c>
      <c r="V171" s="603">
        <v>267</v>
      </c>
      <c r="W171" s="603">
        <v>451</v>
      </c>
    </row>
    <row r="172" spans="1:23" x14ac:dyDescent="0.35">
      <c r="A172" s="655"/>
      <c r="B172" s="530" t="s">
        <v>956</v>
      </c>
      <c r="C172" s="603">
        <v>2407</v>
      </c>
      <c r="D172" s="603">
        <v>1352</v>
      </c>
      <c r="E172" s="603">
        <v>3759</v>
      </c>
      <c r="F172" s="603">
        <v>2189</v>
      </c>
      <c r="G172" s="603">
        <v>2079</v>
      </c>
      <c r="H172" s="603">
        <v>4268</v>
      </c>
      <c r="I172" s="603">
        <v>15309</v>
      </c>
      <c r="J172" s="603">
        <v>22280</v>
      </c>
      <c r="K172" s="603">
        <v>37589</v>
      </c>
      <c r="L172" s="603">
        <v>536</v>
      </c>
      <c r="M172" s="603">
        <v>3729</v>
      </c>
      <c r="N172" s="603">
        <v>4265</v>
      </c>
      <c r="O172" s="603">
        <v>466</v>
      </c>
      <c r="P172" s="603">
        <v>1238</v>
      </c>
      <c r="Q172" s="603">
        <v>1704</v>
      </c>
      <c r="R172" s="603">
        <v>21105</v>
      </c>
      <c r="S172" s="603">
        <v>30967</v>
      </c>
      <c r="T172" s="603">
        <v>52072</v>
      </c>
      <c r="U172" s="603">
        <v>198</v>
      </c>
      <c r="V172" s="603">
        <v>289</v>
      </c>
      <c r="W172" s="603">
        <v>487</v>
      </c>
    </row>
    <row r="173" spans="1:23" ht="14.5" x14ac:dyDescent="0.35">
      <c r="A173" s="655">
        <v>28</v>
      </c>
      <c r="B173" s="649" t="s">
        <v>38</v>
      </c>
      <c r="C173" s="650"/>
      <c r="D173" s="650"/>
      <c r="E173" s="650"/>
      <c r="F173" s="650"/>
      <c r="G173" s="650"/>
      <c r="H173" s="650"/>
      <c r="I173" s="650"/>
      <c r="J173" s="650"/>
      <c r="K173" s="650"/>
      <c r="L173" s="650"/>
      <c r="M173" s="650"/>
      <c r="N173" s="650"/>
      <c r="O173" s="650"/>
      <c r="P173" s="650"/>
      <c r="Q173" s="650"/>
      <c r="R173" s="650"/>
      <c r="S173" s="650"/>
      <c r="T173" s="650"/>
      <c r="U173" s="650"/>
      <c r="V173" s="650"/>
      <c r="W173" s="651"/>
    </row>
    <row r="174" spans="1:23" x14ac:dyDescent="0.35">
      <c r="A174" s="655"/>
      <c r="B174" s="529" t="s">
        <v>960</v>
      </c>
      <c r="C174" s="616">
        <v>6724</v>
      </c>
      <c r="D174" s="616">
        <v>2940</v>
      </c>
      <c r="E174" s="616">
        <v>9664</v>
      </c>
      <c r="F174" s="616">
        <v>4489</v>
      </c>
      <c r="G174" s="616">
        <v>2543</v>
      </c>
      <c r="H174" s="616">
        <v>7032</v>
      </c>
      <c r="I174" s="616">
        <v>43189</v>
      </c>
      <c r="J174" s="616">
        <v>25308</v>
      </c>
      <c r="K174" s="616">
        <v>68497</v>
      </c>
      <c r="L174" s="616">
        <v>3358</v>
      </c>
      <c r="M174" s="616">
        <v>1526</v>
      </c>
      <c r="N174" s="616">
        <v>4884</v>
      </c>
      <c r="O174" s="616">
        <v>982</v>
      </c>
      <c r="P174" s="616">
        <v>597</v>
      </c>
      <c r="Q174" s="616">
        <v>1579</v>
      </c>
      <c r="R174" s="616">
        <v>58910</v>
      </c>
      <c r="S174" s="616">
        <v>33010</v>
      </c>
      <c r="T174" s="616">
        <v>91920</v>
      </c>
      <c r="U174" s="616">
        <v>168</v>
      </c>
      <c r="V174" s="616">
        <v>96</v>
      </c>
      <c r="W174" s="616">
        <v>264</v>
      </c>
    </row>
    <row r="175" spans="1:23" x14ac:dyDescent="0.35">
      <c r="A175" s="655"/>
      <c r="B175" s="530" t="s">
        <v>959</v>
      </c>
      <c r="C175" s="601">
        <v>6169</v>
      </c>
      <c r="D175" s="601">
        <v>2534</v>
      </c>
      <c r="E175" s="601">
        <v>8703</v>
      </c>
      <c r="F175" s="601">
        <v>4546</v>
      </c>
      <c r="G175" s="601">
        <v>2705</v>
      </c>
      <c r="H175" s="601">
        <v>7251</v>
      </c>
      <c r="I175" s="601">
        <v>41303</v>
      </c>
      <c r="J175" s="601">
        <v>24412</v>
      </c>
      <c r="K175" s="601">
        <v>65715</v>
      </c>
      <c r="L175" s="601">
        <v>3050</v>
      </c>
      <c r="M175" s="601">
        <v>1380</v>
      </c>
      <c r="N175" s="601">
        <v>4430</v>
      </c>
      <c r="O175" s="601">
        <v>785</v>
      </c>
      <c r="P175" s="601">
        <v>462</v>
      </c>
      <c r="Q175" s="601">
        <v>1247</v>
      </c>
      <c r="R175" s="601">
        <v>55991</v>
      </c>
      <c r="S175" s="601">
        <v>31584</v>
      </c>
      <c r="T175" s="601">
        <v>87575</v>
      </c>
      <c r="U175" s="601">
        <v>138</v>
      </c>
      <c r="V175" s="601">
        <v>91</v>
      </c>
      <c r="W175" s="601">
        <v>229</v>
      </c>
    </row>
    <row r="176" spans="1:23" x14ac:dyDescent="0.35">
      <c r="A176" s="655"/>
      <c r="B176" s="530" t="s">
        <v>958</v>
      </c>
      <c r="C176" s="601">
        <v>5510</v>
      </c>
      <c r="D176" s="601">
        <v>2235</v>
      </c>
      <c r="E176" s="601">
        <v>7745</v>
      </c>
      <c r="F176" s="601">
        <v>4493</v>
      </c>
      <c r="G176" s="601">
        <v>2795</v>
      </c>
      <c r="H176" s="601">
        <v>7288</v>
      </c>
      <c r="I176" s="601">
        <v>39389</v>
      </c>
      <c r="J176" s="601">
        <v>23318</v>
      </c>
      <c r="K176" s="601">
        <v>62707</v>
      </c>
      <c r="L176" s="601">
        <v>2849</v>
      </c>
      <c r="M176" s="601">
        <v>1269</v>
      </c>
      <c r="N176" s="601">
        <v>4118</v>
      </c>
      <c r="O176" s="601">
        <v>668</v>
      </c>
      <c r="P176" s="601">
        <v>368</v>
      </c>
      <c r="Q176" s="601">
        <v>1036</v>
      </c>
      <c r="R176" s="601">
        <v>52909</v>
      </c>
      <c r="S176" s="601">
        <v>29985</v>
      </c>
      <c r="T176" s="601">
        <v>82894</v>
      </c>
      <c r="U176" s="601">
        <v>174</v>
      </c>
      <c r="V176" s="601">
        <v>124</v>
      </c>
      <c r="W176" s="601">
        <v>298</v>
      </c>
    </row>
    <row r="177" spans="1:43" x14ac:dyDescent="0.35">
      <c r="A177" s="655"/>
      <c r="B177" s="530" t="s">
        <v>957</v>
      </c>
      <c r="C177" s="603">
        <v>5528</v>
      </c>
      <c r="D177" s="603">
        <v>2113</v>
      </c>
      <c r="E177" s="603">
        <v>7641</v>
      </c>
      <c r="F177" s="603">
        <v>4555</v>
      </c>
      <c r="G177" s="603">
        <v>2778</v>
      </c>
      <c r="H177" s="603">
        <v>7333</v>
      </c>
      <c r="I177" s="603">
        <v>37771</v>
      </c>
      <c r="J177" s="603">
        <v>22511</v>
      </c>
      <c r="K177" s="603">
        <v>60282</v>
      </c>
      <c r="L177" s="603">
        <v>2794</v>
      </c>
      <c r="M177" s="603">
        <v>1245</v>
      </c>
      <c r="N177" s="603">
        <v>4039</v>
      </c>
      <c r="O177" s="603">
        <v>555</v>
      </c>
      <c r="P177" s="603">
        <v>298</v>
      </c>
      <c r="Q177" s="603">
        <v>853</v>
      </c>
      <c r="R177" s="603">
        <v>51359</v>
      </c>
      <c r="S177" s="603">
        <v>29061</v>
      </c>
      <c r="T177" s="603">
        <v>80420</v>
      </c>
      <c r="U177" s="603">
        <v>156</v>
      </c>
      <c r="V177" s="603">
        <v>116</v>
      </c>
      <c r="W177" s="603">
        <v>272</v>
      </c>
    </row>
    <row r="178" spans="1:43" x14ac:dyDescent="0.35">
      <c r="A178" s="655"/>
      <c r="B178" s="530" t="s">
        <v>956</v>
      </c>
      <c r="C178" s="603">
        <v>5152</v>
      </c>
      <c r="D178" s="603">
        <v>1913</v>
      </c>
      <c r="E178" s="603">
        <v>7065</v>
      </c>
      <c r="F178" s="603">
        <v>4322</v>
      </c>
      <c r="G178" s="603">
        <v>2797</v>
      </c>
      <c r="H178" s="603">
        <v>7119</v>
      </c>
      <c r="I178" s="603">
        <v>36311</v>
      </c>
      <c r="J178" s="603">
        <v>22011</v>
      </c>
      <c r="K178" s="603">
        <v>58322</v>
      </c>
      <c r="L178" s="603">
        <v>2575</v>
      </c>
      <c r="M178" s="603">
        <v>1206</v>
      </c>
      <c r="N178" s="603">
        <v>3781</v>
      </c>
      <c r="O178" s="603">
        <v>515</v>
      </c>
      <c r="P178" s="603">
        <v>295</v>
      </c>
      <c r="Q178" s="603">
        <v>810</v>
      </c>
      <c r="R178" s="603">
        <v>49032</v>
      </c>
      <c r="S178" s="603">
        <v>28345</v>
      </c>
      <c r="T178" s="603">
        <v>77377</v>
      </c>
      <c r="U178" s="603">
        <v>157</v>
      </c>
      <c r="V178" s="603">
        <v>123</v>
      </c>
      <c r="W178" s="603">
        <v>280</v>
      </c>
    </row>
    <row r="179" spans="1:43" ht="14.5" x14ac:dyDescent="0.35">
      <c r="A179" s="655">
        <v>29</v>
      </c>
      <c r="B179" s="649" t="s">
        <v>39</v>
      </c>
      <c r="C179" s="650"/>
      <c r="D179" s="650"/>
      <c r="E179" s="650"/>
      <c r="F179" s="650"/>
      <c r="G179" s="650"/>
      <c r="H179" s="650"/>
      <c r="I179" s="650"/>
      <c r="J179" s="650"/>
      <c r="K179" s="650"/>
      <c r="L179" s="650"/>
      <c r="M179" s="650"/>
      <c r="N179" s="650"/>
      <c r="O179" s="650"/>
      <c r="P179" s="650"/>
      <c r="Q179" s="650"/>
      <c r="R179" s="650"/>
      <c r="S179" s="650"/>
      <c r="T179" s="650"/>
      <c r="U179" s="650"/>
      <c r="V179" s="650"/>
      <c r="W179" s="651"/>
    </row>
    <row r="180" spans="1:43" x14ac:dyDescent="0.35">
      <c r="A180" s="655"/>
      <c r="B180" s="529" t="s">
        <v>960</v>
      </c>
      <c r="C180" s="616">
        <v>95</v>
      </c>
      <c r="D180" s="616">
        <v>39</v>
      </c>
      <c r="E180" s="616">
        <v>134</v>
      </c>
      <c r="F180" s="616">
        <v>125</v>
      </c>
      <c r="G180" s="616">
        <v>54</v>
      </c>
      <c r="H180" s="616">
        <v>179</v>
      </c>
      <c r="I180" s="616">
        <v>711</v>
      </c>
      <c r="J180" s="616">
        <v>561</v>
      </c>
      <c r="K180" s="616">
        <v>1272</v>
      </c>
      <c r="L180" s="616">
        <v>15</v>
      </c>
      <c r="M180" s="616">
        <v>68</v>
      </c>
      <c r="N180" s="616">
        <v>83</v>
      </c>
      <c r="O180" s="616">
        <v>12</v>
      </c>
      <c r="P180" s="616">
        <v>13</v>
      </c>
      <c r="Q180" s="616">
        <v>25</v>
      </c>
      <c r="R180" s="616">
        <v>958</v>
      </c>
      <c r="S180" s="616">
        <v>735</v>
      </c>
      <c r="T180" s="616">
        <v>1693</v>
      </c>
      <c r="U180" s="616"/>
      <c r="V180" s="616"/>
      <c r="W180" s="616"/>
    </row>
    <row r="181" spans="1:43" x14ac:dyDescent="0.35">
      <c r="A181" s="655"/>
      <c r="B181" s="530" t="s">
        <v>959</v>
      </c>
      <c r="C181" s="601">
        <v>71</v>
      </c>
      <c r="D181" s="601">
        <v>30</v>
      </c>
      <c r="E181" s="601">
        <v>101</v>
      </c>
      <c r="F181" s="601">
        <v>133</v>
      </c>
      <c r="G181" s="601">
        <v>54</v>
      </c>
      <c r="H181" s="601">
        <v>187</v>
      </c>
      <c r="I181" s="601">
        <v>675</v>
      </c>
      <c r="J181" s="601">
        <v>526</v>
      </c>
      <c r="K181" s="601">
        <v>1201</v>
      </c>
      <c r="L181" s="601">
        <v>19</v>
      </c>
      <c r="M181" s="601">
        <v>42</v>
      </c>
      <c r="N181" s="601">
        <v>61</v>
      </c>
      <c r="O181" s="601">
        <v>9</v>
      </c>
      <c r="P181" s="601">
        <v>11</v>
      </c>
      <c r="Q181" s="601">
        <v>20</v>
      </c>
      <c r="R181" s="601">
        <v>907</v>
      </c>
      <c r="S181" s="601">
        <v>665</v>
      </c>
      <c r="T181" s="601">
        <v>1572</v>
      </c>
      <c r="U181" s="601"/>
      <c r="V181" s="601">
        <v>2</v>
      </c>
      <c r="W181" s="601">
        <v>2</v>
      </c>
    </row>
    <row r="182" spans="1:43" x14ac:dyDescent="0.35">
      <c r="A182" s="655"/>
      <c r="B182" s="530" t="s">
        <v>958</v>
      </c>
      <c r="C182" s="601">
        <v>77</v>
      </c>
      <c r="D182" s="601">
        <v>28</v>
      </c>
      <c r="E182" s="601">
        <v>105</v>
      </c>
      <c r="F182" s="601">
        <v>117</v>
      </c>
      <c r="G182" s="601">
        <v>54</v>
      </c>
      <c r="H182" s="601">
        <v>171</v>
      </c>
      <c r="I182" s="601">
        <v>665</v>
      </c>
      <c r="J182" s="601">
        <v>480</v>
      </c>
      <c r="K182" s="601">
        <v>1145</v>
      </c>
      <c r="L182" s="601">
        <v>25</v>
      </c>
      <c r="M182" s="601">
        <v>46</v>
      </c>
      <c r="N182" s="601">
        <v>71</v>
      </c>
      <c r="O182" s="601">
        <v>7</v>
      </c>
      <c r="P182" s="601">
        <v>9</v>
      </c>
      <c r="Q182" s="601">
        <v>16</v>
      </c>
      <c r="R182" s="601">
        <v>891</v>
      </c>
      <c r="S182" s="601">
        <v>617</v>
      </c>
      <c r="T182" s="601">
        <v>1508</v>
      </c>
      <c r="U182" s="601"/>
      <c r="V182" s="601">
        <v>1</v>
      </c>
      <c r="W182" s="601">
        <v>1</v>
      </c>
    </row>
    <row r="183" spans="1:43" x14ac:dyDescent="0.35">
      <c r="A183" s="655"/>
      <c r="B183" s="530" t="s">
        <v>957</v>
      </c>
      <c r="C183" s="603">
        <v>97</v>
      </c>
      <c r="D183" s="603">
        <v>32</v>
      </c>
      <c r="E183" s="603">
        <v>129</v>
      </c>
      <c r="F183" s="603">
        <v>137</v>
      </c>
      <c r="G183" s="603">
        <v>62</v>
      </c>
      <c r="H183" s="603">
        <v>199</v>
      </c>
      <c r="I183" s="603">
        <v>728</v>
      </c>
      <c r="J183" s="603">
        <v>550</v>
      </c>
      <c r="K183" s="603">
        <v>1278</v>
      </c>
      <c r="L183" s="603">
        <v>25</v>
      </c>
      <c r="M183" s="603">
        <v>75</v>
      </c>
      <c r="N183" s="603">
        <v>100</v>
      </c>
      <c r="O183" s="603">
        <v>6</v>
      </c>
      <c r="P183" s="603">
        <v>7</v>
      </c>
      <c r="Q183" s="603">
        <v>13</v>
      </c>
      <c r="R183" s="603">
        <v>996</v>
      </c>
      <c r="S183" s="603">
        <v>728</v>
      </c>
      <c r="T183" s="603">
        <v>1724</v>
      </c>
      <c r="U183" s="603">
        <v>3</v>
      </c>
      <c r="V183" s="603">
        <v>2</v>
      </c>
      <c r="W183" s="603">
        <v>5</v>
      </c>
    </row>
    <row r="184" spans="1:43" x14ac:dyDescent="0.35">
      <c r="A184" s="655"/>
      <c r="B184" s="530" t="s">
        <v>956</v>
      </c>
      <c r="C184" s="603">
        <v>101</v>
      </c>
      <c r="D184" s="603">
        <v>29</v>
      </c>
      <c r="E184" s="603">
        <v>130</v>
      </c>
      <c r="F184" s="603">
        <v>132</v>
      </c>
      <c r="G184" s="603">
        <v>59</v>
      </c>
      <c r="H184" s="603">
        <v>191</v>
      </c>
      <c r="I184" s="603">
        <v>729</v>
      </c>
      <c r="J184" s="603">
        <v>537</v>
      </c>
      <c r="K184" s="603">
        <v>1266</v>
      </c>
      <c r="L184" s="603">
        <v>26</v>
      </c>
      <c r="M184" s="603">
        <v>52</v>
      </c>
      <c r="N184" s="603">
        <v>78</v>
      </c>
      <c r="O184" s="603">
        <v>8</v>
      </c>
      <c r="P184" s="603">
        <v>30</v>
      </c>
      <c r="Q184" s="603">
        <v>38</v>
      </c>
      <c r="R184" s="603">
        <v>1000</v>
      </c>
      <c r="S184" s="603">
        <v>711</v>
      </c>
      <c r="T184" s="603">
        <v>1711</v>
      </c>
      <c r="U184" s="603">
        <v>4</v>
      </c>
      <c r="V184" s="603">
        <v>4</v>
      </c>
      <c r="W184" s="603">
        <v>8</v>
      </c>
    </row>
    <row r="185" spans="1:43" ht="14.5" x14ac:dyDescent="0.35">
      <c r="A185" s="655">
        <v>30</v>
      </c>
      <c r="B185" s="649" t="s">
        <v>40</v>
      </c>
      <c r="C185" s="650"/>
      <c r="D185" s="650"/>
      <c r="E185" s="650"/>
      <c r="F185" s="650"/>
      <c r="G185" s="650"/>
      <c r="H185" s="650"/>
      <c r="I185" s="650"/>
      <c r="J185" s="650"/>
      <c r="K185" s="650"/>
      <c r="L185" s="650"/>
      <c r="M185" s="650"/>
      <c r="N185" s="650"/>
      <c r="O185" s="650"/>
      <c r="P185" s="650"/>
      <c r="Q185" s="650"/>
      <c r="R185" s="650"/>
      <c r="S185" s="650"/>
      <c r="T185" s="650"/>
      <c r="U185" s="650"/>
      <c r="V185" s="650"/>
      <c r="W185" s="651"/>
    </row>
    <row r="186" spans="1:43" x14ac:dyDescent="0.35">
      <c r="A186" s="655"/>
      <c r="B186" s="529" t="s">
        <v>960</v>
      </c>
      <c r="C186" s="616">
        <v>12039</v>
      </c>
      <c r="D186" s="616">
        <v>6993</v>
      </c>
      <c r="E186" s="616">
        <v>19032</v>
      </c>
      <c r="F186" s="616">
        <v>13151</v>
      </c>
      <c r="G186" s="616">
        <v>10838</v>
      </c>
      <c r="H186" s="616">
        <v>23989</v>
      </c>
      <c r="I186" s="616">
        <v>71165</v>
      </c>
      <c r="J186" s="616">
        <v>84783</v>
      </c>
      <c r="K186" s="616">
        <v>155948</v>
      </c>
      <c r="L186" s="616">
        <v>3152</v>
      </c>
      <c r="M186" s="616">
        <v>7863</v>
      </c>
      <c r="N186" s="616">
        <v>11015</v>
      </c>
      <c r="O186" s="616">
        <v>3621</v>
      </c>
      <c r="P186" s="616">
        <v>4532</v>
      </c>
      <c r="Q186" s="616">
        <v>8153</v>
      </c>
      <c r="R186" s="616">
        <v>103450</v>
      </c>
      <c r="S186" s="616">
        <v>115206</v>
      </c>
      <c r="T186" s="616">
        <v>218656</v>
      </c>
      <c r="U186" s="616">
        <v>322</v>
      </c>
      <c r="V186" s="616">
        <v>197</v>
      </c>
      <c r="W186" s="616">
        <v>519</v>
      </c>
    </row>
    <row r="187" spans="1:43" x14ac:dyDescent="0.35">
      <c r="A187" s="655"/>
      <c r="B187" s="530" t="s">
        <v>959</v>
      </c>
      <c r="C187" s="601">
        <v>12066</v>
      </c>
      <c r="D187" s="601">
        <v>6626</v>
      </c>
      <c r="E187" s="601">
        <v>18692</v>
      </c>
      <c r="F187" s="601">
        <v>12485</v>
      </c>
      <c r="G187" s="601">
        <v>9800</v>
      </c>
      <c r="H187" s="601">
        <v>22285</v>
      </c>
      <c r="I187" s="601">
        <v>73700</v>
      </c>
      <c r="J187" s="601">
        <v>82925</v>
      </c>
      <c r="K187" s="601">
        <v>156625</v>
      </c>
      <c r="L187" s="601">
        <v>2895</v>
      </c>
      <c r="M187" s="601">
        <v>7112</v>
      </c>
      <c r="N187" s="601">
        <v>10007</v>
      </c>
      <c r="O187" s="601">
        <v>3073</v>
      </c>
      <c r="P187" s="601">
        <v>4012</v>
      </c>
      <c r="Q187" s="601">
        <v>7085</v>
      </c>
      <c r="R187" s="601">
        <v>104549</v>
      </c>
      <c r="S187" s="601">
        <v>110678</v>
      </c>
      <c r="T187" s="601">
        <v>215227</v>
      </c>
      <c r="U187" s="601">
        <v>330</v>
      </c>
      <c r="V187" s="601">
        <v>203</v>
      </c>
      <c r="W187" s="601">
        <v>533</v>
      </c>
    </row>
    <row r="188" spans="1:43" x14ac:dyDescent="0.35">
      <c r="A188" s="655"/>
      <c r="B188" s="530" t="s">
        <v>958</v>
      </c>
      <c r="C188" s="601">
        <v>11861</v>
      </c>
      <c r="D188" s="601">
        <v>6432</v>
      </c>
      <c r="E188" s="601">
        <v>18293</v>
      </c>
      <c r="F188" s="601">
        <v>12005</v>
      </c>
      <c r="G188" s="601">
        <v>9051</v>
      </c>
      <c r="H188" s="601">
        <v>21056</v>
      </c>
      <c r="I188" s="601">
        <v>74008</v>
      </c>
      <c r="J188" s="601">
        <v>80006</v>
      </c>
      <c r="K188" s="601">
        <v>154014</v>
      </c>
      <c r="L188" s="601">
        <v>2633</v>
      </c>
      <c r="M188" s="601">
        <v>6319</v>
      </c>
      <c r="N188" s="601">
        <v>8952</v>
      </c>
      <c r="O188" s="601">
        <v>2621</v>
      </c>
      <c r="P188" s="601">
        <v>3302</v>
      </c>
      <c r="Q188" s="601">
        <v>5923</v>
      </c>
      <c r="R188" s="601">
        <v>103128</v>
      </c>
      <c r="S188" s="601">
        <v>105110</v>
      </c>
      <c r="T188" s="601">
        <v>208238</v>
      </c>
      <c r="U188" s="601">
        <v>288</v>
      </c>
      <c r="V188" s="601">
        <v>210</v>
      </c>
      <c r="W188" s="601">
        <v>498</v>
      </c>
    </row>
    <row r="189" spans="1:43" ht="14.5" customHeight="1" x14ac:dyDescent="0.35">
      <c r="A189" s="655"/>
      <c r="B189" s="530" t="s">
        <v>957</v>
      </c>
      <c r="C189" s="603">
        <v>11698</v>
      </c>
      <c r="D189" s="603">
        <v>6208</v>
      </c>
      <c r="E189" s="603">
        <v>17906</v>
      </c>
      <c r="F189" s="603">
        <v>11938</v>
      </c>
      <c r="G189" s="603">
        <v>9102</v>
      </c>
      <c r="H189" s="603">
        <v>21040</v>
      </c>
      <c r="I189" s="603">
        <v>73391</v>
      </c>
      <c r="J189" s="603">
        <v>77627</v>
      </c>
      <c r="K189" s="603">
        <v>151018</v>
      </c>
      <c r="L189" s="603">
        <v>2302</v>
      </c>
      <c r="M189" s="603">
        <v>5626</v>
      </c>
      <c r="N189" s="603">
        <v>7928</v>
      </c>
      <c r="O189" s="603">
        <v>2247</v>
      </c>
      <c r="P189" s="603">
        <v>2779</v>
      </c>
      <c r="Q189" s="603">
        <v>5026</v>
      </c>
      <c r="R189" s="603">
        <v>101876</v>
      </c>
      <c r="S189" s="603">
        <v>101539</v>
      </c>
      <c r="T189" s="603">
        <v>203415</v>
      </c>
      <c r="U189" s="603">
        <v>300</v>
      </c>
      <c r="V189" s="603">
        <v>197</v>
      </c>
      <c r="W189" s="603">
        <v>497</v>
      </c>
      <c r="X189" s="533"/>
      <c r="Y189" s="533"/>
      <c r="Z189" s="533"/>
      <c r="AA189" s="533"/>
      <c r="AB189" s="533"/>
      <c r="AC189" s="534"/>
      <c r="AD189" s="534"/>
      <c r="AE189" s="513"/>
      <c r="AF189" s="535"/>
      <c r="AG189" s="534"/>
      <c r="AH189" s="534"/>
      <c r="AI189" s="534"/>
      <c r="AJ189" s="534"/>
      <c r="AK189" s="534"/>
      <c r="AL189" s="534"/>
      <c r="AM189" s="534"/>
      <c r="AN189" s="534"/>
      <c r="AO189" s="534"/>
      <c r="AP189" s="534"/>
      <c r="AQ189" s="513"/>
    </row>
    <row r="190" spans="1:43" ht="13.75" customHeight="1" x14ac:dyDescent="0.35">
      <c r="A190" s="655"/>
      <c r="B190" s="530" t="s">
        <v>956</v>
      </c>
      <c r="C190" s="603">
        <v>11804</v>
      </c>
      <c r="D190" s="603">
        <v>5628</v>
      </c>
      <c r="E190" s="603">
        <v>17432</v>
      </c>
      <c r="F190" s="603">
        <v>11581</v>
      </c>
      <c r="G190" s="603">
        <v>8847</v>
      </c>
      <c r="H190" s="603">
        <v>20428</v>
      </c>
      <c r="I190" s="603">
        <v>74366</v>
      </c>
      <c r="J190" s="603">
        <v>77009</v>
      </c>
      <c r="K190" s="603">
        <v>151375</v>
      </c>
      <c r="L190" s="603">
        <v>2286</v>
      </c>
      <c r="M190" s="603">
        <v>5484</v>
      </c>
      <c r="N190" s="603">
        <v>7770</v>
      </c>
      <c r="O190" s="603">
        <v>2223</v>
      </c>
      <c r="P190" s="603">
        <v>2512</v>
      </c>
      <c r="Q190" s="603">
        <v>4735</v>
      </c>
      <c r="R190" s="603">
        <v>102469</v>
      </c>
      <c r="S190" s="603">
        <v>99616</v>
      </c>
      <c r="T190" s="603">
        <v>202085</v>
      </c>
      <c r="U190" s="603">
        <v>209</v>
      </c>
      <c r="V190" s="603">
        <v>136</v>
      </c>
      <c r="W190" s="603">
        <v>345</v>
      </c>
      <c r="X190" s="536"/>
      <c r="Y190" s="536"/>
      <c r="Z190" s="536"/>
      <c r="AA190" s="536"/>
      <c r="AB190" s="536"/>
      <c r="AC190" s="514">
        <v>85</v>
      </c>
      <c r="AD190" s="514">
        <v>78</v>
      </c>
      <c r="AE190" s="514">
        <v>163</v>
      </c>
      <c r="AF190" s="514">
        <v>4</v>
      </c>
      <c r="AG190" s="514">
        <v>8</v>
      </c>
      <c r="AH190" s="514">
        <v>12</v>
      </c>
      <c r="AI190" s="514">
        <v>11</v>
      </c>
      <c r="AJ190" s="514">
        <v>4</v>
      </c>
      <c r="AK190" s="514">
        <v>15</v>
      </c>
      <c r="AL190" s="514">
        <v>107</v>
      </c>
      <c r="AM190" s="514">
        <v>92</v>
      </c>
      <c r="AN190" s="514">
        <v>199</v>
      </c>
      <c r="AO190" s="514">
        <v>0</v>
      </c>
      <c r="AP190" s="514">
        <v>1</v>
      </c>
      <c r="AQ190" s="514">
        <v>1</v>
      </c>
    </row>
    <row r="191" spans="1:43" ht="13.75" customHeight="1" x14ac:dyDescent="0.35">
      <c r="A191" s="655">
        <v>31</v>
      </c>
      <c r="B191" s="649" t="s">
        <v>41</v>
      </c>
      <c r="C191" s="650"/>
      <c r="D191" s="650"/>
      <c r="E191" s="650"/>
      <c r="F191" s="650"/>
      <c r="G191" s="650"/>
      <c r="H191" s="650"/>
      <c r="I191" s="650"/>
      <c r="J191" s="650"/>
      <c r="K191" s="650"/>
      <c r="L191" s="650"/>
      <c r="M191" s="650"/>
      <c r="N191" s="650"/>
      <c r="O191" s="650"/>
      <c r="P191" s="650"/>
      <c r="Q191" s="650"/>
      <c r="R191" s="650"/>
      <c r="S191" s="650"/>
      <c r="T191" s="650"/>
      <c r="U191" s="650"/>
      <c r="V191" s="650"/>
      <c r="W191" s="651"/>
      <c r="X191" s="536"/>
      <c r="Y191" s="536"/>
      <c r="Z191" s="536"/>
      <c r="AA191" s="536"/>
      <c r="AB191" s="536"/>
      <c r="AC191" s="514">
        <v>70</v>
      </c>
      <c r="AD191" s="514">
        <v>30</v>
      </c>
      <c r="AE191" s="514">
        <v>100</v>
      </c>
      <c r="AF191" s="514">
        <v>0</v>
      </c>
      <c r="AG191" s="514">
        <v>0</v>
      </c>
      <c r="AH191" s="514">
        <v>0</v>
      </c>
      <c r="AI191" s="514">
        <v>12</v>
      </c>
      <c r="AJ191" s="514">
        <v>4</v>
      </c>
      <c r="AK191" s="514">
        <v>16</v>
      </c>
      <c r="AL191" s="514">
        <v>113</v>
      </c>
      <c r="AM191" s="514">
        <v>46</v>
      </c>
      <c r="AN191" s="514">
        <v>159</v>
      </c>
      <c r="AO191" s="514">
        <v>0</v>
      </c>
      <c r="AP191" s="514">
        <v>0</v>
      </c>
      <c r="AQ191" s="514">
        <v>0</v>
      </c>
    </row>
    <row r="192" spans="1:43" ht="13.75" customHeight="1" x14ac:dyDescent="0.35">
      <c r="A192" s="655"/>
      <c r="B192" s="529" t="s">
        <v>960</v>
      </c>
      <c r="C192" s="616">
        <v>5511</v>
      </c>
      <c r="D192" s="616">
        <v>2161</v>
      </c>
      <c r="E192" s="616">
        <v>7672</v>
      </c>
      <c r="F192" s="616">
        <v>5435</v>
      </c>
      <c r="G192" s="616">
        <v>3210</v>
      </c>
      <c r="H192" s="616">
        <v>8645</v>
      </c>
      <c r="I192" s="616">
        <v>32393</v>
      </c>
      <c r="J192" s="616">
        <v>28474</v>
      </c>
      <c r="K192" s="616">
        <v>60867</v>
      </c>
      <c r="L192" s="616">
        <v>1378</v>
      </c>
      <c r="M192" s="616">
        <v>3008</v>
      </c>
      <c r="N192" s="616">
        <v>4386</v>
      </c>
      <c r="O192" s="616">
        <v>1580</v>
      </c>
      <c r="P192" s="616">
        <v>1327</v>
      </c>
      <c r="Q192" s="616">
        <v>2907</v>
      </c>
      <c r="R192" s="616">
        <v>46360</v>
      </c>
      <c r="S192" s="616">
        <v>38208</v>
      </c>
      <c r="T192" s="616">
        <v>84568</v>
      </c>
      <c r="U192" s="616">
        <v>63</v>
      </c>
      <c r="V192" s="616">
        <v>28</v>
      </c>
      <c r="W192" s="616">
        <v>91</v>
      </c>
      <c r="X192" s="536"/>
      <c r="Y192" s="536"/>
      <c r="Z192" s="536"/>
      <c r="AA192" s="536"/>
      <c r="AB192" s="536"/>
      <c r="AC192" s="514"/>
      <c r="AD192" s="514"/>
      <c r="AE192" s="514"/>
      <c r="AF192" s="514"/>
      <c r="AG192" s="514"/>
      <c r="AH192" s="514"/>
      <c r="AI192" s="514"/>
      <c r="AJ192" s="514"/>
      <c r="AK192" s="514"/>
      <c r="AL192" s="514"/>
      <c r="AM192" s="514"/>
      <c r="AN192" s="514"/>
      <c r="AO192" s="514"/>
      <c r="AP192" s="514"/>
      <c r="AQ192" s="514"/>
    </row>
    <row r="193" spans="1:43" ht="13.75" customHeight="1" x14ac:dyDescent="0.35">
      <c r="A193" s="655"/>
      <c r="B193" s="530" t="s">
        <v>959</v>
      </c>
      <c r="C193" s="601">
        <v>5426</v>
      </c>
      <c r="D193" s="601">
        <v>1994</v>
      </c>
      <c r="E193" s="601">
        <v>7420</v>
      </c>
      <c r="F193" s="601">
        <v>5192</v>
      </c>
      <c r="G193" s="601">
        <v>2975</v>
      </c>
      <c r="H193" s="601">
        <v>8167</v>
      </c>
      <c r="I193" s="601">
        <v>33062</v>
      </c>
      <c r="J193" s="601">
        <v>27153</v>
      </c>
      <c r="K193" s="601">
        <v>60215</v>
      </c>
      <c r="L193" s="601">
        <v>1214</v>
      </c>
      <c r="M193" s="601">
        <v>2759</v>
      </c>
      <c r="N193" s="601">
        <v>3973</v>
      </c>
      <c r="O193" s="601">
        <v>1580</v>
      </c>
      <c r="P193" s="601">
        <v>1305</v>
      </c>
      <c r="Q193" s="601">
        <v>2885</v>
      </c>
      <c r="R193" s="601">
        <v>46541</v>
      </c>
      <c r="S193" s="601">
        <v>36211</v>
      </c>
      <c r="T193" s="601">
        <v>82752</v>
      </c>
      <c r="U193" s="601">
        <v>67</v>
      </c>
      <c r="V193" s="601">
        <v>25</v>
      </c>
      <c r="W193" s="601">
        <v>92</v>
      </c>
      <c r="X193" s="536"/>
      <c r="Y193" s="536"/>
      <c r="Z193" s="536"/>
      <c r="AA193" s="536"/>
      <c r="AB193" s="536"/>
      <c r="AC193" s="514"/>
      <c r="AD193" s="514"/>
      <c r="AE193" s="514"/>
      <c r="AF193" s="514"/>
      <c r="AG193" s="514"/>
      <c r="AH193" s="514"/>
      <c r="AI193" s="514"/>
      <c r="AJ193" s="514"/>
      <c r="AK193" s="514"/>
      <c r="AL193" s="514"/>
      <c r="AM193" s="514"/>
      <c r="AN193" s="514"/>
      <c r="AO193" s="514"/>
      <c r="AP193" s="514"/>
      <c r="AQ193" s="514"/>
    </row>
    <row r="194" spans="1:43" ht="13.75" customHeight="1" x14ac:dyDescent="0.35">
      <c r="A194" s="655"/>
      <c r="B194" s="530" t="s">
        <v>958</v>
      </c>
      <c r="C194" s="601">
        <v>5622</v>
      </c>
      <c r="D194" s="601">
        <v>1921</v>
      </c>
      <c r="E194" s="601">
        <v>7543</v>
      </c>
      <c r="F194" s="601">
        <v>5132</v>
      </c>
      <c r="G194" s="601">
        <v>2990</v>
      </c>
      <c r="H194" s="601">
        <v>8122</v>
      </c>
      <c r="I194" s="601">
        <v>35041</v>
      </c>
      <c r="J194" s="601">
        <v>26885</v>
      </c>
      <c r="K194" s="601">
        <v>61926</v>
      </c>
      <c r="L194" s="601">
        <v>1179</v>
      </c>
      <c r="M194" s="601">
        <v>2528</v>
      </c>
      <c r="N194" s="601">
        <v>3707</v>
      </c>
      <c r="O194" s="601">
        <v>1500</v>
      </c>
      <c r="P194" s="601">
        <v>1152</v>
      </c>
      <c r="Q194" s="601">
        <v>2652</v>
      </c>
      <c r="R194" s="601">
        <v>48474</v>
      </c>
      <c r="S194" s="601">
        <v>35476</v>
      </c>
      <c r="T194" s="601">
        <v>83950</v>
      </c>
      <c r="U194" s="601">
        <v>96</v>
      </c>
      <c r="V194" s="601">
        <v>40</v>
      </c>
      <c r="W194" s="601">
        <v>136</v>
      </c>
      <c r="X194" s="536"/>
      <c r="Y194" s="536"/>
      <c r="Z194" s="536"/>
      <c r="AA194" s="536"/>
      <c r="AB194" s="536"/>
      <c r="AC194" s="514"/>
      <c r="AD194" s="514"/>
      <c r="AE194" s="514"/>
      <c r="AF194" s="514"/>
      <c r="AG194" s="514"/>
      <c r="AH194" s="514"/>
      <c r="AI194" s="514"/>
      <c r="AJ194" s="514"/>
      <c r="AK194" s="514"/>
      <c r="AL194" s="514"/>
      <c r="AM194" s="514"/>
      <c r="AN194" s="514"/>
      <c r="AO194" s="514"/>
      <c r="AP194" s="514"/>
      <c r="AQ194" s="514"/>
    </row>
    <row r="195" spans="1:43" ht="13.75" customHeight="1" x14ac:dyDescent="0.35">
      <c r="A195" s="655"/>
      <c r="B195" s="530" t="s">
        <v>957</v>
      </c>
      <c r="C195" s="603">
        <v>5597</v>
      </c>
      <c r="D195" s="603">
        <v>1828</v>
      </c>
      <c r="E195" s="603">
        <v>7425</v>
      </c>
      <c r="F195" s="603">
        <v>4884</v>
      </c>
      <c r="G195" s="603">
        <v>2783</v>
      </c>
      <c r="H195" s="603">
        <v>7667</v>
      </c>
      <c r="I195" s="603">
        <v>36181</v>
      </c>
      <c r="J195" s="603">
        <v>26353</v>
      </c>
      <c r="K195" s="603">
        <v>62534</v>
      </c>
      <c r="L195" s="603">
        <v>778</v>
      </c>
      <c r="M195" s="603">
        <v>2258</v>
      </c>
      <c r="N195" s="603">
        <v>3036</v>
      </c>
      <c r="O195" s="603">
        <v>1387</v>
      </c>
      <c r="P195" s="603">
        <v>951</v>
      </c>
      <c r="Q195" s="603">
        <v>2338</v>
      </c>
      <c r="R195" s="603">
        <v>48909</v>
      </c>
      <c r="S195" s="603">
        <v>34205</v>
      </c>
      <c r="T195" s="603">
        <v>83114</v>
      </c>
      <c r="U195" s="603">
        <v>82</v>
      </c>
      <c r="V195" s="603">
        <v>32</v>
      </c>
      <c r="W195" s="603">
        <v>114</v>
      </c>
      <c r="X195" s="536"/>
      <c r="Y195" s="536"/>
      <c r="Z195" s="536"/>
      <c r="AA195" s="536"/>
      <c r="AB195" s="536"/>
      <c r="AC195" s="514">
        <v>71</v>
      </c>
      <c r="AD195" s="514">
        <v>27</v>
      </c>
      <c r="AE195" s="514">
        <v>98</v>
      </c>
      <c r="AF195" s="514">
        <v>0</v>
      </c>
      <c r="AG195" s="514">
        <v>0</v>
      </c>
      <c r="AH195" s="514">
        <v>0</v>
      </c>
      <c r="AI195" s="514">
        <v>12</v>
      </c>
      <c r="AJ195" s="514">
        <v>5</v>
      </c>
      <c r="AK195" s="514">
        <v>17</v>
      </c>
      <c r="AL195" s="514">
        <v>120</v>
      </c>
      <c r="AM195" s="514">
        <v>43</v>
      </c>
      <c r="AN195" s="514">
        <v>163</v>
      </c>
      <c r="AO195" s="514">
        <v>0</v>
      </c>
      <c r="AP195" s="514">
        <v>0</v>
      </c>
      <c r="AQ195" s="514">
        <v>0</v>
      </c>
    </row>
    <row r="196" spans="1:43" ht="13.75" customHeight="1" x14ac:dyDescent="0.35">
      <c r="A196" s="655"/>
      <c r="B196" s="530" t="s">
        <v>956</v>
      </c>
      <c r="C196" s="603">
        <v>5482</v>
      </c>
      <c r="D196" s="603">
        <v>1708</v>
      </c>
      <c r="E196" s="603">
        <v>7190</v>
      </c>
      <c r="F196" s="603">
        <v>4715</v>
      </c>
      <c r="G196" s="603">
        <v>2729</v>
      </c>
      <c r="H196" s="603">
        <v>7444</v>
      </c>
      <c r="I196" s="603">
        <v>36653</v>
      </c>
      <c r="J196" s="603">
        <v>25470</v>
      </c>
      <c r="K196" s="603">
        <v>62123</v>
      </c>
      <c r="L196" s="603">
        <v>888</v>
      </c>
      <c r="M196" s="603">
        <v>2319</v>
      </c>
      <c r="N196" s="603">
        <v>3207</v>
      </c>
      <c r="O196" s="603">
        <v>1535</v>
      </c>
      <c r="P196" s="603">
        <v>1086</v>
      </c>
      <c r="Q196" s="603">
        <v>2621</v>
      </c>
      <c r="R196" s="603">
        <v>49351</v>
      </c>
      <c r="S196" s="603">
        <v>33352</v>
      </c>
      <c r="T196" s="603">
        <v>82703</v>
      </c>
      <c r="U196" s="603">
        <v>78</v>
      </c>
      <c r="V196" s="603">
        <v>40</v>
      </c>
      <c r="W196" s="603">
        <v>118</v>
      </c>
      <c r="X196" s="536"/>
      <c r="Y196" s="536"/>
      <c r="Z196" s="536"/>
      <c r="AA196" s="536"/>
      <c r="AB196" s="536"/>
    </row>
    <row r="197" spans="1:43" ht="14.5" x14ac:dyDescent="0.35">
      <c r="A197" s="655">
        <v>32</v>
      </c>
      <c r="B197" s="649" t="s">
        <v>58</v>
      </c>
      <c r="C197" s="650"/>
      <c r="D197" s="650"/>
      <c r="E197" s="650"/>
      <c r="F197" s="650"/>
      <c r="G197" s="650"/>
      <c r="H197" s="650"/>
      <c r="I197" s="650"/>
      <c r="J197" s="650"/>
      <c r="K197" s="650"/>
      <c r="L197" s="650"/>
      <c r="M197" s="650"/>
      <c r="N197" s="650"/>
      <c r="O197" s="650"/>
      <c r="P197" s="650"/>
      <c r="Q197" s="650"/>
      <c r="R197" s="650"/>
      <c r="S197" s="650"/>
      <c r="T197" s="650"/>
      <c r="U197" s="650"/>
      <c r="V197" s="650"/>
      <c r="W197" s="651"/>
    </row>
    <row r="198" spans="1:43" x14ac:dyDescent="0.35">
      <c r="A198" s="655"/>
      <c r="B198" s="529" t="s">
        <v>960</v>
      </c>
      <c r="C198" s="618">
        <v>23</v>
      </c>
      <c r="D198" s="618">
        <v>15</v>
      </c>
      <c r="E198" s="618">
        <v>38</v>
      </c>
      <c r="F198" s="618">
        <v>34</v>
      </c>
      <c r="G198" s="618">
        <v>23</v>
      </c>
      <c r="H198" s="618">
        <v>57</v>
      </c>
      <c r="I198" s="618">
        <v>230</v>
      </c>
      <c r="J198" s="618">
        <v>187</v>
      </c>
      <c r="K198" s="618">
        <v>417</v>
      </c>
      <c r="L198" s="618">
        <v>13</v>
      </c>
      <c r="M198" s="618">
        <v>58</v>
      </c>
      <c r="N198" s="618">
        <v>71</v>
      </c>
      <c r="O198" s="618">
        <v>19</v>
      </c>
      <c r="P198" s="618">
        <v>16</v>
      </c>
      <c r="Q198" s="618">
        <v>35</v>
      </c>
      <c r="R198" s="618">
        <v>336</v>
      </c>
      <c r="S198" s="618">
        <v>317</v>
      </c>
      <c r="T198" s="618">
        <v>653</v>
      </c>
      <c r="U198" s="618">
        <v>17</v>
      </c>
      <c r="V198" s="618">
        <v>18</v>
      </c>
      <c r="W198" s="618">
        <v>35</v>
      </c>
    </row>
    <row r="199" spans="1:43" x14ac:dyDescent="0.35">
      <c r="A199" s="655"/>
      <c r="B199" s="530" t="s">
        <v>959</v>
      </c>
      <c r="C199" s="603">
        <v>28</v>
      </c>
      <c r="D199" s="603">
        <v>13</v>
      </c>
      <c r="E199" s="603">
        <v>41</v>
      </c>
      <c r="F199" s="603">
        <v>32</v>
      </c>
      <c r="G199" s="603">
        <v>16</v>
      </c>
      <c r="H199" s="603">
        <v>48</v>
      </c>
      <c r="I199" s="603">
        <v>220</v>
      </c>
      <c r="J199" s="603">
        <v>174</v>
      </c>
      <c r="K199" s="603">
        <v>394</v>
      </c>
      <c r="L199" s="603">
        <v>17</v>
      </c>
      <c r="M199" s="603">
        <v>59</v>
      </c>
      <c r="N199" s="603">
        <v>76</v>
      </c>
      <c r="O199" s="603">
        <v>36</v>
      </c>
      <c r="P199" s="603">
        <v>31</v>
      </c>
      <c r="Q199" s="603">
        <v>67</v>
      </c>
      <c r="R199" s="603">
        <v>359</v>
      </c>
      <c r="S199" s="603">
        <v>313</v>
      </c>
      <c r="T199" s="603">
        <v>672</v>
      </c>
      <c r="U199" s="603">
        <v>26</v>
      </c>
      <c r="V199" s="603">
        <v>20</v>
      </c>
      <c r="W199" s="603">
        <v>46</v>
      </c>
    </row>
    <row r="200" spans="1:43" x14ac:dyDescent="0.35">
      <c r="A200" s="655"/>
      <c r="B200" s="530" t="s">
        <v>958</v>
      </c>
      <c r="C200" s="603">
        <v>26</v>
      </c>
      <c r="D200" s="603">
        <v>12</v>
      </c>
      <c r="E200" s="603">
        <v>38</v>
      </c>
      <c r="F200" s="603">
        <v>30</v>
      </c>
      <c r="G200" s="603">
        <v>14</v>
      </c>
      <c r="H200" s="603">
        <v>44</v>
      </c>
      <c r="I200" s="603">
        <v>231</v>
      </c>
      <c r="J200" s="603">
        <v>157</v>
      </c>
      <c r="K200" s="603">
        <v>388</v>
      </c>
      <c r="L200" s="603">
        <v>18</v>
      </c>
      <c r="M200" s="603">
        <v>60</v>
      </c>
      <c r="N200" s="603">
        <v>78</v>
      </c>
      <c r="O200" s="603">
        <v>36</v>
      </c>
      <c r="P200" s="603">
        <v>30</v>
      </c>
      <c r="Q200" s="603">
        <v>66</v>
      </c>
      <c r="R200" s="603">
        <v>341</v>
      </c>
      <c r="S200" s="603">
        <v>273</v>
      </c>
      <c r="T200" s="603">
        <v>614</v>
      </c>
      <c r="U200" s="603">
        <v>13</v>
      </c>
      <c r="V200" s="603">
        <v>8</v>
      </c>
      <c r="W200" s="603">
        <v>21</v>
      </c>
    </row>
    <row r="201" spans="1:43" x14ac:dyDescent="0.35">
      <c r="A201" s="655"/>
      <c r="B201" s="530" t="s">
        <v>957</v>
      </c>
      <c r="C201" s="603">
        <v>22</v>
      </c>
      <c r="D201" s="603">
        <v>11</v>
      </c>
      <c r="E201" s="603">
        <v>33</v>
      </c>
      <c r="F201" s="603">
        <v>35</v>
      </c>
      <c r="G201" s="603">
        <v>18</v>
      </c>
      <c r="H201" s="603">
        <v>53</v>
      </c>
      <c r="I201" s="603">
        <v>232</v>
      </c>
      <c r="J201" s="603">
        <v>157</v>
      </c>
      <c r="K201" s="603">
        <v>389</v>
      </c>
      <c r="L201" s="603">
        <v>17</v>
      </c>
      <c r="M201" s="603">
        <v>63</v>
      </c>
      <c r="N201" s="603">
        <v>80</v>
      </c>
      <c r="O201" s="603">
        <v>10</v>
      </c>
      <c r="P201" s="603">
        <v>1</v>
      </c>
      <c r="Q201" s="603">
        <v>11</v>
      </c>
      <c r="R201" s="603">
        <v>321</v>
      </c>
      <c r="S201" s="603">
        <v>256</v>
      </c>
      <c r="T201" s="603">
        <v>577</v>
      </c>
      <c r="U201" s="603">
        <v>5</v>
      </c>
      <c r="V201" s="603">
        <v>6</v>
      </c>
      <c r="W201" s="603">
        <v>11</v>
      </c>
    </row>
    <row r="202" spans="1:43" x14ac:dyDescent="0.35">
      <c r="A202" s="655"/>
      <c r="B202" s="530" t="s">
        <v>956</v>
      </c>
      <c r="C202" s="603">
        <v>18</v>
      </c>
      <c r="D202" s="603">
        <v>10</v>
      </c>
      <c r="E202" s="603">
        <v>28</v>
      </c>
      <c r="F202" s="603">
        <v>26</v>
      </c>
      <c r="G202" s="603">
        <v>14</v>
      </c>
      <c r="H202" s="603">
        <v>40</v>
      </c>
      <c r="I202" s="603">
        <v>213</v>
      </c>
      <c r="J202" s="603">
        <v>143</v>
      </c>
      <c r="K202" s="603">
        <v>356</v>
      </c>
      <c r="L202" s="603">
        <v>6</v>
      </c>
      <c r="M202" s="603">
        <v>47</v>
      </c>
      <c r="N202" s="603">
        <v>53</v>
      </c>
      <c r="O202" s="603">
        <v>13</v>
      </c>
      <c r="P202" s="603">
        <v>3</v>
      </c>
      <c r="Q202" s="603">
        <v>16</v>
      </c>
      <c r="R202" s="603">
        <v>282</v>
      </c>
      <c r="S202" s="603">
        <v>225</v>
      </c>
      <c r="T202" s="603">
        <v>507</v>
      </c>
      <c r="U202" s="603">
        <v>6</v>
      </c>
      <c r="V202" s="603">
        <v>8</v>
      </c>
      <c r="W202" s="603">
        <v>14</v>
      </c>
    </row>
    <row r="203" spans="1:43" x14ac:dyDescent="0.35">
      <c r="A203" s="655">
        <v>33</v>
      </c>
      <c r="B203" s="649" t="s">
        <v>42</v>
      </c>
      <c r="C203" s="652"/>
      <c r="D203" s="652"/>
      <c r="E203" s="652"/>
      <c r="F203" s="652"/>
      <c r="G203" s="652"/>
      <c r="H203" s="652"/>
      <c r="I203" s="652"/>
      <c r="J203" s="652"/>
      <c r="K203" s="652"/>
      <c r="L203" s="652"/>
      <c r="M203" s="652"/>
      <c r="N203" s="652"/>
      <c r="O203" s="652"/>
      <c r="P203" s="652"/>
      <c r="Q203" s="652"/>
      <c r="R203" s="652"/>
      <c r="S203" s="652"/>
      <c r="T203" s="652"/>
      <c r="U203" s="652"/>
      <c r="V203" s="652"/>
      <c r="W203" s="653"/>
    </row>
    <row r="204" spans="1:43" x14ac:dyDescent="0.35">
      <c r="A204" s="655"/>
      <c r="B204" s="529" t="s">
        <v>960</v>
      </c>
      <c r="C204" s="616">
        <v>167</v>
      </c>
      <c r="D204" s="616">
        <v>43</v>
      </c>
      <c r="E204" s="616">
        <v>210</v>
      </c>
      <c r="F204" s="616">
        <v>255</v>
      </c>
      <c r="G204" s="616">
        <v>98</v>
      </c>
      <c r="H204" s="616">
        <v>353</v>
      </c>
      <c r="I204" s="616">
        <v>984</v>
      </c>
      <c r="J204" s="616">
        <v>518</v>
      </c>
      <c r="K204" s="616">
        <v>1502</v>
      </c>
      <c r="L204" s="616">
        <v>177</v>
      </c>
      <c r="M204" s="616">
        <v>258</v>
      </c>
      <c r="N204" s="616">
        <v>435</v>
      </c>
      <c r="O204" s="616">
        <v>243</v>
      </c>
      <c r="P204" s="616">
        <v>157</v>
      </c>
      <c r="Q204" s="616">
        <v>400</v>
      </c>
      <c r="R204" s="616">
        <v>1872</v>
      </c>
      <c r="S204" s="616">
        <v>1117</v>
      </c>
      <c r="T204" s="616">
        <v>2989</v>
      </c>
      <c r="U204" s="616">
        <v>46</v>
      </c>
      <c r="V204" s="616">
        <v>43</v>
      </c>
      <c r="W204" s="616">
        <v>89</v>
      </c>
    </row>
    <row r="205" spans="1:43" x14ac:dyDescent="0.35">
      <c r="A205" s="655"/>
      <c r="B205" s="530" t="s">
        <v>959</v>
      </c>
      <c r="C205" s="601">
        <v>143</v>
      </c>
      <c r="D205" s="601">
        <v>35</v>
      </c>
      <c r="E205" s="601">
        <v>178</v>
      </c>
      <c r="F205" s="601">
        <v>207</v>
      </c>
      <c r="G205" s="601">
        <v>85</v>
      </c>
      <c r="H205" s="601">
        <v>292</v>
      </c>
      <c r="I205" s="601">
        <v>960</v>
      </c>
      <c r="J205" s="601">
        <v>478</v>
      </c>
      <c r="K205" s="601">
        <v>1438</v>
      </c>
      <c r="L205" s="601">
        <v>186</v>
      </c>
      <c r="M205" s="601">
        <v>260</v>
      </c>
      <c r="N205" s="601">
        <v>446</v>
      </c>
      <c r="O205" s="601">
        <v>236</v>
      </c>
      <c r="P205" s="601">
        <v>150</v>
      </c>
      <c r="Q205" s="601">
        <v>386</v>
      </c>
      <c r="R205" s="601">
        <v>1772</v>
      </c>
      <c r="S205" s="601">
        <v>1047</v>
      </c>
      <c r="T205" s="601">
        <v>2819</v>
      </c>
      <c r="U205" s="601">
        <v>40</v>
      </c>
      <c r="V205" s="601">
        <v>39</v>
      </c>
      <c r="W205" s="601">
        <v>79</v>
      </c>
    </row>
    <row r="206" spans="1:43" x14ac:dyDescent="0.35">
      <c r="A206" s="655"/>
      <c r="B206" s="530" t="s">
        <v>958</v>
      </c>
      <c r="C206" s="601">
        <v>125</v>
      </c>
      <c r="D206" s="601">
        <v>31</v>
      </c>
      <c r="E206" s="601">
        <v>156</v>
      </c>
      <c r="F206" s="601">
        <v>185</v>
      </c>
      <c r="G206" s="601">
        <v>79</v>
      </c>
      <c r="H206" s="601">
        <v>264</v>
      </c>
      <c r="I206" s="601">
        <v>900</v>
      </c>
      <c r="J206" s="601">
        <v>450</v>
      </c>
      <c r="K206" s="601">
        <v>1350</v>
      </c>
      <c r="L206" s="601">
        <v>212</v>
      </c>
      <c r="M206" s="601">
        <v>252</v>
      </c>
      <c r="N206" s="601">
        <v>464</v>
      </c>
      <c r="O206" s="601">
        <v>129</v>
      </c>
      <c r="P206" s="601">
        <v>84</v>
      </c>
      <c r="Q206" s="601">
        <v>213</v>
      </c>
      <c r="R206" s="601">
        <v>1551</v>
      </c>
      <c r="S206" s="601">
        <v>896</v>
      </c>
      <c r="T206" s="601">
        <v>2447</v>
      </c>
      <c r="U206" s="601">
        <v>33</v>
      </c>
      <c r="V206" s="601">
        <v>25</v>
      </c>
      <c r="W206" s="601">
        <v>58</v>
      </c>
    </row>
    <row r="207" spans="1:43" x14ac:dyDescent="0.35">
      <c r="A207" s="655"/>
      <c r="B207" s="530" t="s">
        <v>957</v>
      </c>
      <c r="C207" s="603">
        <v>120</v>
      </c>
      <c r="D207" s="603">
        <v>30</v>
      </c>
      <c r="E207" s="603">
        <v>150</v>
      </c>
      <c r="F207" s="603">
        <v>163</v>
      </c>
      <c r="G207" s="603">
        <v>82</v>
      </c>
      <c r="H207" s="603">
        <v>245</v>
      </c>
      <c r="I207" s="603">
        <v>934</v>
      </c>
      <c r="J207" s="603">
        <v>442</v>
      </c>
      <c r="K207" s="603">
        <v>1376</v>
      </c>
      <c r="L207" s="603">
        <v>222</v>
      </c>
      <c r="M207" s="603">
        <v>249</v>
      </c>
      <c r="N207" s="603">
        <v>471</v>
      </c>
      <c r="O207" s="603">
        <v>91</v>
      </c>
      <c r="P207" s="603">
        <v>65</v>
      </c>
      <c r="Q207" s="603">
        <v>156</v>
      </c>
      <c r="R207" s="603">
        <v>1562</v>
      </c>
      <c r="S207" s="603">
        <v>900</v>
      </c>
      <c r="T207" s="603">
        <v>2462</v>
      </c>
      <c r="U207" s="603">
        <v>32</v>
      </c>
      <c r="V207" s="603">
        <v>32</v>
      </c>
      <c r="W207" s="603">
        <v>64</v>
      </c>
    </row>
    <row r="208" spans="1:43" x14ac:dyDescent="0.35">
      <c r="A208" s="655"/>
      <c r="B208" s="530" t="s">
        <v>956</v>
      </c>
      <c r="C208" s="603">
        <v>114</v>
      </c>
      <c r="D208" s="603">
        <v>29</v>
      </c>
      <c r="E208" s="603">
        <v>143</v>
      </c>
      <c r="F208" s="603">
        <v>167</v>
      </c>
      <c r="G208" s="603">
        <v>72</v>
      </c>
      <c r="H208" s="603">
        <v>239</v>
      </c>
      <c r="I208" s="603">
        <v>847</v>
      </c>
      <c r="J208" s="603">
        <v>414</v>
      </c>
      <c r="K208" s="603">
        <v>1261</v>
      </c>
      <c r="L208" s="603">
        <v>216</v>
      </c>
      <c r="M208" s="603">
        <v>263</v>
      </c>
      <c r="N208" s="603">
        <v>479</v>
      </c>
      <c r="O208" s="603">
        <v>118</v>
      </c>
      <c r="P208" s="603">
        <v>79</v>
      </c>
      <c r="Q208" s="603">
        <v>197</v>
      </c>
      <c r="R208" s="603">
        <v>1513</v>
      </c>
      <c r="S208" s="603">
        <v>898</v>
      </c>
      <c r="T208" s="603">
        <v>2411</v>
      </c>
      <c r="U208" s="603">
        <v>51</v>
      </c>
      <c r="V208" s="603">
        <v>41</v>
      </c>
      <c r="W208" s="603">
        <v>92</v>
      </c>
    </row>
    <row r="209" spans="1:23" ht="14.5" x14ac:dyDescent="0.35">
      <c r="A209" s="655">
        <v>34</v>
      </c>
      <c r="B209" s="649" t="s">
        <v>43</v>
      </c>
      <c r="C209" s="650"/>
      <c r="D209" s="650"/>
      <c r="E209" s="650"/>
      <c r="F209" s="650"/>
      <c r="G209" s="650"/>
      <c r="H209" s="650"/>
      <c r="I209" s="650"/>
      <c r="J209" s="650"/>
      <c r="K209" s="650"/>
      <c r="L209" s="650"/>
      <c r="M209" s="650"/>
      <c r="N209" s="650"/>
      <c r="O209" s="650"/>
      <c r="P209" s="650"/>
      <c r="Q209" s="650"/>
      <c r="R209" s="650"/>
      <c r="S209" s="650"/>
      <c r="T209" s="650"/>
      <c r="U209" s="650"/>
      <c r="V209" s="650"/>
      <c r="W209" s="651"/>
    </row>
    <row r="210" spans="1:23" x14ac:dyDescent="0.35">
      <c r="A210" s="655"/>
      <c r="B210" s="529" t="s">
        <v>960</v>
      </c>
      <c r="C210" s="616">
        <v>15378</v>
      </c>
      <c r="D210" s="616">
        <v>5288</v>
      </c>
      <c r="E210" s="616">
        <v>20666</v>
      </c>
      <c r="F210" s="616">
        <v>11196</v>
      </c>
      <c r="G210" s="616">
        <v>5266</v>
      </c>
      <c r="H210" s="616">
        <v>16462</v>
      </c>
      <c r="I210" s="616">
        <v>101466</v>
      </c>
      <c r="J210" s="616">
        <v>47288</v>
      </c>
      <c r="K210" s="616">
        <v>148754</v>
      </c>
      <c r="L210" s="616">
        <v>4173</v>
      </c>
      <c r="M210" s="616">
        <v>5727</v>
      </c>
      <c r="N210" s="616">
        <v>9900</v>
      </c>
      <c r="O210" s="616">
        <v>9468</v>
      </c>
      <c r="P210" s="616">
        <v>3529</v>
      </c>
      <c r="Q210" s="616">
        <v>12997</v>
      </c>
      <c r="R210" s="616">
        <v>141920</v>
      </c>
      <c r="S210" s="616">
        <v>67292</v>
      </c>
      <c r="T210" s="616">
        <v>209212</v>
      </c>
      <c r="U210" s="616">
        <v>239</v>
      </c>
      <c r="V210" s="616">
        <v>194</v>
      </c>
      <c r="W210" s="616">
        <v>433</v>
      </c>
    </row>
    <row r="211" spans="1:23" x14ac:dyDescent="0.35">
      <c r="A211" s="655"/>
      <c r="B211" s="530" t="s">
        <v>959</v>
      </c>
      <c r="C211" s="601">
        <v>14151</v>
      </c>
      <c r="D211" s="601">
        <v>4760</v>
      </c>
      <c r="E211" s="601">
        <v>18911</v>
      </c>
      <c r="F211" s="601">
        <v>10778</v>
      </c>
      <c r="G211" s="601">
        <v>5078</v>
      </c>
      <c r="H211" s="601">
        <v>15856</v>
      </c>
      <c r="I211" s="601">
        <v>93700</v>
      </c>
      <c r="J211" s="601">
        <v>43078</v>
      </c>
      <c r="K211" s="601">
        <v>136778</v>
      </c>
      <c r="L211" s="601">
        <v>3511</v>
      </c>
      <c r="M211" s="601">
        <v>4959</v>
      </c>
      <c r="N211" s="601">
        <v>8470</v>
      </c>
      <c r="O211" s="601">
        <v>8591</v>
      </c>
      <c r="P211" s="601">
        <v>3321</v>
      </c>
      <c r="Q211" s="601">
        <v>11912</v>
      </c>
      <c r="R211" s="601">
        <v>131112</v>
      </c>
      <c r="S211" s="601">
        <v>61610</v>
      </c>
      <c r="T211" s="601">
        <v>192722</v>
      </c>
      <c r="U211" s="601">
        <v>381</v>
      </c>
      <c r="V211" s="601">
        <v>414</v>
      </c>
      <c r="W211" s="601">
        <v>795</v>
      </c>
    </row>
    <row r="212" spans="1:23" x14ac:dyDescent="0.35">
      <c r="A212" s="655"/>
      <c r="B212" s="530" t="s">
        <v>958</v>
      </c>
      <c r="C212" s="601">
        <v>13046</v>
      </c>
      <c r="D212" s="601">
        <v>4083</v>
      </c>
      <c r="E212" s="601">
        <v>17129</v>
      </c>
      <c r="F212" s="601">
        <v>11010</v>
      </c>
      <c r="G212" s="601">
        <v>5235</v>
      </c>
      <c r="H212" s="601">
        <v>16245</v>
      </c>
      <c r="I212" s="601">
        <v>86238</v>
      </c>
      <c r="J212" s="601">
        <v>39659</v>
      </c>
      <c r="K212" s="601">
        <v>125897</v>
      </c>
      <c r="L212" s="601">
        <v>3295</v>
      </c>
      <c r="M212" s="601">
        <v>4410</v>
      </c>
      <c r="N212" s="601">
        <v>7705</v>
      </c>
      <c r="O212" s="601">
        <v>7653</v>
      </c>
      <c r="P212" s="601">
        <v>3043</v>
      </c>
      <c r="Q212" s="601">
        <v>10696</v>
      </c>
      <c r="R212" s="601">
        <v>121242</v>
      </c>
      <c r="S212" s="601">
        <v>56430</v>
      </c>
      <c r="T212" s="601">
        <v>177672</v>
      </c>
      <c r="U212" s="601">
        <v>352</v>
      </c>
      <c r="V212" s="601">
        <v>169</v>
      </c>
      <c r="W212" s="601">
        <v>521</v>
      </c>
    </row>
    <row r="213" spans="1:23" x14ac:dyDescent="0.35">
      <c r="A213" s="655"/>
      <c r="B213" s="530" t="s">
        <v>957</v>
      </c>
      <c r="C213" s="603">
        <v>12040</v>
      </c>
      <c r="D213" s="603">
        <v>3568</v>
      </c>
      <c r="E213" s="603">
        <v>15608</v>
      </c>
      <c r="F213" s="603">
        <v>11193</v>
      </c>
      <c r="G213" s="603">
        <v>5389</v>
      </c>
      <c r="H213" s="603">
        <v>16582</v>
      </c>
      <c r="I213" s="603">
        <v>82908</v>
      </c>
      <c r="J213" s="603">
        <v>38283</v>
      </c>
      <c r="K213" s="603">
        <v>121191</v>
      </c>
      <c r="L213" s="603">
        <v>3208</v>
      </c>
      <c r="M213" s="603">
        <v>4339</v>
      </c>
      <c r="N213" s="603">
        <v>7547</v>
      </c>
      <c r="O213" s="603">
        <v>7213</v>
      </c>
      <c r="P213" s="603">
        <v>2834</v>
      </c>
      <c r="Q213" s="603">
        <v>10047</v>
      </c>
      <c r="R213" s="603">
        <v>116977</v>
      </c>
      <c r="S213" s="603">
        <v>54609</v>
      </c>
      <c r="T213" s="603">
        <v>171586</v>
      </c>
      <c r="U213" s="603">
        <v>415</v>
      </c>
      <c r="V213" s="603">
        <v>196</v>
      </c>
      <c r="W213" s="603">
        <v>611</v>
      </c>
    </row>
    <row r="214" spans="1:23" x14ac:dyDescent="0.35">
      <c r="A214" s="655"/>
      <c r="B214" s="530" t="s">
        <v>956</v>
      </c>
      <c r="C214" s="603">
        <v>11650</v>
      </c>
      <c r="D214" s="603">
        <v>3364</v>
      </c>
      <c r="E214" s="603">
        <v>15014</v>
      </c>
      <c r="F214" s="603">
        <v>11301</v>
      </c>
      <c r="G214" s="603">
        <v>5319</v>
      </c>
      <c r="H214" s="603">
        <v>16620</v>
      </c>
      <c r="I214" s="603">
        <v>76631</v>
      </c>
      <c r="J214" s="603">
        <v>35426</v>
      </c>
      <c r="K214" s="603">
        <v>112057</v>
      </c>
      <c r="L214" s="603">
        <v>3115</v>
      </c>
      <c r="M214" s="603">
        <v>4214</v>
      </c>
      <c r="N214" s="603">
        <v>7329</v>
      </c>
      <c r="O214" s="603">
        <v>6840</v>
      </c>
      <c r="P214" s="603">
        <v>2924</v>
      </c>
      <c r="Q214" s="603">
        <v>9764</v>
      </c>
      <c r="R214" s="603">
        <v>109990</v>
      </c>
      <c r="S214" s="603">
        <v>51449</v>
      </c>
      <c r="T214" s="603">
        <v>161439</v>
      </c>
      <c r="U214" s="603">
        <v>453</v>
      </c>
      <c r="V214" s="603">
        <v>202</v>
      </c>
      <c r="W214" s="603">
        <v>655</v>
      </c>
    </row>
    <row r="215" spans="1:23" ht="14.5" x14ac:dyDescent="0.35">
      <c r="A215" s="655">
        <v>35</v>
      </c>
      <c r="B215" s="649" t="s">
        <v>44</v>
      </c>
      <c r="C215" s="650"/>
      <c r="D215" s="650"/>
      <c r="E215" s="650"/>
      <c r="F215" s="650"/>
      <c r="G215" s="650"/>
      <c r="H215" s="650"/>
      <c r="I215" s="650"/>
      <c r="J215" s="650"/>
      <c r="K215" s="650"/>
      <c r="L215" s="650"/>
      <c r="M215" s="650"/>
      <c r="N215" s="650"/>
      <c r="O215" s="650"/>
      <c r="P215" s="650"/>
      <c r="Q215" s="650"/>
      <c r="R215" s="650"/>
      <c r="S215" s="650"/>
      <c r="T215" s="650"/>
      <c r="U215" s="650"/>
      <c r="V215" s="650"/>
      <c r="W215" s="651"/>
    </row>
    <row r="216" spans="1:23" x14ac:dyDescent="0.35">
      <c r="A216" s="655"/>
      <c r="B216" s="529" t="s">
        <v>960</v>
      </c>
      <c r="C216" s="616">
        <v>1919</v>
      </c>
      <c r="D216" s="616">
        <v>709</v>
      </c>
      <c r="E216" s="616">
        <v>2628</v>
      </c>
      <c r="F216" s="616">
        <v>1272</v>
      </c>
      <c r="G216" s="616">
        <v>765</v>
      </c>
      <c r="H216" s="616">
        <v>2037</v>
      </c>
      <c r="I216" s="616">
        <v>7530</v>
      </c>
      <c r="J216" s="616">
        <v>5594</v>
      </c>
      <c r="K216" s="616">
        <v>13124</v>
      </c>
      <c r="L216" s="616">
        <v>394</v>
      </c>
      <c r="M216" s="616">
        <v>692</v>
      </c>
      <c r="N216" s="616">
        <v>1086</v>
      </c>
      <c r="O216" s="616">
        <v>654</v>
      </c>
      <c r="P216" s="616">
        <v>496</v>
      </c>
      <c r="Q216" s="616">
        <v>1150</v>
      </c>
      <c r="R216" s="616">
        <v>11793</v>
      </c>
      <c r="S216" s="616">
        <v>8271</v>
      </c>
      <c r="T216" s="616">
        <v>20064</v>
      </c>
      <c r="U216" s="616">
        <v>24</v>
      </c>
      <c r="V216" s="616">
        <v>15</v>
      </c>
      <c r="W216" s="616">
        <v>39</v>
      </c>
    </row>
    <row r="217" spans="1:23" x14ac:dyDescent="0.35">
      <c r="A217" s="655"/>
      <c r="B217" s="530" t="s">
        <v>959</v>
      </c>
      <c r="C217" s="601">
        <v>1822</v>
      </c>
      <c r="D217" s="601">
        <v>676</v>
      </c>
      <c r="E217" s="601">
        <v>2498</v>
      </c>
      <c r="F217" s="601">
        <v>1274</v>
      </c>
      <c r="G217" s="601">
        <v>746</v>
      </c>
      <c r="H217" s="601">
        <v>2020</v>
      </c>
      <c r="I217" s="601">
        <v>7295</v>
      </c>
      <c r="J217" s="601">
        <v>5367</v>
      </c>
      <c r="K217" s="601">
        <v>12662</v>
      </c>
      <c r="L217" s="601">
        <v>411</v>
      </c>
      <c r="M217" s="601">
        <v>676</v>
      </c>
      <c r="N217" s="601">
        <v>1087</v>
      </c>
      <c r="O217" s="601">
        <v>678</v>
      </c>
      <c r="P217" s="601">
        <v>503</v>
      </c>
      <c r="Q217" s="601">
        <v>1181</v>
      </c>
      <c r="R217" s="601">
        <v>11499</v>
      </c>
      <c r="S217" s="601">
        <v>7980</v>
      </c>
      <c r="T217" s="601">
        <v>19479</v>
      </c>
      <c r="U217" s="601">
        <v>19</v>
      </c>
      <c r="V217" s="601">
        <v>12</v>
      </c>
      <c r="W217" s="601">
        <v>31</v>
      </c>
    </row>
    <row r="218" spans="1:23" x14ac:dyDescent="0.35">
      <c r="A218" s="655"/>
      <c r="B218" s="530" t="s">
        <v>958</v>
      </c>
      <c r="C218" s="601">
        <v>1893</v>
      </c>
      <c r="D218" s="601">
        <v>673</v>
      </c>
      <c r="E218" s="601">
        <v>2566</v>
      </c>
      <c r="F218" s="601">
        <v>1370</v>
      </c>
      <c r="G218" s="601">
        <v>748</v>
      </c>
      <c r="H218" s="601">
        <v>2118</v>
      </c>
      <c r="I218" s="601">
        <v>7413</v>
      </c>
      <c r="J218" s="601">
        <v>5218</v>
      </c>
      <c r="K218" s="601">
        <v>12631</v>
      </c>
      <c r="L218" s="601">
        <v>375</v>
      </c>
      <c r="M218" s="601">
        <v>663</v>
      </c>
      <c r="N218" s="601">
        <v>1038</v>
      </c>
      <c r="O218" s="601">
        <v>634</v>
      </c>
      <c r="P218" s="601">
        <v>475</v>
      </c>
      <c r="Q218" s="601">
        <v>1109</v>
      </c>
      <c r="R218" s="601">
        <v>11685</v>
      </c>
      <c r="S218" s="601">
        <v>7777</v>
      </c>
      <c r="T218" s="601">
        <v>19462</v>
      </c>
      <c r="U218" s="601">
        <v>33</v>
      </c>
      <c r="V218" s="601">
        <v>23</v>
      </c>
      <c r="W218" s="601">
        <v>56</v>
      </c>
    </row>
    <row r="219" spans="1:23" x14ac:dyDescent="0.35">
      <c r="A219" s="655"/>
      <c r="B219" s="530" t="s">
        <v>957</v>
      </c>
      <c r="C219" s="603">
        <v>1813</v>
      </c>
      <c r="D219" s="603">
        <v>613</v>
      </c>
      <c r="E219" s="603">
        <v>2426</v>
      </c>
      <c r="F219" s="603">
        <v>1407</v>
      </c>
      <c r="G219" s="603">
        <v>755</v>
      </c>
      <c r="H219" s="603">
        <v>2162</v>
      </c>
      <c r="I219" s="603">
        <v>7255</v>
      </c>
      <c r="J219" s="603">
        <v>4958</v>
      </c>
      <c r="K219" s="603">
        <v>12213</v>
      </c>
      <c r="L219" s="603">
        <v>406</v>
      </c>
      <c r="M219" s="603">
        <v>657</v>
      </c>
      <c r="N219" s="603">
        <v>1063</v>
      </c>
      <c r="O219" s="603">
        <v>632</v>
      </c>
      <c r="P219" s="603">
        <v>421</v>
      </c>
      <c r="Q219" s="603">
        <v>1053</v>
      </c>
      <c r="R219" s="603">
        <v>11552</v>
      </c>
      <c r="S219" s="603">
        <v>7428</v>
      </c>
      <c r="T219" s="603">
        <v>18980</v>
      </c>
      <c r="U219" s="603">
        <v>39</v>
      </c>
      <c r="V219" s="603">
        <v>24</v>
      </c>
      <c r="W219" s="603">
        <v>63</v>
      </c>
    </row>
    <row r="220" spans="1:23" x14ac:dyDescent="0.35">
      <c r="A220" s="655"/>
      <c r="B220" s="530" t="s">
        <v>956</v>
      </c>
      <c r="C220" s="603">
        <v>1708</v>
      </c>
      <c r="D220" s="603">
        <v>558</v>
      </c>
      <c r="E220" s="603">
        <v>2266</v>
      </c>
      <c r="F220" s="603">
        <v>1400</v>
      </c>
      <c r="G220" s="603">
        <v>715</v>
      </c>
      <c r="H220" s="603">
        <v>2115</v>
      </c>
      <c r="I220" s="603">
        <v>7029</v>
      </c>
      <c r="J220" s="603">
        <v>4736</v>
      </c>
      <c r="K220" s="603">
        <v>11765</v>
      </c>
      <c r="L220" s="603">
        <v>390</v>
      </c>
      <c r="M220" s="603">
        <v>623</v>
      </c>
      <c r="N220" s="603">
        <v>1013</v>
      </c>
      <c r="O220" s="603">
        <v>595</v>
      </c>
      <c r="P220" s="603">
        <v>425</v>
      </c>
      <c r="Q220" s="603">
        <v>1020</v>
      </c>
      <c r="R220" s="603">
        <v>11214</v>
      </c>
      <c r="S220" s="603">
        <v>7100</v>
      </c>
      <c r="T220" s="603">
        <v>18314</v>
      </c>
      <c r="U220" s="603">
        <v>92</v>
      </c>
      <c r="V220" s="603">
        <v>43</v>
      </c>
      <c r="W220" s="603">
        <v>135</v>
      </c>
    </row>
    <row r="221" spans="1:23" ht="14.5" x14ac:dyDescent="0.35">
      <c r="A221" s="655">
        <v>36</v>
      </c>
      <c r="B221" s="649" t="s">
        <v>45</v>
      </c>
      <c r="C221" s="650"/>
      <c r="D221" s="650"/>
      <c r="E221" s="650"/>
      <c r="F221" s="650"/>
      <c r="G221" s="650"/>
      <c r="H221" s="650"/>
      <c r="I221" s="650"/>
      <c r="J221" s="650"/>
      <c r="K221" s="650"/>
      <c r="L221" s="650"/>
      <c r="M221" s="650"/>
      <c r="N221" s="650"/>
      <c r="O221" s="650"/>
      <c r="P221" s="650"/>
      <c r="Q221" s="650"/>
      <c r="R221" s="650"/>
      <c r="S221" s="650"/>
      <c r="T221" s="650"/>
      <c r="U221" s="650"/>
      <c r="V221" s="650"/>
      <c r="W221" s="651"/>
    </row>
    <row r="222" spans="1:23" x14ac:dyDescent="0.35">
      <c r="A222" s="655"/>
      <c r="B222" s="529" t="s">
        <v>960</v>
      </c>
      <c r="C222" s="616">
        <v>4858</v>
      </c>
      <c r="D222" s="616">
        <v>1427</v>
      </c>
      <c r="E222" s="616">
        <v>6285</v>
      </c>
      <c r="F222" s="616">
        <v>4890</v>
      </c>
      <c r="G222" s="616">
        <v>2787</v>
      </c>
      <c r="H222" s="616">
        <v>7677</v>
      </c>
      <c r="I222" s="616">
        <v>29922</v>
      </c>
      <c r="J222" s="616">
        <v>15267</v>
      </c>
      <c r="K222" s="616">
        <v>45189</v>
      </c>
      <c r="L222" s="616">
        <v>1319</v>
      </c>
      <c r="M222" s="616">
        <v>3199</v>
      </c>
      <c r="N222" s="616">
        <v>4518</v>
      </c>
      <c r="O222" s="616">
        <v>7445</v>
      </c>
      <c r="P222" s="616">
        <v>6280</v>
      </c>
      <c r="Q222" s="616">
        <v>13725</v>
      </c>
      <c r="R222" s="616">
        <v>48960</v>
      </c>
      <c r="S222" s="616">
        <v>29243</v>
      </c>
      <c r="T222" s="616">
        <v>78203</v>
      </c>
      <c r="U222" s="616">
        <v>526</v>
      </c>
      <c r="V222" s="616">
        <v>283</v>
      </c>
      <c r="W222" s="616">
        <v>809</v>
      </c>
    </row>
    <row r="223" spans="1:23" x14ac:dyDescent="0.35">
      <c r="A223" s="655"/>
      <c r="B223" s="530" t="s">
        <v>959</v>
      </c>
      <c r="C223" s="601">
        <v>4752</v>
      </c>
      <c r="D223" s="601">
        <v>1368</v>
      </c>
      <c r="E223" s="601">
        <v>6120</v>
      </c>
      <c r="F223" s="601">
        <v>4748</v>
      </c>
      <c r="G223" s="601">
        <v>2722</v>
      </c>
      <c r="H223" s="601">
        <v>7470</v>
      </c>
      <c r="I223" s="601">
        <v>28910</v>
      </c>
      <c r="J223" s="601">
        <v>14461</v>
      </c>
      <c r="K223" s="601">
        <v>43371</v>
      </c>
      <c r="L223" s="601">
        <v>1382</v>
      </c>
      <c r="M223" s="601">
        <v>3060</v>
      </c>
      <c r="N223" s="601">
        <v>4442</v>
      </c>
      <c r="O223" s="601">
        <v>7493</v>
      </c>
      <c r="P223" s="601">
        <v>6234</v>
      </c>
      <c r="Q223" s="601">
        <v>13727</v>
      </c>
      <c r="R223" s="601">
        <v>47806</v>
      </c>
      <c r="S223" s="601">
        <v>28118</v>
      </c>
      <c r="T223" s="601">
        <v>75924</v>
      </c>
      <c r="U223" s="601">
        <v>521</v>
      </c>
      <c r="V223" s="601">
        <v>273</v>
      </c>
      <c r="W223" s="601">
        <v>794</v>
      </c>
    </row>
    <row r="224" spans="1:23" x14ac:dyDescent="0.35">
      <c r="A224" s="655"/>
      <c r="B224" s="530" t="s">
        <v>958</v>
      </c>
      <c r="C224" s="601">
        <v>4693</v>
      </c>
      <c r="D224" s="601">
        <v>1294</v>
      </c>
      <c r="E224" s="601">
        <v>5987</v>
      </c>
      <c r="F224" s="601">
        <v>4652</v>
      </c>
      <c r="G224" s="601">
        <v>2629</v>
      </c>
      <c r="H224" s="601">
        <v>7281</v>
      </c>
      <c r="I224" s="601">
        <v>28419</v>
      </c>
      <c r="J224" s="601">
        <v>13986</v>
      </c>
      <c r="K224" s="601">
        <v>42405</v>
      </c>
      <c r="L224" s="601">
        <v>1383</v>
      </c>
      <c r="M224" s="601">
        <v>2555</v>
      </c>
      <c r="N224" s="601">
        <v>3938</v>
      </c>
      <c r="O224" s="601">
        <v>7252</v>
      </c>
      <c r="P224" s="601">
        <v>6029</v>
      </c>
      <c r="Q224" s="601">
        <v>13281</v>
      </c>
      <c r="R224" s="601">
        <v>46399</v>
      </c>
      <c r="S224" s="601">
        <v>26493</v>
      </c>
      <c r="T224" s="601">
        <v>72892</v>
      </c>
      <c r="U224" s="601">
        <v>571</v>
      </c>
      <c r="V224" s="601">
        <v>354</v>
      </c>
      <c r="W224" s="601">
        <v>925</v>
      </c>
    </row>
    <row r="225" spans="1:23" x14ac:dyDescent="0.35">
      <c r="A225" s="655"/>
      <c r="B225" s="530" t="s">
        <v>957</v>
      </c>
      <c r="C225" s="603">
        <v>4540</v>
      </c>
      <c r="D225" s="603">
        <v>1143</v>
      </c>
      <c r="E225" s="603">
        <v>5683</v>
      </c>
      <c r="F225" s="603">
        <v>4410</v>
      </c>
      <c r="G225" s="603">
        <v>2488</v>
      </c>
      <c r="H225" s="603">
        <v>6898</v>
      </c>
      <c r="I225" s="603">
        <v>27599</v>
      </c>
      <c r="J225" s="603">
        <v>13371</v>
      </c>
      <c r="K225" s="603">
        <v>40970</v>
      </c>
      <c r="L225" s="603">
        <v>1349</v>
      </c>
      <c r="M225" s="603">
        <v>1957</v>
      </c>
      <c r="N225" s="603">
        <v>3306</v>
      </c>
      <c r="O225" s="603">
        <v>7001</v>
      </c>
      <c r="P225" s="603">
        <v>5942</v>
      </c>
      <c r="Q225" s="603">
        <v>12943</v>
      </c>
      <c r="R225" s="603">
        <v>45440</v>
      </c>
      <c r="S225" s="603">
        <v>25253</v>
      </c>
      <c r="T225" s="603">
        <v>70693</v>
      </c>
      <c r="U225" s="603">
        <v>541</v>
      </c>
      <c r="V225" s="603">
        <v>352</v>
      </c>
      <c r="W225" s="603">
        <v>893</v>
      </c>
    </row>
    <row r="226" spans="1:23" x14ac:dyDescent="0.35">
      <c r="A226" s="655"/>
      <c r="B226" s="530" t="s">
        <v>956</v>
      </c>
      <c r="C226" s="603">
        <v>4216</v>
      </c>
      <c r="D226" s="603">
        <v>992</v>
      </c>
      <c r="E226" s="603">
        <v>5208</v>
      </c>
      <c r="F226" s="603">
        <v>4069</v>
      </c>
      <c r="G226" s="603">
        <v>2287</v>
      </c>
      <c r="H226" s="603">
        <v>6356</v>
      </c>
      <c r="I226" s="603">
        <v>25581</v>
      </c>
      <c r="J226" s="603">
        <v>12117</v>
      </c>
      <c r="K226" s="603">
        <v>37698</v>
      </c>
      <c r="L226" s="603">
        <v>1273</v>
      </c>
      <c r="M226" s="603">
        <v>1278</v>
      </c>
      <c r="N226" s="603">
        <v>2551</v>
      </c>
      <c r="O226" s="603">
        <v>6539</v>
      </c>
      <c r="P226" s="603">
        <v>5284</v>
      </c>
      <c r="Q226" s="603">
        <v>11823</v>
      </c>
      <c r="R226" s="603">
        <v>42780</v>
      </c>
      <c r="S226" s="603">
        <v>22766</v>
      </c>
      <c r="T226" s="603">
        <v>65546</v>
      </c>
      <c r="U226" s="603">
        <v>1102</v>
      </c>
      <c r="V226" s="603">
        <v>808</v>
      </c>
      <c r="W226" s="603">
        <v>1910</v>
      </c>
    </row>
  </sheetData>
  <mergeCells count="86">
    <mergeCell ref="A29:A34"/>
    <mergeCell ref="I1:Q1"/>
    <mergeCell ref="R1:W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A5:A10"/>
    <mergeCell ref="A11:A16"/>
    <mergeCell ref="A17:A22"/>
    <mergeCell ref="A23:A28"/>
    <mergeCell ref="A101:A106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43:A148"/>
    <mergeCell ref="A149:A154"/>
    <mergeCell ref="A155:A160"/>
    <mergeCell ref="A161:A166"/>
    <mergeCell ref="A167:A172"/>
    <mergeCell ref="C1:H1"/>
    <mergeCell ref="A215:A220"/>
    <mergeCell ref="A221:A226"/>
    <mergeCell ref="A179:A184"/>
    <mergeCell ref="A185:A190"/>
    <mergeCell ref="A191:A196"/>
    <mergeCell ref="A197:A202"/>
    <mergeCell ref="A203:A208"/>
    <mergeCell ref="A209:A214"/>
    <mergeCell ref="A173:A178"/>
    <mergeCell ref="A107:A112"/>
    <mergeCell ref="A113:A118"/>
    <mergeCell ref="A119:A124"/>
    <mergeCell ref="A125:A130"/>
    <mergeCell ref="A131:A136"/>
    <mergeCell ref="A137:A142"/>
    <mergeCell ref="B5:W5"/>
    <mergeCell ref="B11:W11"/>
    <mergeCell ref="B17:W17"/>
    <mergeCell ref="B23:W23"/>
    <mergeCell ref="B29:W29"/>
    <mergeCell ref="B35:W35"/>
    <mergeCell ref="B41:W41"/>
    <mergeCell ref="B47:W47"/>
    <mergeCell ref="B53:W53"/>
    <mergeCell ref="B59:W59"/>
    <mergeCell ref="B65:W65"/>
    <mergeCell ref="B71:W71"/>
    <mergeCell ref="B77:W77"/>
    <mergeCell ref="B83:W83"/>
    <mergeCell ref="B89:W89"/>
    <mergeCell ref="B95:W95"/>
    <mergeCell ref="B101:W101"/>
    <mergeCell ref="B107:W107"/>
    <mergeCell ref="B113:W113"/>
    <mergeCell ref="B119:W119"/>
    <mergeCell ref="B125:W125"/>
    <mergeCell ref="B131:W131"/>
    <mergeCell ref="B137:W137"/>
    <mergeCell ref="B143:W143"/>
    <mergeCell ref="B149:W149"/>
    <mergeCell ref="B155:W155"/>
    <mergeCell ref="B161:W161"/>
    <mergeCell ref="B167:W167"/>
    <mergeCell ref="B173:W173"/>
    <mergeCell ref="B179:W179"/>
    <mergeCell ref="B215:W215"/>
    <mergeCell ref="B221:W221"/>
    <mergeCell ref="B185:W185"/>
    <mergeCell ref="B191:W191"/>
    <mergeCell ref="B197:W197"/>
    <mergeCell ref="B203:W203"/>
    <mergeCell ref="B209:W209"/>
  </mergeCells>
  <pageMargins left="0.59055118110236227" right="0.35433070866141736" top="0.39370078740157483" bottom="0.39370078740157483" header="0.31496062992125984" footer="0.19685039370078741"/>
  <pageSetup paperSize="9" scale="75" firstPageNumber="2" orientation="portrait" r:id="rId1"/>
  <headerFooter>
    <oddFooter>&amp;L&amp;"Arial,Italic"&amp;9AISHE 2023-24&amp;RT-51</oddFooter>
  </headerFooter>
  <rowBreaks count="3" manualBreakCount="3">
    <brk id="70" min="14" max="22" man="1"/>
    <brk id="136" min="14" max="22" man="1"/>
    <brk id="196" max="22" man="1"/>
  </rowBreaks>
  <colBreaks count="1" manualBreakCount="1">
    <brk id="8" max="40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107</vt:i4>
      </vt:variant>
    </vt:vector>
  </HeadingPairs>
  <TitlesOfParts>
    <vt:vector size="167" baseType="lpstr">
      <vt:lpstr>1.UniNo</vt:lpstr>
      <vt:lpstr>1a.InsResponse</vt:lpstr>
      <vt:lpstr>2University-Specialisation</vt:lpstr>
      <vt:lpstr>3Collegerange</vt:lpstr>
      <vt:lpstr>4CollegeIndicator</vt:lpstr>
      <vt:lpstr>5ManagementCollegeNo</vt:lpstr>
      <vt:lpstr>6TotalEnr</vt:lpstr>
      <vt:lpstr>6aTotalRegularEnr</vt:lpstr>
      <vt:lpstr>6bTotalDistanceEnr</vt:lpstr>
      <vt:lpstr>6cTotalPrivateEnr</vt:lpstr>
      <vt:lpstr>6dTotalOnline</vt:lpstr>
      <vt:lpstr>7UnivActwithConsUnit</vt:lpstr>
      <vt:lpstr>8CollegeAct</vt:lpstr>
      <vt:lpstr>9AllSAAct</vt:lpstr>
      <vt:lpstr>9aSAILevel</vt:lpstr>
      <vt:lpstr>10InstituionEst</vt:lpstr>
      <vt:lpstr>11Programme</vt:lpstr>
      <vt:lpstr>11a programme regular</vt:lpstr>
      <vt:lpstr>11b ProgrammeDistance </vt:lpstr>
      <vt:lpstr>12UGDisc </vt:lpstr>
      <vt:lpstr>13PGDisc</vt:lpstr>
      <vt:lpstr>14-15TotalEnrCategory (2)</vt:lpstr>
      <vt:lpstr>16FS-countrylevel</vt:lpstr>
      <vt:lpstr>17FS-statelevel</vt:lpstr>
      <vt:lpstr>18FS-prog</vt:lpstr>
      <vt:lpstr>19GER(2011)</vt:lpstr>
      <vt:lpstr>20GPI2011</vt:lpstr>
      <vt:lpstr>21TeacherCategory</vt:lpstr>
      <vt:lpstr>22TeacherPost</vt:lpstr>
      <vt:lpstr>22aTeacherPostUC</vt:lpstr>
      <vt:lpstr>22bTeacherPostU</vt:lpstr>
      <vt:lpstr>23StaffPost</vt:lpstr>
      <vt:lpstr>24StaffCategory</vt:lpstr>
      <vt:lpstr>25PTR</vt:lpstr>
      <vt:lpstr>26UnivEnrolinclConstituentU</vt:lpstr>
      <vt:lpstr>27 28 TypeEnrolmentCategory-Est</vt:lpstr>
      <vt:lpstr>29TypeTeacherPostEstimated</vt:lpstr>
      <vt:lpstr>30TypeTeacherCategoryEstimated</vt:lpstr>
      <vt:lpstr>31Hostelstate </vt:lpstr>
      <vt:lpstr>32TypeHostel</vt:lpstr>
      <vt:lpstr>33 Out Turn</vt:lpstr>
      <vt:lpstr>33 (a) Category Out Turn</vt:lpstr>
      <vt:lpstr>34 Out Turn Prog</vt:lpstr>
      <vt:lpstr>Table 35 (34a E)</vt:lpstr>
      <vt:lpstr>36 UG Discipline_35 E</vt:lpstr>
      <vt:lpstr>37 PGDisc_36E </vt:lpstr>
      <vt:lpstr>38Pop2020(2011)</vt:lpstr>
      <vt:lpstr>39TypeStateUnivwithConsUnit</vt:lpstr>
      <vt:lpstr>40NoUni</vt:lpstr>
      <vt:lpstr>41NoUniType</vt:lpstr>
      <vt:lpstr>42CollegeIndicator</vt:lpstr>
      <vt:lpstr>43ENRLT 6</vt:lpstr>
      <vt:lpstr>44ENRLR 6a</vt:lpstr>
      <vt:lpstr>45EnrlCategory 14</vt:lpstr>
      <vt:lpstr>46EnrlMinority 15</vt:lpstr>
      <vt:lpstr>47GER  19</vt:lpstr>
      <vt:lpstr>48GPI 20 Updated</vt:lpstr>
      <vt:lpstr>49PTR 25</vt:lpstr>
      <vt:lpstr>50LevelEnrlUniType</vt:lpstr>
      <vt:lpstr>51PostTeacher</vt:lpstr>
      <vt:lpstr>'1.UniNo'!Print_Area</vt:lpstr>
      <vt:lpstr>'10InstituionEst'!Print_Area</vt:lpstr>
      <vt:lpstr>'11b ProgrammeDistance '!Print_Area</vt:lpstr>
      <vt:lpstr>'11Programme'!Print_Area</vt:lpstr>
      <vt:lpstr>'12UGDisc '!Print_Area</vt:lpstr>
      <vt:lpstr>'13PGDisc'!Print_Area</vt:lpstr>
      <vt:lpstr>'14-15TotalEnrCategory (2)'!Print_Area</vt:lpstr>
      <vt:lpstr>'16FS-countrylevel'!Print_Area</vt:lpstr>
      <vt:lpstr>'17FS-statelevel'!Print_Area</vt:lpstr>
      <vt:lpstr>'18FS-prog'!Print_Area</vt:lpstr>
      <vt:lpstr>'19GER(2011)'!Print_Area</vt:lpstr>
      <vt:lpstr>'1a.InsResponse'!Print_Area</vt:lpstr>
      <vt:lpstr>'20GPI2011'!Print_Area</vt:lpstr>
      <vt:lpstr>'21TeacherCategory'!Print_Area</vt:lpstr>
      <vt:lpstr>'22aTeacherPostUC'!Print_Area</vt:lpstr>
      <vt:lpstr>'22bTeacherPostU'!Print_Area</vt:lpstr>
      <vt:lpstr>'22TeacherPost'!Print_Area</vt:lpstr>
      <vt:lpstr>'23StaffPost'!Print_Area</vt:lpstr>
      <vt:lpstr>'24StaffCategory'!Print_Area</vt:lpstr>
      <vt:lpstr>'25PTR'!Print_Area</vt:lpstr>
      <vt:lpstr>'26UnivEnrolinclConstituentU'!Print_Area</vt:lpstr>
      <vt:lpstr>'27 28 TypeEnrolmentCategory-Est'!Print_Area</vt:lpstr>
      <vt:lpstr>'29TypeTeacherPostEstimated'!Print_Area</vt:lpstr>
      <vt:lpstr>'2University-Specialisation'!Print_Area</vt:lpstr>
      <vt:lpstr>'30TypeTeacherCategoryEstimated'!Print_Area</vt:lpstr>
      <vt:lpstr>'31Hostelstate '!Print_Area</vt:lpstr>
      <vt:lpstr>'33 Out Turn'!Print_Area</vt:lpstr>
      <vt:lpstr>'37 PGDisc_36E '!Print_Area</vt:lpstr>
      <vt:lpstr>'38Pop2020(2011)'!Print_Area</vt:lpstr>
      <vt:lpstr>'39TypeStateUnivwithConsUnit'!Print_Area</vt:lpstr>
      <vt:lpstr>'3Collegerange'!Print_Area</vt:lpstr>
      <vt:lpstr>'40NoUni'!Print_Area</vt:lpstr>
      <vt:lpstr>'41NoUniType'!Print_Area</vt:lpstr>
      <vt:lpstr>'42CollegeIndicator'!Print_Area</vt:lpstr>
      <vt:lpstr>'43ENRLT 6'!Print_Area</vt:lpstr>
      <vt:lpstr>'44ENRLR 6a'!Print_Area</vt:lpstr>
      <vt:lpstr>'45EnrlCategory 14'!Print_Area</vt:lpstr>
      <vt:lpstr>'46EnrlMinority 15'!Print_Area</vt:lpstr>
      <vt:lpstr>'47GER  19'!Print_Area</vt:lpstr>
      <vt:lpstr>'48GPI 20 Updated'!Print_Area</vt:lpstr>
      <vt:lpstr>'49PTR 25'!Print_Area</vt:lpstr>
      <vt:lpstr>'4CollegeIndicator'!Print_Area</vt:lpstr>
      <vt:lpstr>'50LevelEnrlUniType'!Print_Area</vt:lpstr>
      <vt:lpstr>'51PostTeacher'!Print_Area</vt:lpstr>
      <vt:lpstr>'5ManagementCollegeNo'!Print_Area</vt:lpstr>
      <vt:lpstr>'6aTotalRegularEnr'!Print_Area</vt:lpstr>
      <vt:lpstr>'6bTotalDistanceEnr'!Print_Area</vt:lpstr>
      <vt:lpstr>'6cTotalPrivateEnr'!Print_Area</vt:lpstr>
      <vt:lpstr>'6dTotalOnline'!Print_Area</vt:lpstr>
      <vt:lpstr>'6TotalEnr'!Print_Area</vt:lpstr>
      <vt:lpstr>'7UnivActwithConsUnit'!Print_Area</vt:lpstr>
      <vt:lpstr>'8CollegeAct'!Print_Area</vt:lpstr>
      <vt:lpstr>'9AllSAAct'!Print_Area</vt:lpstr>
      <vt:lpstr>'9aSAILevel'!Print_Area</vt:lpstr>
      <vt:lpstr>'Table 35 (34a E)'!Print_Area</vt:lpstr>
      <vt:lpstr>'10InstituionEst'!Print_Titles</vt:lpstr>
      <vt:lpstr>'11a programme regular'!Print_Titles</vt:lpstr>
      <vt:lpstr>'11b ProgrammeDistance '!Print_Titles</vt:lpstr>
      <vt:lpstr>'11Programme'!Print_Titles</vt:lpstr>
      <vt:lpstr>'12UGDisc '!Print_Titles</vt:lpstr>
      <vt:lpstr>'13PGDisc'!Print_Titles</vt:lpstr>
      <vt:lpstr>'14-15TotalEnrCategory (2)'!Print_Titles</vt:lpstr>
      <vt:lpstr>'16FS-countrylevel'!Print_Titles</vt:lpstr>
      <vt:lpstr>'17FS-statelevel'!Print_Titles</vt:lpstr>
      <vt:lpstr>'18FS-prog'!Print_Titles</vt:lpstr>
      <vt:lpstr>'20GPI2011'!Print_Titles</vt:lpstr>
      <vt:lpstr>'21TeacherCategory'!Print_Titles</vt:lpstr>
      <vt:lpstr>'22aTeacherPostUC'!Print_Titles</vt:lpstr>
      <vt:lpstr>'22bTeacherPostU'!Print_Titles</vt:lpstr>
      <vt:lpstr>'22TeacherPost'!Print_Titles</vt:lpstr>
      <vt:lpstr>'23StaffPost'!Print_Titles</vt:lpstr>
      <vt:lpstr>'24StaffCategory'!Print_Titles</vt:lpstr>
      <vt:lpstr>'25PTR'!Print_Titles</vt:lpstr>
      <vt:lpstr>'26UnivEnrolinclConstituentU'!Print_Titles</vt:lpstr>
      <vt:lpstr>'27 28 TypeEnrolmentCategory-Est'!Print_Titles</vt:lpstr>
      <vt:lpstr>'29TypeTeacherPostEstimated'!Print_Titles</vt:lpstr>
      <vt:lpstr>'2University-Specialisation'!Print_Titles</vt:lpstr>
      <vt:lpstr>'30TypeTeacherCategoryEstimated'!Print_Titles</vt:lpstr>
      <vt:lpstr>'31Hostelstate '!Print_Titles</vt:lpstr>
      <vt:lpstr>'33 (a) Category Out Turn'!Print_Titles</vt:lpstr>
      <vt:lpstr>'33 Out Turn'!Print_Titles</vt:lpstr>
      <vt:lpstr>'34 Out Turn Prog'!Print_Titles</vt:lpstr>
      <vt:lpstr>'36 UG Discipline_35 E'!Print_Titles</vt:lpstr>
      <vt:lpstr>'37 PGDisc_36E '!Print_Titles</vt:lpstr>
      <vt:lpstr>'39TypeStateUnivwithConsUnit'!Print_Titles</vt:lpstr>
      <vt:lpstr>'41NoUniType'!Print_Titles</vt:lpstr>
      <vt:lpstr>'42CollegeIndicator'!Print_Titles</vt:lpstr>
      <vt:lpstr>'43ENRLT 6'!Print_Titles</vt:lpstr>
      <vt:lpstr>'44ENRLR 6a'!Print_Titles</vt:lpstr>
      <vt:lpstr>'45EnrlCategory 14'!Print_Titles</vt:lpstr>
      <vt:lpstr>'46EnrlMinority 15'!Print_Titles</vt:lpstr>
      <vt:lpstr>'47GER  19'!Print_Titles</vt:lpstr>
      <vt:lpstr>'48GPI 20 Updated'!Print_Titles</vt:lpstr>
      <vt:lpstr>'49PTR 25'!Print_Titles</vt:lpstr>
      <vt:lpstr>'50LevelEnrlUniType'!Print_Titles</vt:lpstr>
      <vt:lpstr>'51PostTeacher'!Print_Titles</vt:lpstr>
      <vt:lpstr>'5ManagementCollegeNo'!Print_Titles</vt:lpstr>
      <vt:lpstr>'6aTotalRegularEnr'!Print_Titles</vt:lpstr>
      <vt:lpstr>'6bTotalDistanceEnr'!Print_Titles</vt:lpstr>
      <vt:lpstr>'6cTotalPrivateEnr'!Print_Titles</vt:lpstr>
      <vt:lpstr>'6dTotalOnline'!Print_Titles</vt:lpstr>
      <vt:lpstr>'6TotalEnr'!Print_Titles</vt:lpstr>
      <vt:lpstr>'7UnivActwithConsUnit'!Print_Titles</vt:lpstr>
      <vt:lpstr>'8CollegeAct'!Print_Titles</vt:lpstr>
      <vt:lpstr>'9AllSAAct'!Print_Titles</vt:lpstr>
      <vt:lpstr>'9aSAILevel'!Print_Titles</vt:lpstr>
      <vt:lpstr>'Table 35 (34a 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EDCIL TSG</dc:creator>
  <cp:lastModifiedBy>ed cil</cp:lastModifiedBy>
  <cp:lastPrinted>2026-05-12T13:11:04Z</cp:lastPrinted>
  <dcterms:created xsi:type="dcterms:W3CDTF">2015-06-05T18:17:20Z</dcterms:created>
  <dcterms:modified xsi:type="dcterms:W3CDTF">2026-07-07T11:46:39Z</dcterms:modified>
</cp:coreProperties>
</file>